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F:\From External\Backup Plus\transfer from desktop April 24\มาตรฐาน\EdPEx\2568\เตรียมความพร้อม EdPEx\"/>
    </mc:Choice>
  </mc:AlternateContent>
  <xr:revisionPtr revIDLastSave="0" documentId="13_ncr:1_{C257DB69-6D90-44F6-AF95-938720E7DBF2}" xr6:coauthVersionLast="47" xr6:coauthVersionMax="47" xr10:uidLastSave="{00000000-0000-0000-0000-000000000000}"/>
  <bookViews>
    <workbookView xWindow="-110" yWindow="-110" windowWidth="19420" windowHeight="11500" firstSheet="9" activeTab="13" xr2:uid="{00000000-000D-0000-FFFF-FFFF00000000}"/>
  </bookViews>
  <sheets>
    <sheet name="KPI 7.4.1" sheetId="25" r:id="rId1"/>
    <sheet name="KPI 7.4.2" sheetId="26" r:id="rId2"/>
    <sheet name="KPI 7.4.3" sheetId="27" r:id="rId3"/>
    <sheet name="KPI 7.4.4" sheetId="28" r:id="rId4"/>
    <sheet name="KPI 7.4.5" sheetId="29" r:id="rId5"/>
    <sheet name="KPI 7.4.6" sheetId="30" r:id="rId6"/>
    <sheet name="KPI 7.4-7" sheetId="31" r:id="rId7"/>
    <sheet name="KPI 7.4.8" sheetId="32" r:id="rId8"/>
    <sheet name="KPI 7.4-9" sheetId="33" r:id="rId9"/>
    <sheet name="KPI 7.4-10" sheetId="34" r:id="rId10"/>
    <sheet name="KPI 7.4.11" sheetId="35" r:id="rId11"/>
    <sheet name="KPI 7.4.12" sheetId="36" r:id="rId12"/>
    <sheet name="KPI 7.4.13" sheetId="40" r:id="rId13"/>
    <sheet name="KPI 7.4.14" sheetId="38" r:id="rId14"/>
    <sheet name="KPI 7.4.15" sheetId="39" r:id="rId15"/>
  </sheets>
  <definedNames>
    <definedName name="_Hlk218021506" localSheetId="1">'KPI 7.4.2'!$B$7</definedName>
    <definedName name="_Hlk218021684" localSheetId="1">'KPI 7.4.2'!$B$16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6" i="39" l="1"/>
  <c r="E46" i="39"/>
  <c r="G45" i="39"/>
  <c r="G44" i="39"/>
  <c r="G43" i="39"/>
  <c r="G42" i="39"/>
  <c r="G41" i="39"/>
  <c r="G40" i="39"/>
  <c r="G39" i="39"/>
  <c r="G38" i="39"/>
  <c r="G37" i="39"/>
  <c r="G36" i="39"/>
  <c r="G35" i="39"/>
  <c r="G34" i="39"/>
  <c r="G33" i="39"/>
  <c r="G32" i="39"/>
  <c r="G31" i="39"/>
  <c r="G30" i="39"/>
  <c r="G29" i="39"/>
  <c r="G28" i="39"/>
  <c r="G27" i="39"/>
  <c r="G26" i="39"/>
  <c r="D9" i="39"/>
  <c r="D8" i="39"/>
  <c r="D7" i="39"/>
  <c r="D6" i="39"/>
  <c r="G90" i="38"/>
  <c r="F90" i="38"/>
  <c r="E90" i="38"/>
  <c r="G83" i="38"/>
  <c r="F83" i="38"/>
  <c r="E83" i="38"/>
  <c r="G76" i="38"/>
  <c r="F76" i="38"/>
  <c r="E76" i="38"/>
  <c r="G62" i="38"/>
  <c r="F62" i="38"/>
  <c r="E62" i="38"/>
  <c r="H37" i="38"/>
  <c r="H36" i="38"/>
  <c r="H35" i="38"/>
  <c r="H34" i="38"/>
  <c r="F29" i="38"/>
  <c r="D28" i="38"/>
  <c r="C28" i="38"/>
  <c r="C27" i="38"/>
  <c r="E27" i="38" s="1"/>
  <c r="D26" i="38"/>
  <c r="C26" i="38"/>
  <c r="E26" i="38" s="1"/>
  <c r="D25" i="38"/>
  <c r="C25" i="38"/>
  <c r="D15" i="36"/>
  <c r="C15" i="36"/>
  <c r="B15" i="36"/>
  <c r="E7" i="36"/>
  <c r="E14" i="36"/>
  <c r="E13" i="36"/>
  <c r="E12" i="36"/>
  <c r="E11" i="36"/>
  <c r="E10" i="36"/>
  <c r="E9" i="36"/>
  <c r="E8" i="36"/>
  <c r="E9" i="35"/>
  <c r="D9" i="35"/>
  <c r="C9" i="35"/>
  <c r="G11" i="34"/>
  <c r="F11" i="34"/>
  <c r="E11" i="34"/>
  <c r="D11" i="34"/>
  <c r="E8" i="31"/>
  <c r="E9" i="31"/>
  <c r="E10" i="31"/>
  <c r="E7" i="31"/>
  <c r="D10" i="31"/>
  <c r="C10" i="31"/>
  <c r="B10" i="31"/>
  <c r="A20" i="31"/>
  <c r="A21" i="31" s="1"/>
  <c r="A22" i="31" s="1"/>
  <c r="A23" i="31" s="1"/>
  <c r="A24" i="31" s="1"/>
  <c r="A25" i="31" s="1"/>
  <c r="A26" i="31" s="1"/>
  <c r="A27" i="31" s="1"/>
  <c r="A28" i="31" s="1"/>
  <c r="A29" i="31" s="1"/>
  <c r="A30" i="31" s="1"/>
  <c r="A31" i="31" s="1"/>
  <c r="A32" i="31" s="1"/>
  <c r="A33" i="31" s="1"/>
  <c r="A34" i="31" s="1"/>
  <c r="A35" i="31" s="1"/>
  <c r="A36" i="31" s="1"/>
  <c r="A37" i="31" s="1"/>
  <c r="A38" i="31" s="1"/>
  <c r="A39" i="31" s="1"/>
  <c r="A40" i="31" s="1"/>
  <c r="A41" i="31" s="1"/>
  <c r="A42" i="31" s="1"/>
  <c r="A43" i="31" s="1"/>
  <c r="A44" i="31" s="1"/>
  <c r="A45" i="31" s="1"/>
  <c r="A46" i="31" s="1"/>
  <c r="A47" i="31" s="1"/>
  <c r="A48" i="31" s="1"/>
  <c r="A49" i="31" s="1"/>
  <c r="A50" i="31" s="1"/>
  <c r="A51" i="31" s="1"/>
  <c r="A52" i="31" s="1"/>
  <c r="A53" i="31" s="1"/>
  <c r="A54" i="31" s="1"/>
  <c r="A55" i="31" s="1"/>
  <c r="A56" i="31" s="1"/>
  <c r="A57" i="31" s="1"/>
  <c r="A58" i="31" s="1"/>
  <c r="A59" i="31" s="1"/>
  <c r="A60" i="31" s="1"/>
  <c r="A61" i="31" s="1"/>
  <c r="A62" i="31" s="1"/>
  <c r="A63" i="31" s="1"/>
  <c r="A64" i="31" s="1"/>
  <c r="A65" i="31" s="1"/>
  <c r="A66" i="31" s="1"/>
  <c r="A67" i="31" s="1"/>
  <c r="A68" i="31" s="1"/>
  <c r="A69" i="31" s="1"/>
  <c r="A70" i="31" s="1"/>
  <c r="A71" i="31" s="1"/>
  <c r="A72" i="31" s="1"/>
  <c r="A73" i="31" s="1"/>
  <c r="A74" i="31" s="1"/>
  <c r="A75" i="31" s="1"/>
  <c r="A76" i="31" s="1"/>
  <c r="A77" i="31" s="1"/>
  <c r="A78" i="31" s="1"/>
  <c r="A79" i="31" s="1"/>
  <c r="A80" i="31" s="1"/>
  <c r="A81" i="31" s="1"/>
  <c r="A82" i="31" s="1"/>
  <c r="A83" i="31" s="1"/>
  <c r="A84" i="31" s="1"/>
  <c r="A85" i="31" s="1"/>
  <c r="A86" i="31" s="1"/>
  <c r="A87" i="31" s="1"/>
  <c r="A88" i="31" s="1"/>
  <c r="A89" i="31" s="1"/>
  <c r="A90" i="31" s="1"/>
  <c r="A91" i="31" s="1"/>
  <c r="A92" i="31" s="1"/>
  <c r="A93" i="31" s="1"/>
  <c r="A94" i="31" s="1"/>
  <c r="A95" i="31" s="1"/>
  <c r="A96" i="31" s="1"/>
  <c r="A97" i="31" s="1"/>
  <c r="A98" i="31" s="1"/>
  <c r="A99" i="31" s="1"/>
  <c r="A100" i="31" s="1"/>
  <c r="A101" i="31" s="1"/>
  <c r="A102" i="31" s="1"/>
  <c r="A103" i="31" s="1"/>
  <c r="E15" i="36" l="1"/>
  <c r="D29" i="38"/>
  <c r="G46" i="39"/>
  <c r="E28" i="38"/>
  <c r="C29" i="38"/>
  <c r="E25" i="38"/>
  <c r="E29" i="38"/>
</calcChain>
</file>

<file path=xl/sharedStrings.xml><?xml version="1.0" encoding="utf-8"?>
<sst xmlns="http://schemas.openxmlformats.org/spreadsheetml/2006/main" count="1522" uniqueCount="593">
  <si>
    <t>ปีงบประมาณ</t>
  </si>
  <si>
    <t>ปี 2565</t>
  </si>
  <si>
    <t>ปี 2566</t>
  </si>
  <si>
    <t>ปี 2567</t>
  </si>
  <si>
    <t>ปี 2568</t>
  </si>
  <si>
    <t>ลำดับ</t>
  </si>
  <si>
    <t>สังกัด</t>
  </si>
  <si>
    <t>หัวหน้าโครงการ</t>
  </si>
  <si>
    <t>งบประมาณ</t>
  </si>
  <si>
    <t>ลำดับที่</t>
  </si>
  <si>
    <t>รวม</t>
  </si>
  <si>
    <t>ปีงบประมาณ 2565</t>
  </si>
  <si>
    <t>ปีงบประมาณ 2566</t>
  </si>
  <si>
    <t>ปีงบประมาณ 2567</t>
  </si>
  <si>
    <t>ปีงบประมาณ 2568</t>
  </si>
  <si>
    <t>-</t>
  </si>
  <si>
    <t>รายละเอียด</t>
  </si>
  <si>
    <t>KPI 7-4.5.2 จำนวนครั้งของการดำเนินการโครงการสัตว์ปลอดโรค ป้องการโรคพิษสุนัขบ้า</t>
  </si>
  <si>
    <t>1. การออกหน่วย เพื่อช่วยเหลือสัตว์เลี้ยง เพื่อลดจำนวนสุนัขจรจัดและจำนวนสุนัขบ้า (ภายใต้โครงการสัตว์ปลอดโรค คนปลอดภัย จากโรคพิษสุนัขบ้า) ตามพระปณิธาน ศาสตราจารย์ ดร.สมเด็จเจ้าฟ้าฯ กรมพระศรีสวางควัฒน วรขัตติยราชนารี</t>
  </si>
  <si>
    <t>2. โครงการจิตอาสาชาวเกษตร เพื่อคุณภาพชีวิตที่ดีของคน สัตว์ และสิ่งแวดล้อม</t>
  </si>
  <si>
    <t>จำนวนสัตว์</t>
  </si>
  <si>
    <t>จำนวนตัว</t>
  </si>
  <si>
    <t>จำนวนครั้งของการดำเนินการโครงการสัตว์ปลอดโรค</t>
  </si>
  <si>
    <t>ทำหมัน (จำนวนตัว)</t>
  </si>
  <si>
    <t>ฉีดวัคซีน (จำนวนตัว)</t>
  </si>
  <si>
    <t>3. กิจกรรมฝึกอบรมแบบบูรณาการ เพื่อเผยแพร่ความรู้และการถ่ายทอดเทคโนโลยีในการบริหารจัดการโรคพิษสุนัขบ้าฯ</t>
  </si>
  <si>
    <t>จำนวนผู้เข้ารับการอบรม (คน)</t>
  </si>
  <si>
    <t>จำนวนผู้อบรม</t>
  </si>
  <si>
    <t>อสม.</t>
  </si>
  <si>
    <t>จนท.สาธารณสุข</t>
  </si>
  <si>
    <t>ผู้แทน</t>
  </si>
  <si>
    <t>คุณครู</t>
  </si>
  <si>
    <t>จนท.ปศุสัตว์</t>
  </si>
  <si>
    <t>จำนวนผู้เข้ารบการอบรม (คน)</t>
  </si>
  <si>
    <t>รายละเอียดเพิ่มเติม</t>
  </si>
  <si>
    <t>1. การออกหน่วยเพื่อช่วยเหลือสัตว์เลี้ยง เพื่อลดจำนวนสุนัขจรจัดและจำนวนสุนัขบ้า (ภายใต้โครงการสัตว์ปลอดโรค คนปลอดภัย จากโรคพิษสุนัขบ้า) ตามพระปณิธาน ศาสตราจารย์ ดร.สมเด็จเจ้าฟ้าฯ กรมพระศรีสวางควัฒน วรขัตติยราชนารี</t>
  </si>
  <si>
    <t>2. โครงการจิตอาสาชาวเกษตรเพื่อคุณภาพชีวิตที่ดีของคน สัตว์ และสิ่งแวดล้อม</t>
  </si>
  <si>
    <t>จำนวนสัตว์ (ตัว)</t>
  </si>
  <si>
    <t>วัน เดือน ปี</t>
  </si>
  <si>
    <t>สถานที่</t>
  </si>
  <si>
    <t>ทำหมัน</t>
  </si>
  <si>
    <t>ฉีดวัคซีน</t>
  </si>
  <si>
    <t>ออกหน่วยช่วยเหลือสัตว์เลี้ยง เพื่อลดจำนวนสุนัขจรจัด จำนวนสุนัขบ้า</t>
  </si>
  <si>
    <t>‎29-31 ม.ค. 65 ‎</t>
  </si>
  <si>
    <t>ณ วัดเวฬุวนาราม อำเภอเมือง จังหวัดลำปาง ‎</t>
  </si>
  <si>
    <t>ออกหน่วยช่วยเหลือสัตว์เลี้ยง เพื่อลดจำนวนสุนัขจรจัด จำนวนสุนัขบ้า ‎</t>
  </si>
  <si>
    <t>‎16 ก.พ.65‎</t>
  </si>
  <si>
    <t>โรงงานซีแพค อำเภอสองพี่น้อง จังหวัดสุพรรณบุรี ‎</t>
  </si>
  <si>
    <t>20-23 ก.พ.65‎</t>
  </si>
  <si>
    <t>วัดป่าบ้านตาด อำเภอเมือง จังหวัดอุดรธานี ‎</t>
  </si>
  <si>
    <t>ให้บริการฉีดวัคซีนป้องกันโรคพิษสุนัขบ้าแก่สุนัขและแมวภายในพื้นที่ พร้อมให้ความรู้เรื่องโรคพิษสุนัขบ้าแก่ประชาชน ภายในมหาวิทยาลัยเกษตรศาสตร์และชุมชนข้างเคียง ‎</t>
  </si>
  <si>
    <t>12-20 ก.พ.65‎</t>
  </si>
  <si>
    <t>มหาวิทยาลัยเกษตรศาสตร์</t>
  </si>
  <si>
    <t>16 มี.ค.65‎</t>
  </si>
  <si>
    <t>โรงเรียนตำรวจตระเวนชายแดนนเรศวรป่าละอู ตำบลห้วยสัตว์ใหญ่ อำเภอหัวหิน จังหวัดประจวบคีรีขันธ์</t>
  </si>
  <si>
    <t>30-31 มี.ค. 65 ‎</t>
  </si>
  <si>
    <t>วัดป่าบ้านตาด ตำบลบ้านตาด อำเภอเมืองอุดรธานี จังหวัดอุดรธานี ‎</t>
  </si>
  <si>
    <t>‎30 มี.ค. - 2 เม.ย. 65‎</t>
  </si>
  <si>
    <t>2-3 พ.ค. 65 ‎</t>
  </si>
  <si>
    <t>ลานจอดเฮลิป คอปเตอร์ชั่วคราว ฐานทัพเรือสัตหีบ จังหวัดชลบุรี ‎</t>
  </si>
  <si>
    <t>ให้บริการตรวจรักษา ทำหมันสุนัขและแมว ‎</t>
  </si>
  <si>
    <t>10-11 พ.ค.65</t>
  </si>
  <si>
    <t>ณ วัดเขาทำเทียม อ.อู่ทอง จ.สุพรรณบุรี</t>
  </si>
  <si>
    <t>‎13-14 พ.ค. 65 ‎</t>
  </si>
  <si>
    <t>มณฑลทหารบกที่42 จังหวัดสงขลา</t>
  </si>
  <si>
    <t>ให้บริการตรวจรักษา ทำหมันสุนัขและแมว‎</t>
  </si>
  <si>
    <t>‎18 มิ.ย. 65 ‎</t>
  </si>
  <si>
    <t>โรงเรียนบ้านโคกแมงเงา ตำบลมีชัย อำเภอเมืองหนองคาย จังหวัดหนองคาย</t>
  </si>
  <si>
    <t>‎23 ก.ค. 65 ‎</t>
  </si>
  <si>
    <t>อาคาศูนย์บริการและให้ข้อมูลนักท่องเที่ยว (อาคารพญานาค) เทศบาลเมืองน่าน อำเภอเมือง จังหวัดน่าน ‎</t>
  </si>
  <si>
    <t>ออกหน่วยช่วยเหลือสัตว์เลี้ยง เพื่อลดจำนวนสุนัขจรจัด ‎</t>
  </si>
  <si>
    <t>8-9 ส.ค.65</t>
  </si>
  <si>
    <t>มหาวิทยาลัย เกษตรศาสตร์ วิทยาเขตเฉลิมพระเกียรติสกลนคร จังหวัดสกลนคร ‎</t>
  </si>
  <si>
    <t>10-11 ส.ค.65</t>
  </si>
  <si>
    <t>มหาวิทยาลัย กาฬสินธุ์ จังหวัดกาฬสินธุ์ ‎</t>
  </si>
  <si>
    <t>วัดแสนสำราญ อำเภอวารินชำราบ จังหวัดอุบลราชธานี</t>
  </si>
  <si>
    <t>ที่ว่าการอำเภอ เมืองนครศรีธรรมราช อำเภอเมือง จังหวัดนครศรีธรรมราช ‎</t>
  </si>
  <si>
    <t>ให้บริการตรวจรักษาทำหมันสุนัขและแมว</t>
  </si>
  <si>
    <t>ณ จังหวัดบุรีรัมย์</t>
  </si>
  <si>
    <t>ณ อำเภอเมืองลำปาง จังหวัดลำปาง</t>
  </si>
  <si>
    <t>ณ จังหวัดเพชรบูรณ์</t>
  </si>
  <si>
    <t>ให้บริการทำหมันสุนัข แมว และฉีดวัคซีนโรคพิษสุนัขบ้า</t>
  </si>
  <si>
    <t>ณ อาคารเรียนและปฏิบัติการ คณะสัตวแพทยศาสตร์ มหาวิทยาลัยเกษตรศาสตร์ วิทยาเขตกำแพงแสน</t>
  </si>
  <si>
    <t>ณ โรงพยาบาลสัตว์ ณ ทิพย์พิมาน ตำบลโป่งตาลอง อำเภอปากช่อง จังหวัดนครราชสีมา</t>
  </si>
  <si>
    <t>ดำเนินการออกหน่วยช่วยเหลือสัตว์เลี้ยง เพื่อลดจำนวนสุนัขจรจัด จำนวนสุนัขบ้า</t>
  </si>
  <si>
    <t>ณ อาคารยุพราชเบญจมงคล มหาวิทยาลัยราชภัฏนครราชสีมา ตำบลในเมือง อำเภอเมืองนครราชสีมา</t>
  </si>
  <si>
    <t>ณ โรงเรียนบัวใหญ่ อำเภอบัวใหญ่ จังหวัดนครราชสีมา</t>
  </si>
  <si>
    <t>8-13 ก.ค.66</t>
  </si>
  <si>
    <t>ณ ศูนย์ดูแลสุนัขจรจัดของกองทัพเรือ โดยกองเรือยุทธการ อำเภอสัตหีบ จังหวัดชลบุรี</t>
  </si>
  <si>
    <t>19-24 ก.ค.66</t>
  </si>
  <si>
    <t>ณ วัดพระมหาธาตุวรมหาวิหาร อำเภอเมืองนครศรีธรรมราช จังหวัดนครศรีธรรมราช</t>
  </si>
  <si>
    <t>เทศบาลเมืองท่าเรือพระแท่น จ.กาญจนบุรี</t>
  </si>
  <si>
    <t>อบต.ดอนกำยาน จ.สุพรรณบุรี</t>
  </si>
  <si>
    <t>คณะสัตวแพทยศาสตร์ มก. กพส.</t>
  </si>
  <si>
    <t>สพ มก.กพส.</t>
  </si>
  <si>
    <t>จำนวนผู้เข้าร่วมอบรม (คน)</t>
  </si>
  <si>
    <t>วันที่ออกหน่วย</t>
  </si>
  <si>
    <t>จัดอบรมเพื่อเผยแพร่ความรู้และการถ่ายทอดเทคโนโลยีในการบริหารจัดการโรคพิษสุนัขบ้าฯ</t>
  </si>
  <si>
    <t>ณ โรงแรมหนองคายธาวิลล่า แอนด์ คอนเวนชั่นเซ็นเตอร์ อำเภอเมืองหนองคาย จังหวัดหนองคาย</t>
  </si>
  <si>
    <t>ณ โรงแรมน้ำทองน่าน ตำบลดู่ใต้ อำเภอเมืองน่าน จังหวัดน่าน</t>
  </si>
  <si>
    <t>ณ โรงแรมสุนีย์แกรนด์ แอนด์คอนเวนชั่นเซ็นเตอร์ อำเภอเมือง จังหวัดอุบลราชธานี</t>
  </si>
  <si>
    <t>ณ โรงแรมแกรนด์ฟอร์จูน นครศรีธรรมราช อำเภอเมือง จังหวัดนครศรีธรรมราช</t>
  </si>
  <si>
    <t>2565 ณ โรงแรมลำปางเวียงทอง อำเภอเมืองลำปาง จังหวัดลำปาง</t>
  </si>
  <si>
    <t>ณ โรงแรมเอสอาร์ เรสซิเด้นซ์ อำเภอเมืองเพชรบูรณ์ จังหวัดเพชรบูรณ์</t>
  </si>
  <si>
    <t>ณ โรงแรมธรรมรินทร์ ธนา ตำบลทับเที่ยง อำเภอเมืองตรัง จังหวัดตรัง</t>
  </si>
  <si>
    <t>ณ โรงแรมเอวาด้า ตำบลวังกระแจะ อำเภอเมืองตราด จังหวัดตราด</t>
  </si>
  <si>
    <t>ณ โรงแรมคลาสสิค คามิโอ อยุธยา ตำบลไผ่ลิง อำเภอพระนครศรีอยุธยา จังหวัดพระนครศรีอยุธยา</t>
  </si>
  <si>
    <t>ณ โรงแรมคลาสสิค คามิโอ ระยอง ตำบลเนินพระ อำเภอเมืองระยอง จังหวัดระยอง</t>
  </si>
  <si>
    <t>ณ โรงแรม ลอฟท์ มาเนีย บูติค โฮเทล ตำบลท่าตะเภา อำเภอเมืองชุมพร จังหวัดชุมพร</t>
  </si>
  <si>
    <t>ณ โรงแรมสุโขทัย เทรเซอร์ รีสอร์ท แอนด์ สปา อำเภอเมืองสุโขทัย จังหวัดสุโขทัย</t>
  </si>
  <si>
    <t>ณ โรงแรมฟอร์จูน ริเวอร์วิว นครพนม อำเภอเมือง จังหวัดนครพนม</t>
  </si>
  <si>
    <t>ณ โรงแรมลพบุรี อินท์ รีสอร์ท ตำบลท่าศาลาอำเภอเมืองลพบุรี จังหวัดลพบุรี</t>
  </si>
  <si>
    <t>ณ โรงแรมเวียงตาก ริเวอร์ไซต์ อำเภอเมือง จังหวัดตาก</t>
  </si>
  <si>
    <t>ณ โรงแรมเลยพาเลซ อำเภอเมืองเลย จังหวัดเลย</t>
  </si>
  <si>
    <t>ณ โรงแรมแคนทารี 304 อำเภอศรีมหาโพธิ จังหวัดปราจีนบุรี</t>
  </si>
  <si>
    <t>ณ โรงแรม ณ เวลา ตำบลตอนตะโก อำเภอเมืองราชบุรี จังหวัดราชบุรี</t>
  </si>
  <si>
    <t>โรงแรมมณีจันท์รีสอร์ท ตำบลพลับพลาอำเภอเมืองจันทบุรี จังหวัดจันทบุรี</t>
  </si>
  <si>
    <t>ณ โรงแรม อวานี ขอนแก่น คอนเวนชั่น เซ็นเตอร์ อำเภอเมืองขอนแก่น จังหวัดขอนแก่น</t>
  </si>
  <si>
    <t>ณ โรงแรม วาสิฏฐี ซิตี้ อำเภอเมืองสุพรรณบุรี จังหวัดสุพรรณบุรี</t>
  </si>
  <si>
    <t>ณ โรงแรมแก้วสมุย รีสอร์ท อำเภอเมืองสุราษฎร์ธานี จังหวัดสุราษฎร์ธานี</t>
  </si>
  <si>
    <t>ณ โรงแรมซันธารา เวลเนส รีสอร์ท แอนด์ โฮเทล อำเภอเมืองฉะเชิงเทรา จังหวัดฉะเชิงเทรา</t>
  </si>
  <si>
    <t>จ.นครสวรรค์</t>
  </si>
  <si>
    <t>จ.นครราชสีมา</t>
  </si>
  <si>
    <t>จ.ชลบุรี</t>
  </si>
  <si>
    <t>จ.อุดรธานี</t>
  </si>
  <si>
    <t>จ.สมุทรปราการ</t>
  </si>
  <si>
    <t>จำนวนสัตว์การทำหมัน (ตัว)</t>
  </si>
  <si>
    <t>จำนวนสัตว์การฉีดวัคซีน (ตัว)</t>
  </si>
  <si>
    <t>จำนวนสัตว์ทั้งหมด ที่ได้รับการทำหมัน และฉีดวัคซีน</t>
  </si>
  <si>
    <t>จำนวนครั้ง</t>
  </si>
  <si>
    <t>จำนวน (ตัว)</t>
  </si>
  <si>
    <t>ออกหน่วยช่วยเหลือสัตว์เลี้ยง เพื่อลดจำนวนสุนัขจรจัด จำนวนสุนัขบ้า  ‎(โครงการสัตว์ปลอดโรคฯ)</t>
  </si>
  <si>
    <t>ณ วัดเวฬุวนาราม อำเภอเมือง
  จังหวัดลำปาง ‎</t>
  </si>
  <si>
    <t>ออกหน่วยช่วยเหลือสัตว์เลี้ยง เพื่อลดจำนวนสุนัขจรจัด จำนวนสุนัขบ้า ‎ ‎(โครงการสัตว์ปลอดโรคฯ)</t>
  </si>
  <si>
    <t>โรงงานซีแพค อำเภอสองพี่น้อง
  จังหวัดสุพรรณบุรี ‎</t>
  </si>
  <si>
    <t>ออกหน่วยช่วยเหลือสัตว์เลี้ยง เพื่อลดจำนวนสุนัขจรจัด จำนวนสุนัขบ้า ‎  ‎(โครงการสัตว์ปลอดโรคฯ)</t>
  </si>
  <si>
    <t>วัดป่าบ้านตาด อำเภอเมือง 
 จังหวัดอุดรธานี ‎</t>
  </si>
  <si>
    <t>ให้บริการฉีดวัคซีนป้องกันโรคพิษสุนัขบ้าแก่สุนัขและแมวภายในพื้นที่ พร้อมให้ความรู้เรื่องโรคพิษสุนัขบ้าแก่ประชาชน ภายในมหาวิทยาลัยเกษตรศาสตร์และชุมชนข้างเคียง ‎(โครงการจิตอาสาฯ)</t>
  </si>
  <si>
    <t>โรงเรียนตำรวจตระเวนชายแดน
 นเรศวรป่าละอู ตำบลห้วยสัตว์ใหญ่ อำเภอหัวหิน จังหวัดประจวบคีรีขันธ์</t>
  </si>
  <si>
    <t>ให้บริการตรวจรักษา ทำหมันสุนัขและแมว ‎  ‎(โครงการสัตว์ปลอดโรคฯ)</t>
  </si>
  <si>
    <t>ณ วัดเขาทำเทียม อ.อู่ทอง จังหวัดสุพรรณบุรี</t>
  </si>
  <si>
    <t>ให้บริการตรวจรักษา ทำหมันสุนัขและแมว‎  ‎(โครงการสัตว์ปลอดโรคฯ)</t>
  </si>
  <si>
    <t>ให้บริการตรวจรักษา ทำหมันสุนัขและแมว ‎ ‎(โครงการสัตว์ปลอดโรคฯ)</t>
  </si>
  <si>
    <t xml:space="preserve"> โครงการสัตวแพทย์พระราชทาน </t>
  </si>
  <si>
    <t xml:space="preserve">พื้นที่ อบตป่าแดด อ.แม่สรวย จ.เชียงราย </t>
  </si>
  <si>
    <t xml:space="preserve">บริเวณหาดชลาทัศน์  อำเภอหาดใหญ่ จังหวัดสงขลา </t>
  </si>
  <si>
    <t>ให้บริการตรวจรักษาทำหมันสุนัขและแมว  ‎(โครงการสัตว์ปลอดโรคฯ)</t>
  </si>
  <si>
    <t>ให้บริการทำหมันสุนัข แมว และฉีดวัคซีนโรคพิษสุนัขบ้า  ‎(โครงการสัตว์ปลอดโรคฯ)</t>
  </si>
  <si>
    <t>ดำเนินการออกหน่วยช่วยเหลือสัตว์เลี้ยง เพื่อลดจำนวนสุนัขจรจัด จำนวนสุนัขบ้า  ‎(โครงการสัตว์ปลอดโรคฯ)</t>
  </si>
  <si>
    <t>ให้บริการทำหมันสุนัข แมว และฉีดวัคซีนโรคพิษสุนัขบ้า (โครงการจิตอาสาฯ)</t>
  </si>
  <si>
    <t>ให้บริการตรวจรักษาทำหมันสุนัขและแมว (โครงการจิตอาสาฯ)</t>
  </si>
  <si>
    <t>คณะสัตวแพทยศาสตร์</t>
  </si>
  <si>
    <t>ภาควิชาเวชศาสตร์คลินิกสัตว์เลี้ยง</t>
  </si>
  <si>
    <t>ภาควิชาเวชศาสตร์คลินิกสัตว์ใหญ่และสัตว์ป่า</t>
  </si>
  <si>
    <t>ภาควิชาสรีรวิทยา</t>
  </si>
  <si>
    <t>STD</t>
  </si>
  <si>
    <t>หน่วยงาน</t>
  </si>
  <si>
    <t>หัวข้อ</t>
  </si>
  <si>
    <t>สถานที่จัด</t>
  </si>
  <si>
    <t>วันที่จัด</t>
  </si>
  <si>
    <t>ปีที่จัด</t>
  </si>
  <si>
    <t>จำนวนผู้เข้าร่วม</t>
  </si>
  <si>
    <t>การตรวจวินิจฉัยและรักษาโรคในสัตว์เลี้ยงพิเศษ</t>
  </si>
  <si>
    <t>อ.สพ.ญ.ดร.ทักษอร ดวงอุไร</t>
  </si>
  <si>
    <t>รพส.บางเขน</t>
  </si>
  <si>
    <t>คณะสัตวแพทย์</t>
  </si>
  <si>
    <t>1 ต.ค.65 - 30 ก.ย.66</t>
  </si>
  <si>
    <t>การตรวจวินิจฉัยและรักษาโรคต่อมไร้ท่อและทางเดินอาหารในสัตว์เลี้ยง</t>
  </si>
  <si>
    <t>ผศ.สพ.ดร.สถิตภัค  อัศวราชันย์</t>
  </si>
  <si>
    <t>การผ่าตัดเฉพาะทางระบบประสาทในสัตว์เลี้ยง</t>
  </si>
  <si>
    <t>น.สพ.ภัคธร  ลิ่วเฉลิมวงศ์</t>
  </si>
  <si>
    <t>ปาดกีบ โครุ่นที่ 3,4</t>
  </si>
  <si>
    <t>สพ.ญ.ชุติมา  ชาตรูปกานต์</t>
  </si>
  <si>
    <t>รพส.หนองโพ</t>
  </si>
  <si>
    <t>6 - 9 เม.ย.66</t>
  </si>
  <si>
    <t>การตรวจวินัจฉัยและรักษาโรคในแมว</t>
  </si>
  <si>
    <t>รศ.สพ.ญ.ดร.ทัศนีย์  เจริญทรง</t>
  </si>
  <si>
    <t>1 เม.ย. - 30 มิ.ย.66</t>
  </si>
  <si>
    <t>สัมมนาอายุรศาสตร์นานาชาติ เรื่อง ทางเดินปัสสาวะในสุนัขและแมว</t>
  </si>
  <si>
    <t>รศ.สพ.ญ.ดร.พันพิชา สัตถาสาธุชนะ</t>
  </si>
  <si>
    <t>โรงแรม Hilton Pattaya จังหวัดชลบุรี</t>
  </si>
  <si>
    <t>9 - 13 ต.ค.66</t>
  </si>
  <si>
    <t>การตรวจวินิยฉัยและรักษาโรคในแมว รุ่นที่ 4</t>
  </si>
  <si>
    <t>สพ.ญ.ชุติมา ชาตรูปกานต์</t>
  </si>
  <si>
    <t>การประเมินประสิทธิภาพการาทำงานของเครื่องรีดนมโคนมเพื่อเพิ่มประสิทธิภาพการจัดการสุขภาพเต้านม</t>
  </si>
  <si>
    <t>น.สพ.ดร.ศุภชาติ  ปานเนียม</t>
  </si>
  <si>
    <t>6-8 ก.ย.66</t>
  </si>
  <si>
    <t>อาหารปรุงเองสำหรับสุนัขและแมวสุขภาพดีและการประยุกต์ใช้ทางคลินิก</t>
  </si>
  <si>
    <t>รศ.น.สพ.ดร.อรรถวิทย์  โกวิทวที</t>
  </si>
  <si>
    <t>9-10 ส.ค.66</t>
  </si>
  <si>
    <t>ไขความลับก้อนเนื้อผิวหนังด้วยเซลล์วิทยา วินิจฉัยเร็ว รักษาได้พิชิตเนื้อร้ายในหมาแมว</t>
  </si>
  <si>
    <t>ผศ.น.สพ. ภูดิท มณีสาย</t>
  </si>
  <si>
    <t>ภาควิชาพยาธิวิทยา</t>
  </si>
  <si>
    <t>16-17 ก.ย.66</t>
  </si>
  <si>
    <t>การวินิจฉัยรักษาโรคผิวหนังขั้นพื้นฐานในสัตว์เลี้ยง</t>
  </si>
  <si>
    <t>ผศ.สพ.ญ.ดร.ศุฐฐิวีร์  เจิมประไพ</t>
  </si>
  <si>
    <t>1 มค.-31 ธ.ค.66</t>
  </si>
  <si>
    <t>การวินิจฉัยและการผ่าตัดแก้ไขไส้เลื่อนฝีเย็บในสุนัข</t>
  </si>
  <si>
    <t>น.สพ.วิจิตร  สุทธิประภา</t>
  </si>
  <si>
    <t>วิสัญญีทางคลินิกสัตว์เลี้ยงในโรคซับซ้อน</t>
  </si>
  <si>
    <t>ผศ.สพ.ญ.ดร.สิริรัตน์  นิยม</t>
  </si>
  <si>
    <t>30 พ.ย. - 1 ธ.ค.66</t>
  </si>
  <si>
    <t>ทักษะการผ่าตัดขั้นสูงเพื่อรักษาภาวะความผิดปกติของท่อปัสสาวะในแมว</t>
  </si>
  <si>
    <t>น.สพ.วันชาติ  ยิบประดิษฐ์</t>
  </si>
  <si>
    <t>รพส.หัวหิน</t>
  </si>
  <si>
    <t>โรงแรมไอสนุก รีสอร์ทแอนด์สวีท หัวหิน</t>
  </si>
  <si>
    <t>11-12 พ.ย.66</t>
  </si>
  <si>
    <t>โครงการฝึกอบรมเชิงปฏิบัติการ หลักสูตร Echocardiography in General Practice : Lecture and Workshop</t>
  </si>
  <si>
    <t>ผศ.น.สพ.ภูดิท มณีสาย</t>
  </si>
  <si>
    <t>ผศ.สพ.ญ.ดร.สถิตภัค อัศวราชันย์</t>
  </si>
  <si>
    <t>1 ม.ค. - 31 ธ.ค. 67</t>
  </si>
  <si>
    <t>รศ.สพ.ญ.ดร.ทัศนีย์ เจริญทรง</t>
  </si>
  <si>
    <t>โครงการฝึกอบรมเชิงปฏิบัติการ หลักสูตร From beginning to the end, handling effusion analysis professionals</t>
  </si>
  <si>
    <t>25 - 26 พ.ย. 66</t>
  </si>
  <si>
    <t>โครงการฝึกอบรมเชิงปฏิบัติการ หลักสูตร การล้างไตผ่านช่องท้องและการจัดการอาหารโรคไต</t>
  </si>
  <si>
    <t>น.สพ.วันชาติ ยิบประดิษฐ์</t>
  </si>
  <si>
    <t>รพสมก.หัวหิน</t>
  </si>
  <si>
    <t>โครงการฝึกอบรมเรื่องโรคหัวใจในสัตว์เล็ก  “From Brief Basics To Chic Examples</t>
  </si>
  <si>
    <t>ผศ.สพ.ญ.ดร.ทักษอร ดวงอุไร</t>
  </si>
  <si>
    <t>โครงการอบรมเชิงปฏิบัติการนานาชาติเพื่อประกาศนียบัตรทางเวชศาสตร์ฟื้นฟูในสัตว์เล็กภายใต้ความร่วมมือระหว่าง Kasetsart University, Veterinary Academy of Higher Learning  and University of Tennessee</t>
  </si>
  <si>
    <t>19 - 22 ก.พ. 67</t>
  </si>
  <si>
    <t>โครงการฝึกอบรมเชิงปฏิบัติการ หลักสูตร รู้ลึกเรื่องหู</t>
  </si>
  <si>
    <t>น.สพ.วิจิตร สุทธิประภา</t>
  </si>
  <si>
    <t>รพส.มก.ขางเขน</t>
  </si>
  <si>
    <t>โครงการฝึกอบรมเชิงปฏิบัติการ หลักสูตร The Basic Echocardiography and Sonography Training Program (The B.E.S.T Program)</t>
  </si>
  <si>
    <t>อ.น.สพ.ดร.เสลภูมิ ไพเราะ</t>
  </si>
  <si>
    <t>18 - 19 มี.ค.67</t>
  </si>
  <si>
    <t>โครงการฝึกอบรมเชิงปฏิบัติการ ทักษะการผ่าตัดขั้นสูงเพื่อรักษาความผิดปกติของท่อปัสสาวะในแมว</t>
  </si>
  <si>
    <t>รพส.มก.หัวหิน</t>
  </si>
  <si>
    <t>โรงแรมไอสนุ๊กส์ หัวหิน</t>
  </si>
  <si>
    <t>โครงการฝึกอบรมเชิงปฏิบัติการหลักสูตร : ศัลยกรรมเนื้อเยื่ออ่อนระบบทางเดินอาหารทางคลินิกสัตว์เล็ก</t>
  </si>
  <si>
    <t>สพ.ญ.ณัฐวรรณ นิยติวัฒน์ชาญชัย</t>
  </si>
  <si>
    <t>23 - 24 พ.ค. 67</t>
  </si>
  <si>
    <t>โครงการฝึกอบรมเชิงปฏิบัติการ แต่งกีบโค รุ่นที่ 5</t>
  </si>
  <si>
    <t>สพ.ญ.ชุติการ ชาตรูปกานต์</t>
  </si>
  <si>
    <t>รพส.มก.หนองโพ</t>
  </si>
  <si>
    <t>22 - 25 พ.ค. 67</t>
  </si>
  <si>
    <t>โครงการสัมมนาเชิงปฏิบัติการ KU Bone Camp : Small animal fracture management for beginners สร้างเสริมประสบการณ์ซ่อมแซมกระดูกหักในสัตว์เลี้ยง</t>
  </si>
  <si>
    <t>ผศ.สพ.ญ.ดร.มนชนก วิจารณ์สร</t>
  </si>
  <si>
    <t>5 - 7 มิ.ย.67</t>
  </si>
  <si>
    <t>โครงการ Endocrine Challenge Optimizing care for pets with metabolic imbalance</t>
  </si>
  <si>
    <t>15-16 ก.ค.67</t>
  </si>
  <si>
    <t>โครงการสัมมนา หลักสูตรโครงการสัมมนา หลักสูตร Practical approach to the eye problems</t>
  </si>
  <si>
    <t>โครงการฝึกอบเชิงปฏิบัติการ เรื่อง “ การผ่าเปลี่ยนข้อสะโพกในสุนัข ”</t>
  </si>
  <si>
    <t>ผศ.น.สพ.ดร.ชัยกร ฐิติญาณพร</t>
  </si>
  <si>
    <t>11 - 13 ก.ย. 67</t>
  </si>
  <si>
    <t xml:space="preserve">โครงการฝึกอบรมเรื่อง “ การเพิ่มพูนทักษะการตรวจวินิจฉัยและจัดการโรคข้อเสื่อมในแมว (Upskilling in feline OA diagnosis and management) ” 
</t>
  </si>
  <si>
    <t>โครงการสัมมนาอายุรศาสตร์นานาชาติ หัวเรื่อง อายุรศาสตร์โรคแมว
(International Internal Medicine Conference Focus : Feline Medicine)</t>
  </si>
  <si>
    <t>6 - 10 ต.ค. 67</t>
  </si>
  <si>
    <t>โครงการฝึกอบรมเชิงปฏิบัติการเรื่อง “The 3rd Exclusive Veterinary Diabetic Program: Paws in control”</t>
  </si>
  <si>
    <t>18-19 พ.ย.67</t>
  </si>
  <si>
    <t xml:space="preserve">โครงการสัมมนาเรื่อง การวินิจฉัยโรคระบบประสาทในสัตว์เลี้ยงด้วยเครื่องมือไฟฟ้าในปัจจุบัน
(Application of Current Electrical Diagnostic Instrumentation for Neurological Disorders in Companion Animals)
</t>
  </si>
  <si>
    <t>ผศ.น.สพ.ดร.นิรุตติ์ สุวรรณา</t>
  </si>
  <si>
    <t>28 - 29 พ.ย. 67</t>
  </si>
  <si>
    <t>30 พ.ย. - 1 ธ.ค. 67</t>
  </si>
  <si>
    <t>โครงการฝึกอบรมเชิงปฏิบัติการโรคหัวใจในสัตว์เล็ก  “Basic Veterinary Echocardiography Lecture and Workshop 2024”</t>
  </si>
  <si>
    <t>7 - 8 ธ.ค.67</t>
  </si>
  <si>
    <t>การฝึกอบรมเชิงปฏิบัติการ Theme: Breath &amp; Balance: Anesthesia Safety in Small Animals</t>
  </si>
  <si>
    <t>ผศ.สพ.ญ.ดร.สิริรัตน์ นิยม</t>
  </si>
  <si>
    <t>12 - 13 ธ.ค.67</t>
  </si>
  <si>
    <t>โครงการฝึกอบรมเชิงปฏิบัติการ “หลักสูตร : การตรวจวินิจฉัยและรักษาโรคทางเวชศาสตร์ระบบสืบพันธุ์สุนัขและแมว” Diagnostic and Treatment in Canine and Feline Theriogenology</t>
  </si>
  <si>
    <t>ผศ.สพ.ญ.ดร.ชื่นสุมน ลิ้มมานนท์</t>
  </si>
  <si>
    <t>1 ธ.ค.67 - 31 มี.ค.67</t>
  </si>
  <si>
    <t>โครงการ โครงการพัฒนาวิชาการเพื่อการฝึกงานของนิสิต นักศึกษา และบุคลากรไทยและต่างประเทศ ประจำปี 2568 (The Academic development program for technical training of Thai and International students and staffs) (บังกาลาเทศ)</t>
  </si>
  <si>
    <t>อ.น.สพ.เกียรติศักดิ์ ตันเจริญ</t>
  </si>
  <si>
    <t>รพส.มก.บข</t>
  </si>
  <si>
    <t>1 ม.ค.- 31 ธ.ค. 68</t>
  </si>
  <si>
    <t>โครงการฝึกอบรมเชิงปฏิบัติการเรื่อง “แนวปฏิบัติเพื่อการวินิจฉัยโรคทางคลินิกสัตว์เลี้ยงจากการใช้ปัญหาเป็นฐาน (Paradigm in problem-oriented approach in small animal practice)”</t>
  </si>
  <si>
    <t>3 - 5 ก.พ.68</t>
  </si>
  <si>
    <t>โครงการฝึกอบรม เรื่อง “One-Day CT: Basic Small Animal Computed Tomography for General Practitioners”</t>
  </si>
  <si>
    <t>อ.น.สพ.ดร.วุฒิวงศ์ ธีรพันธ์</t>
  </si>
  <si>
    <t>14 กพ. 68</t>
  </si>
  <si>
    <t>โครงการฝึกอบรมเชิงปฏิบัติการ เรื่อง ทักษะการผ่าตัดขั้นสูงเพื่อรักษาความผิดปกติของท่อปัสสาวะในสุนัข ครั้งที่ 5</t>
  </si>
  <si>
    <t>22 - 23 ก.พ.68</t>
  </si>
  <si>
    <t>โครงการฝึกอบรมเชิงปฏิบัติการ “ หลักสูตร : การตรวจวินิจฉัยและรักษาโรคต่อมไร้ท่อและทางเดินอาหารในสัตว์เลี้ยง ”</t>
  </si>
  <si>
    <t>โครงการฝึกอบรมเชิงปฏิบัติการ “หลักสูตร : การตรวจวินิจฉัยและรักษาโรคขั้นพื้นฐานในแมว”</t>
  </si>
  <si>
    <t>โครงการฝึกอบรมเชิงปฏิบัติการ “หลักสูตร : การตรวจวินิจฉัยและรักษาโรคผิวหนังขั้นพื้นฐานในสัตว์เลี้ยง”</t>
  </si>
  <si>
    <t>ผศ.สพ.ญ.ดร.ศุฐฐิวี เจิมประไพร</t>
  </si>
  <si>
    <t>โครงการ โครงการพัฒนาวิชาการเพื่อการฝึกงานของนิสิต นักศึกษา และบุคลากรไทยและต่างประเทศ ประจำปี 2568 (The Academic development program for technical training of Thai and International students and staffs) (ประเทศไต้หวัน)</t>
  </si>
  <si>
    <t>3 - 28 มี.ค.68</t>
  </si>
  <si>
    <t>โครงการเชิงปฏิบัติการเรื่อง การจัดการภาวะฉุกเฉินและการบาดเจ็บบริเวณกระดูกขากรรไกรและใบหน้าในสัตว์เลี้ยง Maxillofacial trauma and emergency management in small animal</t>
  </si>
  <si>
    <t>น.สพ.จักรินทร์ สัทธาธรรม</t>
  </si>
  <si>
    <t>20 - 21 มี.ค.68</t>
  </si>
  <si>
    <t>โครงการฝึกอบรมเชิงปฏิบัติการ เรื่อง Pawsitive Recovery by Basic Ortho-Neuro Rehab : เวชศาสตร์ฟื้นฟูขั้นพื้นฐานโดย Ortho-Neuro Rehab เพื่อการฟื้นฟูเพื่อนสี่ขาที่สมบูรณ์</t>
  </si>
  <si>
    <t>24 - 25 มี.ค.68</t>
  </si>
  <si>
    <t>โครงการฝึกรมเชิงปฏิบัติการ เรื่อง การจัดการภาวะกระดูกหักในสัตว์เล็กสำหรับคุณหมอมือใหม่ KU Bone Camp 2025: Small Animal Fracture Management for Beginners</t>
  </si>
  <si>
    <t>ผศ.สพ.ญ.ดร. มนชนก วิจารสรณ์</t>
  </si>
  <si>
    <t>26 - 28 มี.ค.68</t>
  </si>
  <si>
    <t>โครงการฝึกอบรมเชิงปฏิบัติการเรื่อง เครื่องมือการตรวจวินิจฉัย และ การส่องกล้องเบื้องต้น วฉ.102 Diagnostic tools and principles endoscopy DT.102</t>
  </si>
  <si>
    <t>28 - 29 มี.ค.68</t>
  </si>
  <si>
    <t>25 มี.ค. - 20 พ.ค. 68</t>
  </si>
  <si>
    <t>2 เมย. - 1พ.ค.68</t>
  </si>
  <si>
    <t>โครงการ โครงการพัฒนาวิชาการเพื่อการฝึกงานของนิสิต นักศึกษา และบุคลากรไทยและต่างประเทศ ประจำปี 2568 (The Academic development program for technical training of Thai and International students and staffs) (ประเทศอิตาลี)</t>
  </si>
  <si>
    <t>8 - 24 เม.ย.68</t>
  </si>
  <si>
    <t>โครงการฝึกอบรมเชิงปฏิบัติการเรื่อง “Decoding cytology : Key technics for accurate diagnosis and interpretation”</t>
  </si>
  <si>
    <t>21 - 22 เม.ย.68</t>
  </si>
  <si>
    <t>โครงการฝึกอบรมเชิงปฏิบัติการเรื่อง “Basic clinical management of acute kidney injury in dogs and cats”</t>
  </si>
  <si>
    <t>23 - 24 เม.ย.68</t>
  </si>
  <si>
    <t>โครงการฝึกอบรมเชิงปฏิบัติการเรื่อง “Cardiac C.A.R.E. (Clinical Approaches by Rationale Evaluation)”</t>
  </si>
  <si>
    <t>1 - 2 พ.ค. 68</t>
  </si>
  <si>
    <t>โครงการฝึกอบรมเชิงปฏิบัติการ “หลักสูตร : การตรวจวินิจฉัยและรักษาโรคในสัตว์เลี้ยงพิเศษ”</t>
  </si>
  <si>
    <t>5 - 27 พ.ค. 68</t>
  </si>
  <si>
    <t>1- 20 พ.ค.68</t>
  </si>
  <si>
    <t>6 - 30 พ.ค. 68</t>
  </si>
  <si>
    <t>โครงการแต่งกีบโค รุ่นที่ 6</t>
  </si>
  <si>
    <t>9 - 12 พ.ค. 68</t>
  </si>
  <si>
    <t>โครงการประชุมวิชาการ และฝึกอบรมเชิงปฏิบัติการ เรื่อง “โรคหัวใจในสัตว์ และเวชศาสตร์โรคหัวใจและหลอดเลือด-เอเชียตะวันออกเฉียงใต้”</t>
  </si>
  <si>
    <t>รศ.สพ.ญ.ดร.สุนทรี เพ็ชรดี</t>
  </si>
  <si>
    <t>โรงแรมจัสมินซิตี้</t>
  </si>
  <si>
    <t>14 - 16 พ.ค.68</t>
  </si>
  <si>
    <t>21 พ.ค. - 1 ก.ค. 68</t>
  </si>
  <si>
    <t>โครงการฝึกอบรมเชิงปฏิบัติการ หลักสูตร : การจัดการภาวะการบาดเจ็บของช่องอกในสัตว์เล็ก</t>
  </si>
  <si>
    <t>22 - 23 พ.ค.68</t>
  </si>
  <si>
    <t>การฝึกอบรมเชิงปฏิบัติการ หลักสูตร : การจับบังคับและหัตถการพื้นฐานในสัตว์เลี้ยงชนิดพิเศษสำหรับผู้ช่วยสัตวแพทย์</t>
  </si>
  <si>
    <t>29 - 30 พ.ค.68</t>
  </si>
  <si>
    <t>โครงการสัมมนาเชิงปฏิบัติการ เรื่อง Raptor Rehabilitation 101: Fracture Care and Pre-Release Strategies</t>
  </si>
  <si>
    <t>ผศ.สพ.ญ.ดร.สุภาเพ็ญ ศรีพิบูลย์</t>
  </si>
  <si>
    <t>รพส.มก.กพส</t>
  </si>
  <si>
    <t>โครงการอบรมเชิงปฏิบัติการเรื่อง“การแก้ไขภาวะวิกลรูปของของขาหลังในสัตว์เล็กด้วยเทคนิคทางศัลยกรรม KU Bone Camp 2025 - Advanced Edition: Hindlimb Deformity in Focus”</t>
  </si>
  <si>
    <t>7 -8 มิ.ย.68</t>
  </si>
  <si>
    <t>โครงการ โครงการพัฒนาวิชาการเพื่อการฝึกงานของนิสิต นักศึกษา และบุคลากรไทยและต่างประเทศ ประจำปี 2568 (The Academic development program for technical training of Thai and International students and staffs) (ประเทศมาเลเซีย)</t>
  </si>
  <si>
    <t>9 - 20 มิ.ย.68</t>
  </si>
  <si>
    <t>โครงการ โครงการพัฒนาวิชาการเพื่อการฝึกงานของนิสิต นักศึกษา และบุคลากรไทยและต่างประเทศ ประจำปี 2568 (The Academic development program for technical training of Thai and International students and staffs) (ประเทศออสเตรีย)</t>
  </si>
  <si>
    <t>30 มิ.ย. -25 ก.ค.68</t>
  </si>
  <si>
    <t>1 ก.ค. - 7 ส.ค. 68</t>
  </si>
  <si>
    <t>14 - 25 ก.ค. 68</t>
  </si>
  <si>
    <t>โครงการ โครงการพัฒนาวิชาการเพื่อการฝึกงานของนิสิต นักศึกษา และบุคลากรไทยและต่างประเทศ ประจำปี 2568 (The Academic development program for technical training of Thai and International students and staffs) (ประเทศอินโดนีเซีย)</t>
  </si>
  <si>
    <t>4 - 22 ส.ค.68</t>
  </si>
  <si>
    <t>13 ส.ค. - 14 ก.ย.68</t>
  </si>
  <si>
    <t>โครงการฝึกอบรมเชิงปฏิบัติการ เรื่อง การอัลตราซาวด์ช่องท้องในสัตว์เล็ก</t>
  </si>
  <si>
    <t>สพ.ญ.ชนิกานต์ สังข์ทอง</t>
  </si>
  <si>
    <t>16 - 17 ส.ค.68</t>
  </si>
  <si>
    <t>โครงการอบรมเชิงปฏิบัติการ เรื่อง “International Training Course: Echocardiography and Abdominal Ultrasonography in Small Animal Practice”</t>
  </si>
  <si>
    <t>23 - 24 ส.ค. 68</t>
  </si>
  <si>
    <t>17 ก.ย. - 29 ต.ค. 68</t>
  </si>
  <si>
    <t>โครงการสัมมนาเรื่อง Basic Applications in Abdominal Ultrasound by JF Academy x VINNO</t>
  </si>
  <si>
    <t>18 - 19 ก.ย. 68</t>
  </si>
  <si>
    <t>1 ต.ค.-4พ.ย.68</t>
  </si>
  <si>
    <t>30 ต.ค. - 9 ธ.ค.68</t>
  </si>
  <si>
    <t>10 พ.ย. - 3 ธ.ค.68</t>
  </si>
  <si>
    <t>โครงการฝึกอบรมเชิงปฏิบัติการ เรื่อง Survival Guide to GI &amp; Endocrine Tumors — A Med &amp; Sur Collaboration</t>
  </si>
  <si>
    <t>11-13 พ.ย.68</t>
  </si>
  <si>
    <t>โครงการฝึกอบรมเชิงปฏิบัติการเรื่อง “การตรวจวินิจฉัย และ การรักษาปัญหาระบบทางเดินหายใจเข้าก็เฮ้อเธอ หายใจออกก็เฮ้อเธอ”
  “Diagnostic tools and treatment of choice for respiratory problems”</t>
  </si>
  <si>
    <t>23 - 24 พ.ย. 68</t>
  </si>
  <si>
    <t>สัมมนาเรื่อง รอบรู้เรื่องโรคสมองเสื่อมในสุนัขและแมว</t>
  </si>
  <si>
    <t>รศ.น.สพ.ดร.นิรุตติ์ สุวรรณา</t>
  </si>
  <si>
    <t>โครงการฝึกอบรมเชิงปฏิบัติการหัวข้อ Is Your Patient Safe? A Deep Dive into Anesthetic Complications</t>
  </si>
  <si>
    <t>11 - 12 ธ.ค.68</t>
  </si>
  <si>
    <t>โครงการฝึกอบรมเชิงปฏิบัติการ เรื่อง ทักษะการผ่าตัดขั้นสูงเพื่อรักษาความผิดปกติของท่อปัสสาวะในสุนัข</t>
  </si>
  <si>
    <t>20 - 21 ธ.ค.68</t>
  </si>
  <si>
    <t>ปีการศึกษา 2564</t>
  </si>
  <si>
    <t xml:space="preserve">7.4 ผลลัพธ์ด้านการนำองค์กรและการกำกับดูแลองค์กร (Leadership and Governance Results): </t>
  </si>
  <si>
    <t>1 การนำองค์กร</t>
  </si>
  <si>
    <t>ชื่อผลงาน</t>
  </si>
  <si>
    <t>ปีงบประมาณ 2564</t>
  </si>
  <si>
    <t>1</t>
  </si>
  <si>
    <t>การรับรองมาตรฐานโดย 
Australasian Veterinary Boards Council (AVBC)</t>
  </si>
  <si>
    <t>อยู่ระหว่างรอการพิจารณาผล
การขอมาตรฐาน AVBC</t>
  </si>
  <si>
    <t>2</t>
  </si>
  <si>
    <t>มาตรฐาน ISO 9001:2015</t>
  </si>
  <si>
    <t>1 หน่วยงาน</t>
  </si>
  <si>
    <t>3 หน่วยงาน</t>
  </si>
  <si>
    <t>5 หน่วยงาน</t>
  </si>
  <si>
    <t>6 หน่วยงาน</t>
  </si>
  <si>
    <t>3</t>
  </si>
  <si>
    <t xml:space="preserve">มาตรฐาน ISO/IEC 17025 </t>
  </si>
  <si>
    <t xml:space="preserve"> 1 หน่วยงาน </t>
  </si>
  <si>
    <t>4</t>
  </si>
  <si>
    <t>มาตรฐานคณะกรรมการกำกับดูแลการดำเนินการต่อสัตว์เพื่องานทางวิทยาศาสตร์ของสถานที่ดำเนินการ (มคกส.)</t>
  </si>
  <si>
    <t>ดำเนินการตรวจ มคกส. โดยคณะกรรมการภายใน (Internal Audit)</t>
  </si>
  <si>
    <t>5</t>
  </si>
  <si>
    <t>มาตรฐานความปลอดภัยของห้องปฏิบัติการวิจัยในประเทศไทย (Enhancement of Safety Practice of Research Laboratory in Thailand : ESPReL)</t>
  </si>
  <si>
    <t xml:space="preserve">พ.ย. – ธ.ค. 2568 คณะกรรมการและผู้ที่เกี่ยวข้องเข้าตรวจเยี่ยมเพื่อประเมินโครงการ และการดำเนินงาน (Internal Audit) </t>
  </si>
  <si>
    <t>6</t>
  </si>
  <si>
    <t>1 หลักสูตร</t>
  </si>
  <si>
    <t>2 หลักสูตร</t>
  </si>
  <si>
    <t>7</t>
  </si>
  <si>
    <t>4 หลักสูตร</t>
  </si>
  <si>
    <t>5 หลักสูตร</t>
  </si>
  <si>
    <t xml:space="preserve">      ปีงบประมาณ 2569 ดำเนินการขอมาตรฐานคณะกรรมการกำกับดูแลการดำเนินการต่อสัตว์เพื่องานทางวิทยาศาสตร์ของสถานที่ดำเนินการ (มคกส.) ตามพระราชบัญญัติสัตว์ เพื่องานทางวิทยาศาสตร์ พ.ศ. 2558</t>
  </si>
  <si>
    <t xml:space="preserve">      ปีงบประมาณ 2569 ดำเนินการขอรับรองมาตรฐานห้องปฏิบัติการปลอดภัย (ESPReL) จากหน่วยงานภายนอก (Accreditation) เพื่อยื่นขอและผ่านการรับรองจากสำนักงานการวิจัยแห่งชาติ (วช.)
    - ยื่นเอกสารขอรับรอง /เข้ารับการตรวจประเมินจากหน่วยรับรอง (On-site Assessment) / ดำเนินการแก้ไขข้อบกพร่อง (Corrective Action Report)
    - ได้รับใบรับรองห้องปฏิบัติการตามมาตรฐาน ESPReL /จัดทำนโยบาย แผนงาน และโครงสร้างการบริหารจัดการด้านความปลอดภัยระดับคณะฯ ภาควิชา/หน่วยงาน และห้องปฏิบัติการ เพื่อเสนอคณะกรรมการคณะฯ เพื่อพิจารณาลงความเห็น</t>
  </si>
  <si>
    <t>การรับรองมาตรฐานโดย Australasian Veterinary Boards Council (AVBC)</t>
  </si>
  <si>
    <t>เตรียมการ และอบรมเกี่ยวกับกระบวนการรับรอง</t>
  </si>
  <si>
    <t>เตรียมการ และรวบรวมหลักฐานตามมาตรฐานที่กำหนด ในระบบออนไลน์ ส่งให้กรรมการตรวจประเมิน</t>
  </si>
  <si>
    <t xml:space="preserve">  - MocK Visit (ตรวจจำลอง)
  - site Visit (ตรวจจริง)
      จากการตรวจประเมิน 93 standard ทางกรรมการ site visit ได้สรุปรายงานเพื่อให้ทางคณะตรวจสอบ ได้ผลเป็น 8 Directives, 9 Suggestions, 4 Commendations ส่วนข้ออื่นๆ ไม่มีประเด็นเพิ่มเติม (ผ่าน) 
      ขณะนี้กำลังอยู่ระหว่างการตรวจสอบ และพิจารณาตอบกลับตามรายงานที่ส่งให้ โดยจะต้องส่งกลับ AVBC ภายในวันที่ 22 ธ.ค. 2568 เพื่อให้ทาง AVBC ยื่นเรื่องเพื่อพิจารณาผลการขอมาตรฐานต่อไป โดยคาดว่าจะได้รับผลตรวจประมาณ 3 เดือนข้างหน้า</t>
  </si>
  <si>
    <t xml:space="preserve">          เดือน สิงหาคม - พฤศจิกายน 2565 คณะสัตวแพทยศาสตร์ มหาวิทยาลัยเกษตรศาสตร์ ได้เชิญ Professor Norman B. Williamson ซึ่งเป็นอดีตประธาน Veterinary Schools Accreditation Advisory Committee (VSAAC) และอดีตคณบดี School of Veterinary Science, Massey University มาบรรยายเกี่ยวกับการตรวจมาตรฐานเพื่อการรับรอง AVBC และมีการประชุมอบรมให้กับผู้บริหาร หัวหน้าภาควิชา คณะกรรมการตรวจประเมินมาตรฐาน AVBC ภายในคณะสัตวแพทยศาสตร์ มหาวิทยาลัยเกษตรศาสตร์ และบุคลากรที่สนใจ โดยให้คำแนะนำเกี่ยวกับกระบวนการรับรอง และเกี่ยวกับมาตรฐานทั้งหมดที่จะตรวจสอบ โดยบรรยายทางออนไลน์ผ่านโปรแกรม Cisco Webex  อธิบายและให้คำแนะนำจากการทำ self-evaluation report (SER) และ desktop review ที่ได้ส่งให้ AVBC ได้พิจารณา 
  -  มาตรฐานที่ 1 - Organisation เป็นมาตรฐานที่กล่าวถึงประสิทธิภาพการดูแล และการจัดการภายในคณะเพื่อให้สำเร็จตามแผนที่กำหนดไว้
  -  ตามมาตรฐานที่ 2-Finances เป็นมาตรฐานที่กล่าวถึงความเชี่ยวชาญและความพร้อมทางด้านการเงินพื่อให้เพียงพอในการดำเนินการเรียนการสอนของคณะสัตวแพทยศาสตร์และทำให้คณะบรรลุพันธกิจได้  
  -  มาตรฐานที่ 9 - Curriculum  เป็นมาตรฐานที่กล่าวถึงหลักสูตรสัตวแพทยศาสตร์บัณฑิตต้องได้รับการออกแบบ มีทรัพยากรและการจัดการที่ดีเพื่อให้มั่นใจว่านิสิตที่จบไปเข้าใจถึงกระบวนการที่สำคัญในทางสัตวแพทย์ เข้าใจหลักการทางชีวภาพ มีคุณลักษณะตรงตามที่ AVBC ได้กำหนดไว้และมีความสามารถขั้นต่ำในการทำงานเป็นสัตวแพทย์วันแรกตามที่ทาง RCVS กำหนด
  -  มาตรฐานที่ 10 - Assessment   มาตรฐานนี้กล่าวถึงการประเมิน ซึ่งเป็นเรื่องที่สำคัญเนื่องจากนิสิตที่ผ่านการประเมินจนจบเป็นบัณฑิตได้นั้น
ต้องมีความสามารถตรงตามที่กำหนด เพื่อเข้าสู่วงการวิชาชีพอย่างมีมาตรฐาน 
  -  มาตรฐานที่ 3 - Facilities and Equipment มาตรฐานนี้กล่าวถึงสิ่งอำนวยความสะดวกทางกายภาพ (Physical facilities) ทุกด้านจะต้องมีสภาพแวดล้อมที่เอื้อต่อการเรียนรู้ที่เหมาะสมทั้งห้องเรียน ห้องปฏิบัติการ และโรงพยาบาล  ซึ่งอาจรวมถึงยานพาหนะบริการสัตว์ป่วยนอกหรือภาคสนาม ห้องสัมมนา และพื้นที่การสอนอื่น ๆ จะต้องสะอาด มีการบำรุงรักษาด้วยการซ่อมแซม และมีจำนวนห้องและขนาดห้องเพียงพอรวมทั้งจำนวนอุปกรณ์ที่เพียงพอต่อจำนวนนิสิตที่ลงทะเบียน เพื่อวัตถุประสงค์ในการเรียนการสอน 
          คณะสัตวแพทยศาสตร์ มหาวิทยาลัยเกษตรศาสตร์ เตรียมการและรวบรวมหลักฐาน ตามมาตรฐานที่กำหนดไว้ในระบบออนไลน์ เพื่อให้ทีมตรวจประเมินก่อนการตรวจรับรองมาตรฐาน AVBC
  -  วันที่ 13-18 กรกฎาคม 2568 MocK Visit (ตรวจจำลอง)
  -  วันที่ 23-28 พฤศจิกายน 2568  site Visit (ตรวจจริง)
          จากการตรวจประเมิน 93 standard ทางกรรมการ site visit ได้สรุปรายงานเพื่อให้ทางคณะตรวจสอบ ได้ผลเป็น 8 Directives, 9 Suggestions, 4 Commendations ส่วนข้ออื่นๆ ไม่มีประเด็นเพิ่มเติม (ผ่าน) ขณะนี้กำลังอยู่ระหว่างการตรวจสอบและพิจารณาตอบกลับตามรายงานที่ส่งให้โดยจะต้องส่งกลับ AVBC ภายในวันที่ 22 ธ.ค. 2568 เพื่อให้ทาง AVBC ยื่นเรื่องเพื่อพิจารณาผลการขอมาตรฐานต่อไป โดยคาดว่าจะได้รับผลตรวจประมาณ 3 เดือนข้างหน้า</t>
  </si>
  <si>
    <t>มาตรฐานคณะกรรมการกำกับดูแลการดำเนินการต่อสัตว์เพื่องานทางวิทยาศาสตร์ของสถานที่ดำเนินการ 
(มคกส.)</t>
  </si>
  <si>
    <t>ศูนย์วิจัยและนวัตกรรมทางสัตวแพทย์
(Internal Audit)</t>
  </si>
  <si>
    <t xml:space="preserve">          1. พ.ย. – ธ.ค. 2568 คณะกรรมการและผู้ที่เกี่ยวข้องเข้าตรวจเยี่ยมเพื่อประเมินโครงการและการดำเนินงาน (Internal Audit) เพื่อผู้ดำเนินงานจะได้ทราบว่าต้องดำเนินการตรงส่วนไหนเพิ่มบ้าง และสิ่งที่ดำเนินงานมาทั้งหมดมีความถูกต้องมากน้อยแค่ไหน จำเป็นต้องปรับเปลี่ยนสิ่งใดเพื่อให้เกิดการพัฒนาของห้องปฏิบัติการให้ตรงตามวัตถุประสงค์และเข้าใกล้เป้าหมายและผ่านการรับรองมาตรฐานห้องปฏิบัติการปลอดภัย (ESPReL)
          2. ขอการรับรองจากหน่วยงานภายนอก (Accreditation) เพื่อยื่นขอและผ่านการรับรองจากสำนักงานการวิจัยแห่งชาติ (วช.)
  - ยื่นเอกสารขอรับรอง
  - เข้ารับการตรวจประเมินจากหน่วยรับรอง (On-site Assessment)
  - ดำเนินการแก้ไขข้อบกพร่อง (Corrective Action Report)
  - ได้รับใบรับรองห้องปฏิบัติการตามมาตรฐาน ESPReL
          3. จัดทำนโยบาย แผนงาน และโครงสร้างการบริหารจัดการด้านความปลอดภัยระดับคณะฯ ภาควิชา/หน่วยงาน และห้องปฏิบัติการเพื่อเสนอคณะกรรมการคณะฯ เพื่อพิจารณาลงความเห็น</t>
  </si>
  <si>
    <t xml:space="preserve">พ.ย. – ธ.ค. 2568 คณะกรรมการและผู้ที่เกี่ยวข้องเข้าตรวจเยี่ยม เพื่อประเมินโครงการและการดำเนินงาน (Internal Audit) </t>
  </si>
  <si>
    <t xml:space="preserve">          ปีงบประมาณ 2569 ดำเนินการขอรับรองมาตรฐานห้องปฏิบัติการปลอดภัย (ESPReL) จากหน่วยงานภายนอก (Accreditation) เพื่อยื่นขอและผ่านการรับรองจากสำนักงานการวิจัยแห่งชาติ (วช.)
   - ยื่นเอกสารขอรับรอง /เข้ารับการตรวจประเมินจากหน่วยรับรอง (On-site Assessment) / ดำเนินการแก้ไขข้อบกพร่อง (Corrective Action Report)
   - ได้รับใบรับรองห้องปฏิบัติการตามมาตรฐาน ESPReL /จัดทำนโยบาย แผนงาน และโครงสร้างการบริหารจัดการด้านความปลอดภัยระดับคณะฯ ภาควิชา/หน่วยงาน และห้องปฏิบัติการ เพื่อเสนอคณะกรรมการคณะฯ เพื่อพิจารณาลงความเห็น โดยห้องปฏิบัติการที่จะดำเนินการขอตรวจประเมินและยื่นรับรองมาตรฐานความปลอดภัยห้องปฏิบัติการ (ESPReL) จำนวน 14 ห้องปฏิบัติการ ดังนี้
    1. ห้องปฏิบัติการเพาะเลี้ยงเซลล์
    2. ห้องปฏิบัติการวิเคราะห์สารเคมี 
    3. ห้องปฏิบัติการเพื่อการค้นพบทางโมเลกุลาร์
    4. ห้องปฏิบัติการกล้องจุลทรรศน์คอนโฟคอล
    5. ห้องปฏิบัติการสแกนสไลด์อัตโนมัติ        
    6. ห้องปฏิบัติการเพื่อการส่องและถ่ายภาพสารพันธุกรรมบนแผ่นเจล
    7. ห้องปฏิบัติการวิเคราะห์เพื่อการเพิ่มและตรวจนับปริมาณสารพันธุกรรมในหยดปฏิกิริยาด้วยวิธีดิจิทัลพีซีอาร์
    8. ห้องปฏิบัติการเตรียมตัวอย่าง
    9. ห้องปฏิบัติการกล้องจุลทรรศน์
    10. ห้องปฏิบัติการวิจัยทางโครมาโทกราฟี
    11. ห้องปฏิบัติการวิจัยและนวัตกรรม I
    12. ห้องปฏิบัติการวิจัยและนวัตกรรม II
    13. ห้องปฏิบัติการวิจัยและนวัตกรรม III
    14. ห้องปฏิบัติการวิจัยและนวัตกรรม IV</t>
  </si>
  <si>
    <t>ปีการศึกษา ปี 2565</t>
  </si>
  <si>
    <t>ปีการศึกษา ปี 2566</t>
  </si>
  <si>
    <t>ปีการศึกษา ปี 2567</t>
  </si>
  <si>
    <t>ปีการศึกษา ปี 2568</t>
  </si>
  <si>
    <t>การประกันคุณภาพตามมาตรฐาน AUN-QA (ASEAN University Network-Quality Assurance)</t>
  </si>
  <si>
    <t>ได้รับการรับรอง จำนวน 1 หน่วยงาน
   - โรงพยาบาลสัตว์ มก.บางเขน
 (รับรอง 13 พ.ย.62 และต่ออายุการรับรองถึงปัจจุบัน)</t>
  </si>
  <si>
    <t>ได้รับการรับรอง จำนวน 3 หน่วยงาน
   - โรงพยาบาลสัตว์ มก.บางเขน
 (รับรอง 13 พ.ย.62 และต่ออายุการรับรองถึงปัจจุบัน)
    - โรงพยาบาลสัตว์ มก.กำแพงแสน 
(รับรอง 14 ก.พ.65 และต่ออายุการรับรองถึงปัจจุบัน)
   - งานบริหารและธุรการ กำแพงแสน
(รับรอง 14 ก.พ.65 และต่ออายุการรับรองถึงปัจจุบัน)</t>
  </si>
  <si>
    <t>ได้รับการรับรอง จำนวน 5 หน่วยงาน
   - โรงพยาบาลสัตว์ มก.บางเขน
 (รับรอง 13 พ.ย.62 และต่ออายุการรับรองถึงปัจจุบัน)
   - โรงพยาบาลสัตว์ มก.กำแพงแสน 
(รับรอง 14 ก.พ.65 และต่ออายุการรับรองถึงปัจจุบัน)
   - งานบริหารและธุรการ กำแพงแสน
(รับรอง 14 ก.พ.65 และต่ออายุการรับรองถึงปัจจุบัน)
   - โรงพยาบาลสัตว์ มก.หนองโพ
(รับรอง 13 พ.ค.66 และต่ออายุการรับรองถึงปัจจุบัน)
   - โรงพยาบาลสัตว์ มก.หัวหิน
(รับรอง 13 พ.ค.66 และต่ออายุการรับรองถึงปัจจุบัน)</t>
  </si>
  <si>
    <t>ได้รับการรับรอง จำนวน 6 หน่วยงาน
   - โรงพยาบาลสัตว์ มก.บางเขน
 (รับรอง 13 พ.ย.62 และต่ออายุการรับรองถึงปัจจุบัน)
   - โรงพยาบาลสัตว์ มก.กำแพงแสน 
(รับรอง 14 ก.พ.65 และต่ออายุการรับรองถึงปัจจุบัน)
   - งานบริหารและธุรการ กำแพงแสน
(รับรอง 14 ก.พ.65 และต่ออายุการรับรองถึงปัจจุบัน)
   - โรงพยาบาลสัตว์ มก.หนองโพ
(รับรอง 13 พ.ค.66 และต่ออายุการรับรองถึงปัจจุบัน)
   - โรงพยาบาลสัตว์ มก.หัวหิน
(รับรอง 13 พ.ค.66 และต่ออายุการรับรองถึงปัจจุบัน)
   - สำนักงานเลขานุการ (รับรอง 67 และต่ออายุการรับรองถึงปัจจุบัน)</t>
  </si>
  <si>
    <t>ได้รับการรับรอง จำนวน 6 หน่วยงาน
   - โรงพยาบาลสัตว์ มก.บางเขน
 (รับรอง 13 พ.ย.62 และต่ออายุการรับรองถึงปัจจุบัน)
   - โรงพยาบาลสัตว์ มก.กำแพงแสน 
(รับรอง 14 ก.พ.65 และต่ออายุการรับรองถึงปัจจุบัน)
   - งานบริหารและธุรการ กำแพงแสน
(รับรอง 14 ก.พ.65 และต่ออายุการรับรองถึงปัจจุบัน)
   - โรงพยาบาลสัตว์ มก.หนองโพ
(รับรอง 13 พ.ค.66 และต่ออายุการรับรองถึงปัจจุบัน)
   - โรงพยาบาลสัตว์ มก.หัวหิน
(รับรอง 13 พ.ค.66 และต่ออายุการรับรองถึงปัจจุบัน)
   - สำนักงานเลขานุการ
(รับรอง 67 และต่ออายุการรับรองถึงปัจจุบัน)</t>
  </si>
  <si>
    <t xml:space="preserve">ได้รับการรับรอง จำนวน 1 หน่วยงาน
   - ศูนย์ชันสูตรโรคสัตว์ กำแพงแสน 
(รับรอง 20 มกราคม พ.ศ.2565 และต่ออายุการรับรองถึงปัจจุบัน) </t>
  </si>
  <si>
    <t>ได้รับการรับรอง จำนวน 1 หน่วยงาน
และอยู่ระหว่างยื่นขอรับรอง 2 หน่วยงาน
   - ศูนย์ชันสูตรโรคสัตว์ กำแพงแสน
 (รับรอง 20 มกราคม พ.ศ.2565 และต่อ
อายุการรับรองถึงปัจจุบัน) 
   - ศูนย์ชันสูตรโรคสัตว์ บางเขน 
(เข้ารับการตรวจประเมินปลายปี 68)
   - ศูนย์วิจัยและนวัตกรรมทางสัตวแพทย์
(เตรียมความพร้อมเพื่อทำมาตรฐานในปี 69)</t>
  </si>
  <si>
    <t xml:space="preserve">รับการประเมินเรียบร้อยแล้ว 
จำนวน  2  หลักสูตร  แบ่งเป็น
 ป.โท จำนวน 1 หลักสูตร
  - สาขาวิชาระบาดวิทยาทางสัตวแพทย์
 ป.เอก จำนวน 1 หลักสูตร 
  - สาขาวิชาวิทยาศาสตร์และนวัตกรรม
เพื่อสุขภาพสัตว์ (นานาชาติ)
</t>
  </si>
  <si>
    <t>รับการประเมินเรียบร้อยแล้ว 
จำนวน  4  หลักสูตร แบ่งเป็น
 ป.โท จำนวน 2 หลักสูตร
  - สาขาวิชาระบาดวิทยาทางสัตวแพทย์
  - สาขาวิชาวิทยาศาสตร์สุขภาพสัตว์และชีวเวชศาสตร์
 ป.เอก จำนวน 2 หลักสูตร
  - สาขาวิชาวิทยาศาสตร์และนวัตกรรมเพื่อสุขภาพสัตว์ (นานาชาติ)
  - สาขาวิชาวิทยาศาสตร์สุขภาพสัตว์และชีวเวชศาสตร์</t>
  </si>
  <si>
    <t>รับการประเมินเรียบร้อยแล้ว 
จำนวน  5  หลักสูตร  แบ่งเป็น
ป.โท จำนวน 3 หลักสูตร
  - สาขาวิชาระบาดวิทยาทางสัตวแพทย์
  - สาขาวิชาวิทยาศาสตร์สุขภาพสัตว์และชีวเวชศาสตร์ 
  - สาขาวิชาคลินิกศึกษาทางสัตวแพทย์
ป.เอก จำนวน 2 หลักสูตร
  - สาขาวิชาวิทยาศาสตร์และนวัตกรรมเพื่อสุขภาพสัตว์ (นานาชาติ)
  - สาขาวิชาวิทยาศาสตร์สุขภาพสัตว์และชีวเวชศาสตร์</t>
  </si>
  <si>
    <t>เข้ารับการประเมิน
จำนวน  6  หลักสูตร แบ่งเป็น
 ป.โท จำนวน 3 หลักสูตร
  - สาขาวิชาระบาดวิทยาทางสัตวแพทย์ 
( 6 พฤศจิกายน 2568)
  - สาขาวิชาวิทยาศาสตร์สุขภาพสัตว์และชีวเวชศาสตร์ (27 ตุลาคม 2568) 
ประเมินคุณภาพการศึกษาภายนอก 
 - สาขาวิชาคลินิกศึกษาทางสัตวแพทย์ 
( 29 กันยายน 2568)
 ป.เอก จำนวน 3 หลักสูตร
  - สาขาวิชาวิทยาศาสตร์และนวัตกรรมเพื่อสุขภาพสัตว์ (นานาชาติ)
  - สาขาวิชาวิทยาศาสตร์สุขภาพสัตว์และชีวเวชศาสตร์ ( 3 ธันวาคม 2568)
  - สาขาวิชาคลินิกศึกษาทางสัตวแพทย์ 
(30 กันยายน 2568)</t>
  </si>
  <si>
    <t xml:space="preserve">การประเมินคุณภาพการศึกษาภายใน ระดับหลักสูตร ตามเกณฑ์ AUN-QA หลักสูตรระดับบัณฑิตศึกษาคณะสัตวแพทยศาสตร์ ทั้งหมด 10 หลักสูตร ประกอบด้วย
·        ปริญญาโท 5 หลักสูตร ตรวจรับรองจำนวน 3 หลักสูตร
o   สาขาวิชาคลินิกศึกษาทางสัตวแพทย์ หลักสูตรปรับปรุง พ.ศ. 2564 (ตรวจรับรองปีที่ 2)
o   สาขาวิชาวิทยาศาสตร์สุขภาพสัตว์และชีวเวชศาสตร์ หลักสูตรปรับปรุง พ.ศ. 2565  (ตรวจรับรองปีที่ 3)
o   สาขาวิชาระบาดวิทยาทางสัตวแพทย์และสารสนเทศทางสัตวแพทยสาธารณสุข หลักสูตรปรับปรุง  พ.ศ. 2566 (ตรวจรับรองปีที่ 4)
o   สาขาวิชาวิทยาศาสตร์และนวัตกรรมเพื่อสุขภาพสัตว์ (หลักสูตรนานาชาติ) หลักสูตรใหม่ พ.ศ. 2567 ยังไม่ตรวจรับรอง
o   สาขาวิชาเภสัชวิทยาและพิษวิทยาทางการสัตวแพทย์ หลักสูตรปรับปรุง พ.ศ. 2564  ยังไม่ตรวจรับรอง
·        ปริญญาเอก 4 หลักสูตร ตรวจรับรองจำนวน 3 หลักสูตร
o   สาขาวิชาวิทยาศาสตร์สุขภาพสัตว์และชีวเวชศาสตร์ หลักสูตรปรับปรุง พ.ศ. 2565 (ตรวจรับรองปีที่ 3)
o   สาขาวิชาเภสัชวิทยาและพิษวิทยาทางการสัตวแพทย์ หลักสูตรปรับปรุง พ.ศ. 2565 ยังไม่ตรวจรับรอง
o   สาขาวิชาวิทยาศาสตร์และนวัตกรรมเพื่อสุขภาพสัตว์ (หลักสูตรนานาชาติ) หลักสูตรปรับปรุง พ.ศ. 2566  (ตรวจรับรองปีที่ 4)
o   สาขาวิชาคลินิกศึกษาทางสัตวแพทย์ หลักสูตรปรับปรุง พ.ศ. 2567 (ตรวจรับรองปีที่ 1)
    ประกาศนียบัตรชั้นสูง 1 หลักสูตร
 o  สาขาวิชาวิทยาศาสตร์การสัตวแพทย์คลินิก อยู่ระหว่างปิดหลักสูตร
</t>
  </si>
  <si>
    <t>การผลิตวัคซีนชนิด Autogenous vaccine ‎</t>
  </si>
  <si>
    <t>โครงการธนาคารเซลล์สัตว์ 
คณะสัตวแพทยศาสตร์ มหาวิทยาลัยเกษตรศาสตร์ 
(Kasetsart University Veterinary Animal Cell Bank – KUVACB)</t>
  </si>
  <si>
    <t>การประเมินทักษะเพื่อเตรียมความพร้อมก่อนการเรียนคลินิกปฏิบัติของนิสิตชั้นปีที่ 6 (OSCE)</t>
  </si>
  <si>
    <t>การประเมินทักษะทางคลินิก (EPA)</t>
  </si>
  <si>
    <t xml:space="preserve">         การประเมินทักษะทางคลินิก (EPA) การประเมิน Core Rotation ของนิสิตชั้นปีที่ 6 เริ่มดำเนินการตั้งแต่ ปีการศึกษา 2565 เพื่อใช้ในการประเมินผลลัพธ์การเรียนรู้ของนิสิตตามมาตรฐานหลักสูตรและใช้เป็นเครื่องสะท้อนกับสมรรถนะของนิสิตโดยนำผลการประเมินมาใช้วิเคราะห์และดำเนินการปรับปรุงกระบวนการเรียนการสอน เพื่อพัฒนานิสิตให้เป็นไปตามเกณฑ์มาตรฐานวิชาชีพ (นิสิต 100% ต้องได้รับการประเมิน EPA)</t>
  </si>
  <si>
    <t xml:space="preserve">งานด้าน stem cell </t>
  </si>
  <si>
    <t>รอขอข้อมูล อ.นก</t>
  </si>
  <si>
    <t xml:space="preserve">การพัฒนาชุดตรวจสอบเพื่อวินิจฉัยโรค (testkit) และงานด้านโปรตีน และ Primer เพื่อพัฒนาเป็นวัคซีนผลิตเป็นแอนติบอดี </t>
  </si>
  <si>
    <r>
      <rPr>
        <b/>
        <sz val="16"/>
        <color rgb="FF000000"/>
        <rFont val="Angsana New"/>
        <family val="1"/>
      </rPr>
      <t>1. ผลิตวัคซีน</t>
    </r>
    <r>
      <rPr>
        <sz val="16"/>
        <color rgb="FF000000"/>
        <rFont val="Angsana New"/>
        <family val="1"/>
      </rPr>
      <t xml:space="preserve"> จำนวน 7 ชนิด ดังนี้
‎   1.1 วัคซีนป้องกันโรค Streptococcus suis ในสุกร (วัคซีนเชื้อตาย) ใช้งานโดยการฉีด อยู่ระหว่างการเก็บข้อมูลด้านประสิทธิภาพ
   1.2 วัคซีนป้องกันโรค Pasteurella multicida ในสุกร (วัคซีนเชื้อตาย) ‎ใช้งานโดยการฉีด อยู่ระหว่างการเก็บข้อมูลด้านประสิทธิภาพ
   1.3 วัคซีนสำป้องกันโรค Actinobacillus pleuropneumoniae ในสุกร (วัคซีนเชื้อตาย)  ใช้งานโดยการฉีด อยู่ระหว่างการเก็บข้อมูลด้านประสิทธิภาพ
‎   1.4 วัคซีนป้องกันโรค E.coli ในสุกร (วัคซีนเชื้อตาย) ใช้งานโดยการฉีด ‎อยู่ระหว่างการเก็บข้อมูลด้านประสิทธิภาพ ‎
‎   1.5 วัคซีนป้องกันโรคเต้านมอักเสบจาก E. coli ในวัว (วัคซีนเชื้อ‎ตาย) ใช้งานโดยการฉีด อยู่ระหว่างการวางแผนการทดสอบเพื่อเก็บข้อมูลด้านประสิทธิภาพ
‎   1.6 วัคซีนป้องกันโรคหวัดหน้าบวม Avi bacterium paragallinarum ‎ในไก่ (วัคซีนเชื้อตาย) ใช้งานโดยการฉีด อยู่ระหว่างวางแผนการทดสอบเพื่อเก็บข้อมูลด้านประสิทธิภาพ ‎
   1.7 วัคซีนป้องกันโรค Streptococcus . agalactiae ในปลานิล (วัคซีน‎เชื้อตาย) ใช้งานโดยการกิน อยู่ระหว่างการเก็บข้อมูลด้านประสิทธิภาพ
</t>
    </r>
    <r>
      <rPr>
        <b/>
        <sz val="16"/>
        <color rgb="FF000000"/>
        <rFont val="Angsana New"/>
        <family val="1"/>
      </rPr>
      <t>2. เผยแพร่ผลการศึกษาวิจัยการผลิตวัคซีนผ่านงานประชุมวิชาการระดับนานาชาติ</t>
    </r>
    <r>
      <rPr>
        <sz val="16"/>
        <color rgb="FF000000"/>
        <rFont val="Angsana New"/>
        <family val="1"/>
      </rPr>
      <t xml:space="preserve"> ‎จำนวน 4 บทความ ดังนี้
    2.1 ศึกษาสภาวการณ์เกิดเชื้อแบคทีเรียดื้อยาในฟาร์มสุกร ไปนำเสนอในงานประชุมวิชาการในงาน 57th Congress of the European Societies of Toxicology ‎‎(EUROTOX 2023) ณ สาธารณรัฐสโลวีเนีย ในช่วงวันที่ 10-13 กันยายน 2566 และได้ตีพิมพ์บทความลงใน late poster publication
‎    2.2 นำผลการตรวจยาตกค้างจากฟาร์มตัวแทน และผลการวิเคราะห์ยาตกค้างในตัวอย่างจากฟาร์มปลานิล ไปนำเสนอในงานประชุมวิชาการในงาน 58th Congress of the ‎European Societies of Toxicology (EUROTOX 2024) ณ เมืองโคเปนเฮเกนราชอาณาจักรเดนมาร์ก ในช่วง วันที่ 8-11 กันยายน 2567 ผลงานดังกล่าวถูกตีพิมพ์ใน วารสาร Toxicology Letters Volume 399, Supplement 2, September 2024‎ โดยมี จำนวน 2 ผลงานคือ
‎          - Effects of autogenous vaccine on 20 antimicrobial ‎drug residues in Nile Tilapia (Oreochromis Niloticus) farm, ‎Thailand. ‎
          ‎- Health risk contamination of Mercury in blood and ‎meat after using autogenous vaccine against ‎Streptococcus agalactiae in Nile Tilapia (Oreochromis ‎Niloticus)‎
‎    2.3 นำผลการศึกษาเชื้อจุลชีพที่ดื้อยาปฏิชีวนะไปเผยแพร่ในงานประชุมวิชาการระดับนานาชาติ The 20th International ‎Congress on Infectious Diseases (ICID) 2024 วันที่ 3 - 6 ‎ธันวาคม 2567 in Cape Town, South Africa ในหัวข้อ ‎‎“Antimicrobial resistance situation of E. coli isolated from ‎pig farm environment in Western Thailand
</t>
    </r>
    <r>
      <rPr>
        <b/>
        <sz val="16"/>
        <color rgb="FF000000"/>
        <rFont val="Angsana New"/>
        <family val="1"/>
      </rPr>
      <t>3. มี “ระบบนิเวศการผลิตวัคซีนดิจิทัลครบวงจร (Digital-integrated Seed to ‎Vaccine Ecosystem: DISVE)” แห่งแรกของประเทศไทย</t>
    </r>
    <r>
      <rPr>
        <sz val="16"/>
        <color rgb="FF000000"/>
        <rFont val="Angsana New"/>
        <family val="1"/>
      </rPr>
      <t xml:space="preserve"> ประกอบด้วย 
    3.1 ห้องปฏิบัติการที่ได้มาตรฐานสามารถวินิจฉัยและเพาะแยกเชื้อได้ ‎‎
    3.2 ธนาคารจุลชีพ ที่ใช้ในการเก็บรักษาเชื้อเพื่อใช้เป็นเมล็ดพันธุ์ในการผลิตวัคซีน 
 ‎   3.3 สถานที่ผลิตวัคซีนที่ได้รับการรับรองมาตรฐานโดยองค์การอาหารและยา (อย.) ‎
         </t>
    </r>
    <r>
      <rPr>
        <b/>
        <sz val="16"/>
        <color rgb="FF000000"/>
        <rFont val="Angsana New"/>
        <family val="1"/>
      </rPr>
      <t xml:space="preserve"> ปัจจุบันคณะฯ มีห้องปฏิบัติการ BSL2+  และห้องผลิตวัคซีน ช่วยให้สามารถดำเนินการวิจัย วินิจฉัย และเพาะแยกเชื้อจุลชีพที่จัดอยู่ใน Risk ‎group 2 และ 3 (บางชนิด เช่น ASFV) ได้มากขึ้นเป็นการเพิ่มประสิทธิภาพในการวินิจฉัยและวิจัย ในขณะที่‎โรงงานต้นแบบที่ทำการปรับปรุงให้ได้มาตรฐาน </t>
    </r>
    <r>
      <rPr>
        <b/>
        <u/>
        <sz val="16"/>
        <color rgb="FF000000"/>
        <rFont val="Angsana New"/>
        <family val="1"/>
      </rPr>
      <t>เพื่อให้เป็นสถานที่ผลิตวัคซีนมีความพร้อมที่จะขอขึ้นทะเบียนเป็นสถานที่ผลิตวัคซีนและได้รับการรับรองจากองค์การอาหารและยา (อย.)</t>
    </r>
    <r>
      <rPr>
        <b/>
        <sz val="16"/>
        <color rgb="FF000000"/>
        <rFont val="Angsana New"/>
        <family val="1"/>
      </rPr>
      <t xml:space="preserve"> เป็นการเตรียมความพร้อมเมื่อเกิดโรค‎อุบัติใหม่ในสัตว์ที่ยังไม่มีวัคซีนรองรับโดยสามารถดำเนินการได้ตามกฏหมาย เนื่องห้องปฏิบัติการได้รับการรับรองมาตรฐานความปลอดภัยทางชีวภาพว่าสามารถดำเนินการได้ และสถานที่ผลิตได้รับการรับรองเป็นสถานที่ผลิตวัคซีน พร้อมที่จะสนับสนุนรัฐบาลในการผลิตวัคซีนให้กับเกษตรกร</t>
    </r>
  </si>
  <si>
    <r>
      <t xml:space="preserve">       ธนาคารเซลล์สัตว์มหาวิทยาลัยเกษตรศาสตร์ มุ่งมั่นพัฒนาบุคลากรเชี่ยวชาญด้านชีววิทยาระดับเซลล์ รวบรวมทรัพยากรเซลล์สัตว์หลากชนิด เก็บรักษาอย่างมีมาตรฐาน เอื้อให้เกิดการนำเซลล์ไปใช้ประโยชน์เพื่อการศึกษาวิจัยทางวิทยาศาสตร์ได้อย่างกว้างขวาง ทั้งทางด้านเวชศาสตร์ฟื้นฟู เทคโนโลยี ชีวภาพ เภสัชศาสตร์ เป็นต้น 
       โดยงานบริการครอบคลุมผลิตภัณฑ์เซลล์สัตว์ รวมถึงงานบริการที่เกี่ยวข้องกับการใช้เซลล์เพื่อศึกษาวิจัย ตั้งแต่ปี 2565 -2568 </t>
    </r>
    <r>
      <rPr>
        <b/>
        <sz val="16"/>
        <color rgb="FF000000"/>
        <rFont val="Angsana New"/>
        <family val="1"/>
      </rPr>
      <t>จำนวนผู้ใช้บริการ 36 โครงการ จำนวนตัวอย่าง 2,410 ตัวอย่าง รายรับ 3,317,700 บาท</t>
    </r>
    <r>
      <rPr>
        <sz val="16"/>
        <color rgb="FF000000"/>
        <rFont val="Angsana New"/>
        <family val="1"/>
      </rPr>
      <t xml:space="preserve"> ให้บริการแยกตามประเภทดังนี้
         1. กลุ่มงานแยกเลี้ยงเซลล์ร่างกายปฐมภูมิและเก็บเซลลฺ์แช่แข็ง จำนวนผู้ใช้บริการ 17 โครงการ จำนวนตัวอย่าง 140 ตัวอย่าง รายรับ 450,000 บาท
         2. กลุ่มงานแยกเลี้ยงเซลล์ต้นกำเนิดและเก็บเซลลฺ์แช่แข็ง จำนวนผู้ใช้บริการ 2 โครงการ จำนวนตัวอย่าง 30 ตัวอย่าง รายรับ 800,000 บาท
         3. กลุ่มงานทดสอบด้วยเซลล์, ตัวอ่อนปลาม้าลาย, ปลาม้าลาย จำนวนผู้ใช้บริการ 3 โครงการ จำนวนตัวอย่าง 108 ตัวอย่าง รายรับ 86,000 บาท
         4. กลุ่มงานรับฝากตัวอย่างชีวภาพ จำนวนผู้ใช้บริการ 2 โครงการ จำนวนตัวอย่าง 190 ตัวอย่าง รายรับ 557,200 บาท
         5. กลุ่มงานตรวจสอบตัวอย่างชีวภาพ จำนวนผู้ใช้บริการ 1 โครงการ จำนวนตัวอย่าง 1 ตัวอย่าง รายรับ 2,500 บาท
         6. กลุ่มงานบริการเทคโนโลยีสืบพันธุ์ก้าวหน้า จำนวนผู้ใช้บริการ 2 โครงการ จำนวนตัวอย่าง 1,920 ตัวอย่าง รายรับ 1,292,000 บาท
         7. กลุ่มงานจัดฝึกอบรม จำนวนผู้ใช้บริการ 9 โครงการ จำนวนตัวอย่าง 21 ตัวอย่าง รายรับ 130,000 บาท</t>
    </r>
  </si>
  <si>
    <r>
      <t xml:space="preserve">     มีการดำเนินประเมินทักษะเพื่อเตรียมความพร้อมก่อนการเรียนคลินิกปฏิบัติของนิสิตชั้นปีที่ 6 (OSCE) ตั้งแต่ปี 2566 - 2568  เป็นระยะเวลา 3 ปี เนื้อหาของการสอบครอบคลุมการเรียนการสอนตั้งแต่ชั้นปีที่ 4-5 ทั้งหมด 25 ข้อ โดยแบ่งสัดส่วนข้อสอบ ดังนี้
    1. ทักษะทางคลินิกเกี่ยวกับสัตว์เลี้ยง จำนวน 5 ข้อ
    2. ทักษะทางคลินิกเกี่ยวกับสัตว์เคี้ยวเอื้อง จำนวน 3 ข้อ
    3. ทักษะทางคลินิกเกี่ยวกับม้า จำนวน 2 ข้อ
    4. ทักษะทางคลินิกเกี่ยวกับสัตว์เลี้ยงชนิดพิเศษและสัตว์ป่า  จำนวน 1 ข้อ
    5. ทักษะทางคลินิกเกี่ยวกับสุกร  จำนวน 3 ข้อ
    6. ทักษะทางคลินิกเกี่ยวกับสัตว์ปีก จำนวน 4 ข้อ
    7. ทักษะทางคลินิกเกี่ยวกับสัตว์น้ำ จำนวน 2 ข้อ
    8. ทักษะทางคลินิกเกี่ยวกับพยาธิวิทยา จำนวน 2 ข้อ
    9. ทักษะทางคลินิกเกี่ยวกับสัตวแพทยสาธารณสุขศาสตร์ จำนวน 3 ข้อ
</t>
    </r>
    <r>
      <rPr>
        <sz val="16"/>
        <color rgb="FF0000FF"/>
        <rFont val="Angsana New"/>
        <family val="1"/>
      </rPr>
      <t xml:space="preserve">        - จำนวนนิสิต ปีการศึกษา 2566 เข้าสอบ 128 คน สอบผ่านทั้ง 25 ฐาน (100%) จำนวน 0 คน
        - จำนวนนิสิต ปีการศึกษา 2567 เข้าสอบ 133 คน สอบผ่านทั้ง 25 ฐาน (100%) จำนวน 32 คน
        - จำนวนนิสิต ปีการศึกษา 2568 เข้าสอบ 107 คน สอบผ่านทั้ง 25 ฐาน (100%) จำนวน 32 คน</t>
    </r>
    <r>
      <rPr>
        <sz val="16"/>
        <color rgb="FF000000"/>
        <rFont val="Angsana New"/>
        <family val="1"/>
      </rPr>
      <t xml:space="preserve">
 ซึ่งนิสิตที่สอบไม่ผ่านแต่ละฐานต้องไปลงฝึกปฏิบัติเพิ่มเติมเพื่อให้ได้ทักษะตามที่กำหนด</t>
    </r>
  </si>
  <si>
    <r>
      <t xml:space="preserve">       คณะสัตวแพทยศาสตร์ได้พัฒนาผลงานใหม่ด้านชุดตรวจวินิจฉัยโรคและชีวเวชภัณฑ์ที่เกิดจากการบูรณาการองค์ความรู้ด้านพยาธิวิทยา ชีวโมเลกุล และภูมิคุ้มกันวิทยา เข้ากับการเรียนการสอน งานวิจัย และการบริการวิชาการอย่างเป็นระบบ ผลงานดังกล่าวตอบโจทย์การใช้งานจริงในภาคสนาม ครอบคลุมโรคเศรษฐกิจ โรคอุบัติใหม่ และโรคเฉพาะทางในสัตว์หลายชนิด ซึ่งในหลายกรณียังไม่มีชุดตรวจเชิงพาณิชย์ หรือมีข้อจำกัดด้านต้นทุนและความพร้อมใช้งาน ผลงานเด่นด้าน ชุดตรวจทางซีรัมวิทยา ได้แก่ การพัฒนาชุดตรวจหาแอนติบอดีต่อเชื้อ Duck Tembusu virus (DTMUV) ซึ่งเป็นไวรัสอุบัติใหม่ในเป็ด และส่งผลกระทบต่ออุตสาหกรรมการเลี้ยงเป็ดและการส่งออกของประเทศ รวมถึงชุดตรวจโรค Encephalitozoonosis ในกระต่าย และชุดตรวจโรค Inclusion Body Hepatitis (IBH) ในสัตว์ปีก ผลงานเหล่านี้ช่วยเพิ่มความสามารถในการวินิจฉัยโรคได้อย่างรวดเร็วและแม่นยำ ลดการพึ่งพาการส่งตรวจไปยังแหล่งภายนอก และสนับสนุนการจัดการโรคในระดับฟาร์มและอุตสาหกรรม ในด้านการตรวจทางอณูชีวโมเลกุลคณะฯ ได้พัฒนาเทคนิคและชุดตรวจสำหรับโรคสำคัญในสัตว์ปีกและสัตว์เศรษฐกิจ เช่น IBV, IBV QX, FAdV และโรคอื่น ๆ โดยสามารถนำไปใช้ทั้งในรูปแบบการให้บริการตรวจวินิจฉัย และการจำหน่ายผลิตภัณฑ์ที่เกี่ยวข้อง เช่น primer ให้แก่หน่วยงานที่ต้องการนำไปใช้ต่อ ผลงานดังกล่าวช่วยเพิ่มทางเลือกในการตรวจวินิจฉัย ลดต้นทุน และเพิ่มความรวดเร็วในการตัดสินใจจัดการโรค 
        นอกจากนี้ คณะสัตวแพทยศาสตร์ ยังแสดงบทบาทการนำและชี้นำเชิงสาธารณประโยชน์ โดยการพัฒนาและถ่ายทอดเทคนิคการตรวจวินิจฉัยให้แก่หน่วยงานภาครัฐเพื่อใช้ในการเฝ้าระวังโรคโดยไม่คิดค่าใช้จ่าย อาทิ การตรวจโรคติดเชื้อ Elephant Endotheliotropic Herpesvirus (EEHV) ซึ่งเป็นโรคติดเชื้อไวรัสร้ายแรงในช้าง รวมถึงการเตรียมความพร้อมของเทคนิคการตรวจโรคในสัตว์หลายชนิด เพื่อรองรับสถานการณ์การระบาดหรือความต้องการเร่งด่วนในอนาคต ผลงานใหม่ด้านชุดตรวจวินิจฉัยโรคและชีวเวชภัณฑ์ของคณะสัตวแพทยศาสตร์จึงมิได้เป็นเพียงผลลัพธ์ของงานวิจัย แต่เป็นผลจากระบบการบูรณาการองค์ความรู้แบบครบวงจร ตั้งแต่การพัฒนาคน การสร้างองค์ความรู้ การนำไปใช้ประโยชน์จริง และการต่อยอดเชิงเศรษฐกิจและสังคม แสดงถึงบทบาทการนำและชี้นำของคณะฯ ในการพัฒนานวัตกรรมด้านการวินิจฉัยโรคสัตว์ และการเป็นต้นแบบให้กับสถาบันอื่นในระดับประเทศ 
        จากการดำเนินงานพัฒนาชุดตรวจวินิจฉัยโรคและชีวเวชภัณฑ์อย่างต่อเนื่อง คณะสัตวแพทยศาสตร์สามารถสร้างผลลัพธ์เชิงประจักษ์ทั้งด้านปริมาณการให้บริการ แนวโน้มการใช้งาน และผลกระทบต่อผู้มีส่วนได้ส่วนเสีย โดยเฉพาะในช่วงปี พ.ศ. 2565–2568 ซึ่งสะท้อนถึงความเชื่อมั่นต่อคุณภาพผลงานและความจำเป็นของการตรวจวินิจฉัยโรคเฉพาะทางในภาคสนาม
</t>
    </r>
    <r>
      <rPr>
        <b/>
        <sz val="16"/>
        <color rgb="FF000000"/>
        <rFont val="Angsana New"/>
        <family val="1"/>
      </rPr>
      <t>1. ผลลัพธ์ด้านการตรวจทางซีรัมวิทยา</t>
    </r>
    <r>
      <rPr>
        <sz val="16"/>
        <color rgb="FF000000"/>
        <rFont val="Angsana New"/>
        <family val="1"/>
      </rPr>
      <t xml:space="preserve"> การพัฒนาชุดตรวจทางซีรัมวิทยาสำหรับโรคอุบัติใหม่และโรคเฉพาะทาง ส่งผลให้มีการนำไปใช้ประโยชน์จริงผ่านโครงการพัฒนาวิชาการอย่างต่อเนื่อง อาทิ
     1.1  ชุดตรวจหาแอนติบอดีต่อเชื้อ Duck Tembusu virus (DTMUV)   ซึ่งเป็นไวรัสอุบัติใหม่ในเป็ดและส่งผลกระทบต่ออุตสาหกรรมการเลี้ยงเป็ดของประเทศ มีจำนวนตัวอย่างส่งตรวจในปี พ.ศ. 2565–2568 เท่ากับ 8, 308, 3 และ 43 ตัวอย่างตามลำดับ คิดอัตราค่าบริการตัวอย่างละ 250 บาท แสดงถึงบทบาทของคณะฯ ในการสนับสนุนการเฝ้าระวังโรคอุบัติใหม่ตามสถานการณ์การระบาดและความต้องการในแต่ละช่วงเวลา
     1.2  ชุดตรวจโรค Encephalitozoonosis ในกระต่าย   ซึ่งเป็นโรคติดเชื้อที่ส่งผลต่อไต ดวงตา และระบบประสาท มีจำนวนตัวอย่างส่งตรวจเพิ่มขึ้นอย่างชัดเจนจาก 53 ตัวอย่างในปี พ.ศ. 2565 เป็น 376, 380 และ 321 ตัวอย่างในปี พ.ศ. 2566–2568 ตามลำดับ (ค่าตรวจตัวอย่างละ 400 บาท) สะท้อนถึงความเชื่อมั่นของผู้ใช้บริการและความจำเป็นของการตรวจวินิจฉัยโรคเฉพาะทางที่มีทางเลือกจำกัดในเชิงพาณิชย์
     1.3  ชุดตรวจโรค Inclusion Body Hepatitis (IBH)   ซึ่งเป็นโรคสำคัญในอุตสาหกรรมสัตว์ปีก มีจำนวนตัวอย่างส่งตรวจเพิ่มจาก 130 ตัวอย่างในปี พ.ศ. 2565 เป็น 503, 450 และ 640 ตัวอย่างในปี พ.ศ. 2566–2568 ตามลำดับ (ค่าตรวจตัวอย่างละ 250 บาท) แสดงถึงแนวโน้มการใช้บริการที่เพิ่มขึ้นต่อเนื่อง และบทบาทของคณะฯ ในการช่วยลดความสูญเสียทางเศรษฐกิจจากโรคในสัตว์ปีก</t>
    </r>
    <r>
      <rPr>
        <b/>
        <sz val="16"/>
        <color rgb="FF000000"/>
        <rFont val="Angsana New"/>
        <family val="1"/>
      </rPr>
      <t xml:space="preserve">
2. ผลลัพธ์ด้านการตรวจทางอณูชีวโมเลกุล</t>
    </r>
    <r>
      <rPr>
        <sz val="16"/>
        <color rgb="FF000000"/>
        <rFont val="Angsana New"/>
        <family val="1"/>
      </rPr>
      <t xml:space="preserve"> ในด้านการตรวจทางอณูชีวโมเลกุลได้พัฒนาและให้บริการชุดตรวจสำหรับโรคสำคัญหลายชนิด เช่น IBV, IBV QX, FAdV และโรคอื่น ๆ โดยจากข้อมูลการให้บริการในช่วงปี พ.ศ. 2565–2568 พบว่า จำนวนการตรวจและมูลค่าการให้บริการมีแนวโน้มเพิ่มขึ้นอย่างชัดเจน โดยเฉพาะในกลุ่มโรคสัตว์ปีกที่มีความสำคัญทางเศรษฐกิจ สะท้อนถึงการขยายขอบเขตบริการ การเปิดบริการใหม่ และการลดการพึ่งพาชุดตรวจเชิงพาณิชย์จากภายนอก
     2.1 จำหน่ายชุดน้ำยาตรวจ (โพรบ และไพรเมอร์) ปี 2566 จำนวน 5 ชุด  วงเงิน 25,000 บาท/ ปี 2567 จำนวน 11 ชุด  วงเงิน 55,000 บาท /ปี 2568 จำนวน 28 ชุด  วงเงิน 140,000 บาท
     2.2. ฃตรวจโรค IBV ปี 2566 จำนวน 104 ตัวอย่าง วงเงิน 83,200 บาท/ ปี 2567 จำนวน 103 ตัวอย่าง  วงเงิน 103,000 บาท /ปี 2568 จำนวน 15 ตัวอย่าง  วงเงิน 15,000 บาท
     2.3 ตรวจโรค IBV QX ปี 2565 จำนวน 20 ตัวอย่าง จำนวน 20,000 บาท / ปี 2566 จำนวน 65 ตัวอย่าง วงเงิน 52,000 บาท/ ปี 2567 จำนวน 132 ตัวอย่าง  วงเงิน 132,000 บาท /ปี 2568 จำนวน 26 ตัวอย่าง  วงเงิน 26,000 บาท
     2.4 ตรวจโรค FAdV ปี 2568 จำนวน 4 ตัวอย่าง  วงเงิน 6,000 บาท
     2.5 ตรวจโรค IBV 4/91 ปี 2567 จำนวน 83  ตัวอย่าง  วงเงิน 66,400 บาท
     2.6 ตรวจโรค IBV Mass ปี 2567 จำนวน 83  ตัวอย่าง  วงเงิน 124,500 บาท</t>
    </r>
  </si>
  <si>
    <t>โครงการธนาคารเซลล์สัตว์ คณะสัตวแพทยศาสตร์ มหาวิทยาลัยเกษตรศาสตร์ 
(Kasetsart University Veterinary Animal Cell Bank – KUVACB)"</t>
  </si>
  <si>
    <t>การพัฒนาชุดตรวจสอบเพื่อวินิจฉัยโรค (testkit) และงานด้านโปรตีน และ Primer เพื่อพัฒนาเป็นวัคซีนผลิตเป็นแอนติบอดี</t>
  </si>
  <si>
    <t xml:space="preserve">KPI 7-4.1.2 มีผลงานใหม่ ที่แสดงถึงการนำ การริเริ่ม เกิดขึ้นเป็นครั้งแรก หรือการชี้นำ หรือเป็นต้นแบบ 
โดยคณะสัตวแพทย์ ที้สามารถถ่ายทอดไปยังสถาบันอื่นได้ </t>
  </si>
  <si>
    <t>โครงการธนาคารเซลล์สัตว์ (Kasetsart University Veterinary Animal Cell Bank – KUVACB)</t>
  </si>
  <si>
    <t>การพัฒนาชุดตรวจสอบเพื่อวินิจฉัยโรค (testkit) และงานด้านโปรตีน และ Primer 
เพื่อพัฒนาเป็นวัคซีนผลิตเป็นแอนติบอดี</t>
  </si>
  <si>
    <t xml:space="preserve">KPI 7-4.1.3 ความสำเร็จ มีผลงานการบูรณาการพันธกิจทั้งสาม
 (ก่อนปี 2564 การบูรณาการยังไม่สำเร็จ) </t>
  </si>
  <si>
    <r>
      <rPr>
        <b/>
        <sz val="16"/>
        <color rgb="FF000000"/>
        <rFont val="Angsana New"/>
        <family val="1"/>
      </rPr>
      <t>เกี่ยวกับธนาคารเซลล์สัตว์</t>
    </r>
    <r>
      <rPr>
        <sz val="16"/>
        <color rgb="FF000000"/>
        <rFont val="Angsana New"/>
        <family val="1"/>
      </rPr>
      <t xml:space="preserve">
        ธนาคารเซลล์สัตว์มหาวิทยาลัยเกษตรศาสตร์ มุ่งมั่นพัฒนาบุคลากรเชี่ยวชาญด้านชีววิทยาระดับเซลล์ รวบรวมทรัพยากรเซลล์สัตว์หลากชนิด เก็บรักษาอย่างมีมาตรฐาน เอื้อให้เกิดการนำเซลล์ไปใช้ประโยชน์เพื่อการศึกษาวิจัยทางวิทยาศาสตร์ได้อย่างกว้างขวาง ทั้งทางด้านเวชศาสตร์ฟื้นฟู เทคโนโลยี ชีวภาพ เภสัชศาสตร์ เป็นต้น โดยงานบริการครอบคลุมผลิตภัณฑ์เซลล์สัตว์ รวมถึง</t>
    </r>
    <r>
      <rPr>
        <u/>
        <sz val="16"/>
        <color rgb="FF000000"/>
        <rFont val="Angsana New"/>
        <family val="1"/>
      </rPr>
      <t>งานบริการที่เกี่ยวข้องกับการใช้เซลล์เพื่อศึกษาวิจัย</t>
    </r>
    <r>
      <rPr>
        <sz val="16"/>
        <color rgb="FF000000"/>
        <rFont val="Angsana New"/>
        <family val="1"/>
      </rPr>
      <t xml:space="preserve"> ได้แก่
        -  ผลิตภัณฑ์เซลล์สัตว์ : เราสะสมเซลล์สัตว์หลายชนิด ทั้งเซลล์ต้นกำเนิด เซลล์มะเร็ง และเซลล์ร่างกาย เพื่อให้เลือกใช้ตามความเหมาะสมของงาน และทำซ้ำได้
        -  บริการแยกเลี้ยงเซลล์ : เราใช้กระบวนการการแยกเซลล์ที่มีประสิทธิภาพและเหมาะสมตามชนิดสัตว์ ให้ได้เซลล์ร่างกายและเซลล์ต้นกำเนิด เพื่อให้ได้เซลล์ที่ต้องการ
        -  บริการตรวจสอบลักษณะของเซลล์ : เราสามารถตรวจสอบคุณลักษณะของเซลล์ รวมถึงการปนเปื้อนเชื้อ ไมโคพลาสมา เพื่อให้ได้เซลล์ที่ดีที่สุดสำหรับงานในขั้นตอนต่อไป
        -  บริการการทดสอบโดยใช้เซลล์ : งานบริการทดสอบครอบคลุมการทดสอบสาร ยา เคมี ในเซลล์ ก่อนการทดสอบในสัตว์ทดลองและทางคลินิก เราสามารถปรับแต่งงานทดสอบให้ตรงกับวัตถุประสงค์งานวิจัยของคุณ และนำส่งข้อมูลเกี่ยวกับประสิทธิภาพ ความเป็นพิษ และกลไกการออกฤทธิ์ ของสารทดสอบได้
        -  บริการเก็บเซลล์หรือเนื้อเยื่อแช่แข็ง : เรามีทรัพยากรที่ทันสมัยในการเก็บรักษาตัวอย่างเซลล์และเนื้อเยื่อ และมีกระบวนการตรวจสอบ ติดตาม เพื่อรักษาสภาวะแวดล้อมให้เหมาะสมต่อการรักษาสภาพเซลล์ได้ยาวนาน
</t>
    </r>
    <r>
      <rPr>
        <b/>
        <sz val="16"/>
        <color rgb="FF000000"/>
        <rFont val="Angsana New"/>
        <family val="1"/>
      </rPr>
      <t xml:space="preserve">
ผลการดำเนินงานเชิงบริการ</t>
    </r>
    <r>
      <rPr>
        <sz val="16"/>
        <color rgb="FF000000"/>
        <rFont val="Angsana New"/>
        <family val="1"/>
      </rPr>
      <t xml:space="preserve">
   </t>
    </r>
    <r>
      <rPr>
        <u/>
        <sz val="16"/>
        <color rgb="FF000000"/>
        <rFont val="Angsana New"/>
        <family val="1"/>
      </rPr>
      <t>การเปิดให้บริการธนาคารเซลล์สัตว์ (Animal Cell Bank) อย่างเป็นทางการ เมื่อวันที่ 27 ตุลาคม 2568</t>
    </r>
    <r>
      <rPr>
        <sz val="16"/>
        <color rgb="FF000000"/>
        <rFont val="Angsana New"/>
        <family val="1"/>
      </rPr>
      <t xml:space="preserve"> การบริการของธนาคารเซลล์สัตว์ ประกอบด้วยรายละเอียดดังนี้
          -  การตรวจลายพิมพ์ดีเอ็นเอ : ตรวจพิสูจน์ลายพิมพ์ดีเอ็นเอ ตรวจพิสูจน์พ่อแม่ ในสัตว์เลี้ยง (สุนัข แมว) สัตว์ตระกูลเสือ สัตว์ปีกและนก โค กระบือ ม้า เต่าทะเล พะยูน โลมา วาฬ
          -  การทดสอบความเป็นพิษต่อเซลล์ : การทดสอบความเป็นพิษต่อเซลล์ (Cytotoxicity assays) เป็นเครื่องมือที่สำคัญในงานวิจัยทางชีวการแพทย์และการพัฒนายา 
          -  ทดสอบการปนเปื้อนเชื้อไมโครพลาสมา : บริการทดสอบการปนเปื้อน Mycoplasma ในตัวอย่างเซลล์เพาะเลี้ยงด้วยวิธี qPCR
          -  บริการเก็บน้ำเชื้อแช่แข็ง : บริการนี้ครอบคลุมการเก็บน้ำเชื้อ การประเมินน้ำเชื้อการประเมินคุณภาพด้วยเทคโนโลยี CASA การแช่แข็งน้ำเชื้อ (อสุจิแช่แข็ง) และบริการจัดเก็บน้ำเชื้อ แช่แข็ง
          -  บริการแยกเซลล์สืบพันธุ์ต้นกำเนิดของไก่ : บริการแยก เพาะเลี้ยง และแช่แข็งเซลล์สืบพันธุ์ต้นกำเนิดประเภท circulating และ tissue PGCs ของไก่ รวมถึงการสกัด DNA จากเนื้อเยื่อ extraembryonic tissue
          -  บริการแยกเลี้ยงเซลล์ต้นกำเนิดมีเซนไคม์ของสุนัข : การแยกเซลล์ การบำบัดด้วยเซลล์ต้นกำเนิดเมเซนไคม์ (Mesenchymal stem cell therapy)
          -  บริการแยกเลี้ยงเซลล์ปฐมภูมิ : บริการแยกเลี้ยงเซลล์ปฐมภูมิของสัตว์
          -  บริการรับฝากแช่แข็งเนื้อเยื่อหรือเซลล์สัตว์ : บริการเก็บรักษาแช่แข็งเซลล์และเนื้อเยื่อของสัตว์
          -  บริการวัดค่าความเข้มข้นของสารละลาย : บริการวัดหาค่าความเข้มข้นของสารที่อยู่ในสารละลายด้วยหลักการ Freezing Point Depression</t>
    </r>
  </si>
  <si>
    <r>
      <rPr>
        <b/>
        <sz val="16"/>
        <color rgb="FF000000"/>
        <rFont val="Angsana New"/>
        <family val="1"/>
      </rPr>
      <t>1. ผลิตวัคซีน</t>
    </r>
    <r>
      <rPr>
        <sz val="16"/>
        <color rgb="FF000000"/>
        <rFont val="Angsana New"/>
        <family val="1"/>
      </rPr>
      <t xml:space="preserve"> จำนวน 7 ชนิด ดังนี้
‎   1.1 วัคซีนป้องกันโรค Streptococcus suis ในสุกร (วัคซีนเชื้อตาย) ใช้งานโดยการฉีด อยู่ระหว่างการเก็บข้อมูลด้านประสิทธิภาพ
   1.2  วัคซีนป้องกันโรค Pasteurella multicida ในสุกร (วัคซีนเชื้อตาย) ‎ใช้งานโดยการฉีด อยู่ระหว่างการเก็บข้อมูลด้านประสิทธิภาพ
   1.3 วัคซีนสำป้องกันโรค Actinobacillus pleuropneumoniae ในสุกร (วัคซีนเชื้อตาย)  ใช้งานโดยการฉีด อยู่ระหว่างการเก็บข้อมูลด้านประสิทธิภาพ
‎   1.4 วัคซีนป้องกันโรค E.coli ในสุกร (วัคซีนเชื้อตาย) ใช้งานโดยการฉีด ‎อยู่ระหว่างการเก็บข้อมูลด้านประสิทธิภาพ ‎
‎   1.5 วัคซีนป้องกันโรคเต้านมอักเสบจาก E. coli ในวัว(วัคซีนเชื้อ‎ตาย) ใช้งานโดยการฉีด อยู่ระหว่างการวางแผนการทดสอบเพื่อเก็บข้อมูลด้านประสิทธิภาพ
‎   1.6 วัคซีนป้องกันโรคหวัดหน้าบวม Avi bacterium paragallinarum ‎ในไก่  (วัคซีนเชื้อตาย) ใช้งานโดยการฉีด อยู่ระหว่างวางแผนการทดสอบเพื่อเก็บข้อมูลด้านประสิทธิภาพ ‎
   1.7 วัคซีนป้องกันโรค Streptococcus . agalactiae ในปลานิล (วัคซีน‎เชื้อตาย) ใช้งานโดยการกิน อยู่ระหว่างการเก็บข้อมูลด้านประสิทธิภาพ
</t>
    </r>
    <r>
      <rPr>
        <b/>
        <sz val="16"/>
        <color rgb="FF000000"/>
        <rFont val="Angsana New"/>
        <family val="1"/>
      </rPr>
      <t>2. เผยแพร่ผลการศึกษาวิจัยการผลิตวัคซีนผ่านงานประชุมวิชาการระดับนานาชาติ</t>
    </r>
    <r>
      <rPr>
        <sz val="16"/>
        <color rgb="FF000000"/>
        <rFont val="Angsana New"/>
        <family val="1"/>
      </rPr>
      <t xml:space="preserve"> ‎จำนวน 4 บทความ ดังนี้
    2.1 ศึกษาสภาวการณ์เกิดเชื้อแบคทีเรียดื้อยาในฟาร์มสุกร ไปนำเสนอในงานประชุมวิชาการในงาน 57th Congress of the European Societies of Toxicology ‎‎(EUROTOX 2023) ณ สาธารณรัฐสโลวีเนีย ในช่วงวันที่ 10-13 กันยายน 2566 และได้ตีพิมพ์บทความลงใน late poster publication
‎    2.2 นำผลการตรวจยาตกค้างจากฟาร์มตัวแทน และผลการวิเคราะห์ยาตกค้างในตัวอย่างจากฟาร์มปลานิล ไปนำเสนอในงานประชุมวิชาการในงาน 58th Congress of the ‎European Societies of Toxicology (EUROTOX 2024) ณ เมืองโคเปนเฮเกนราชอาณาจักรเดนมาร์ก ในช่วง วันที่ 8-11 กันยายน 2567 ผลงานดังกล่าวถูกตีพิมพ์ใน วารสาร Toxicology Letters Volume 399, Supplement 2, September 2024‎ โดยมี จำนวน 2 ผลงานคือ
‎          - Effects of autogenous vaccine on 20 antimicrobial ‎drug residues in Nile Tilapia (Oreochromis Niloticus) farm, ‎Thailand. ‎
          ‎- Health risk contamination of Mercury in blood and ‎meat after using autogenous vaccine against ‎Streptococcus agalactiae in Nile Tilapia (Oreochromis ‎Niloticus)‎
‎    2.3 นำผลการศึกษาเชื้อจุลชีพที่ดื้อยาปฏิชีวนะไปเผยแพร่ในงานประชุมวิชาการระดับนานาชาติ The 20th International ‎Congress on Infectious Diseases (ICID) 2024 วันที่ 3 - 6 ‎ธันวาคม  2567 in Cape Town, South Africa ในหัวข้อ ‎‎“Antimicrobial resistance situation of E. coli isolated from ‎pig farm environment in Western Thailand
</t>
    </r>
    <r>
      <rPr>
        <b/>
        <sz val="16"/>
        <color rgb="FF000000"/>
        <rFont val="Angsana New"/>
        <family val="1"/>
      </rPr>
      <t>3. มี “ระบบนิเวศการผลิตวัคซีนดิจิทัลครบวงจร (Digital-integrated Seed to ‎Vaccine Ecosystem: DISVE)” แห่งแรกของประเทศไทย</t>
    </r>
    <r>
      <rPr>
        <sz val="16"/>
        <color rgb="FF000000"/>
        <rFont val="Angsana New"/>
        <family val="1"/>
      </rPr>
      <t xml:space="preserve"> ประกอบด้วย 
    3.1 ห้องปฏิบัติการที่ได้มาตรฐานสามารถวินิจฉัยและเพาะแยกเชื้อได้ ‎‎
    3.2 ธนาคารจุลชีพ ที่ใช้ในการเก็บรักษาเชื้อเพื่อใช้เป็นเมล็ดพันธุ์ในการผลิตวัคซีน 
 ‎   3.3 สถานที่ผลิตวัคซีนที่ได้รับการรับรองมาตรฐานโดยองค์การอาหารและยา (อย.) ‎
         </t>
    </r>
    <r>
      <rPr>
        <b/>
        <sz val="16"/>
        <color rgb="FF000000"/>
        <rFont val="Angsana New"/>
        <family val="1"/>
      </rPr>
      <t xml:space="preserve"> ปัจจุบันคณะฯ มีห้องปฏิบัติการ BSL2+  และห้องผลิตวัคซีน ช่วยให้สามารถดำเนินการวิจัย วินิจฉัย และเพาะแยกเชื้อจุลชีพที่จัดอยู่ใน Risk ‎group 2 และ 3 (บางชนิด เช่น ASFV) ได้มากขึ้นเป็นการเพิ่มประสิทธิภาพในการวินิจฉัยและวิจัย ในขณะที่‎โรงงานต้นแบบที่ทำการปรับปรุงให้ได้มาตรฐาน </t>
    </r>
    <r>
      <rPr>
        <b/>
        <u/>
        <sz val="16"/>
        <color rgb="FF000000"/>
        <rFont val="Angsana New"/>
        <family val="1"/>
      </rPr>
      <t>เพื่อให้เป็นสถานที่ผลิตวัคซีนมีความพร้อมที่จะ</t>
    </r>
    <r>
      <rPr>
        <b/>
        <u/>
        <sz val="16"/>
        <color rgb="FFFF0000"/>
        <rFont val="Angsana New"/>
        <family val="1"/>
      </rPr>
      <t>ขอขึ้นทะเบียนเป็นสถานที่ผลิตวัคซีนและได้รับการรับรองจากองค์การอาหารและยา (อย.)</t>
    </r>
    <r>
      <rPr>
        <b/>
        <sz val="16"/>
        <color rgb="FF000000"/>
        <rFont val="Angsana New"/>
        <family val="1"/>
      </rPr>
      <t xml:space="preserve"> เป็นการเตรียมความพร้อมเมื่อเกิดโรค‎อุบัติใหม่ในสัตว์ที่ยังไม่มีวัคซีนรองรับโดยสามารถดำเนินการได้ตามกฏหมาย เนื่องห้องปฏิบัติการได้รับการรับรองมาตรฐานความปลอดภัยทางชีวภาพว่าสามารถดำเนินการได้ และสถานที่ผลิตได้รับการรับรองเป็นสถานที่ผลิตวัคซีน พร้อมที่จะสนับสนุนรัฐบาลในการผลิตวัคซีนให้กับเกษตรกร</t>
    </r>
  </si>
  <si>
    <t>ยุทธศาสตร์</t>
  </si>
  <si>
    <t>เป้าหมายผลลัพธ์</t>
  </si>
  <si>
    <t>เป้าเหมายผลผลิต</t>
  </si>
  <si>
    <t>ตัวชี้วัด 2564-2569</t>
  </si>
  <si>
    <t>คณะสัตวแพทยศาสตร์สามารถนำชี้นำและ เป็นต้นแบบการศึกษา การสร้างองค์ความรู้ สัตวแพทยศาสตร์ระดับสูง การวินิจฉัย รักษาโรคซับซ้อน ด้วยมาตรฐานสากลและ นวัตกรรม เพื่อสุขภาพที่ดีของ สัตว์ คน และสิ่งแวดล้อม</t>
  </si>
  <si>
    <t xml:space="preserve"> 1. ทุกพันธกิจสำเร็จตามเป้าหมายของพันธกิจ
 2. บัณฑิตและผู้สำเร็จการศึกษาทุกหลักสูตร มีคุณภาพตามมาตรฐานที่กำหนด
 3. โครงสร้างการบริหารชัดเจน
 4. เครื่องมือกลไกช่วยการบริหารที่มีคุณภาพ
 5. รายได้เพิ่มขึ้นเสริมสร้างความยั่งยืน</t>
  </si>
  <si>
    <t>KPI S-1
 1.1 อันดับ QS Ranking หรือคะแนนรวม สูงขึ้นกว่าปีก่อน
 1.2 รายได้รวมเพิ่มขึ้น 8-10%
 1.3 ความก้าวหน้าการประเมินคุณภาพการบริหาร TQA/EdPEx</t>
  </si>
  <si>
    <t>เป้าหมายผลผลัพธ์เดียวกับยุทธศาสตร์ที่ 1 ในมิติมาตรฐานคุณภาพ และมีผลถึงการ จัดอันดับสถาบันการศึกษา Veterinary Medicine และ Veterinary Science ระดับโลกสูงขึ้น</t>
  </si>
  <si>
    <t xml:space="preserve"> 1. มาตรฐานคุณภาพการศึกษา AVBC, AUNQA
 2. ได้รับรองมาตรฐานคุณภาพเคร่ืองมือวิจัย
 3. ทุกหน่วยงานได้รับการรับรองมาตรฐานคุณภาพ ISO 9001</t>
  </si>
  <si>
    <t>KPI S-2
 2.1 ความก้าวหน้าการเตรียมรับรอง AVBC
 2.2 ความก้าวหน้าการรับรอง AUNQA
 2.3 ร้อยละของหน่วยงานที่ได้รับการ รับรองมาตรฐานคุณภาพ ISO</t>
  </si>
  <si>
    <t>เป้าหมายผลผลัพธ์เดียวกับยุทธศาสตร์ที่ 1 ในมิติการบริหารจัดการทรัพยากรบุคคล สมรรถนะบุคลากร และสุขอนามัย</t>
  </si>
  <si>
    <t xml:space="preserve"> 1. ระบบบริหารทรัพยากรบุคคล
 2. ระบบสมรรถนะและการพัฒนาบุคลากร
 3. บุคลากรทุกกลุ่มมีสมรรถนะสูงขึ้น</t>
  </si>
  <si>
    <t>KPI S-3
 3.1 จำนวนบุคลากรที่มีคุณวุฒิสูงขึ้น 10% 
 3.2 ความสำเร็จของแผนกำลังคน</t>
  </si>
  <si>
    <t>เป้าหมายผลผลัพธ์เดียวกับยุทธศาสตร์ที่ 1 ในมิติ ความสะดวกและคุณภาพข้อมูลเพื่อ การบริหารขับเคลื่อนและควบคุม</t>
  </si>
  <si>
    <t xml:space="preserve"> 1. ฐานข้อมูลกลาง
 2. ระบบการบริหารจัดการข้อมูล
 3. ข้อมูลสำหรับการบริหาร (MIS)</t>
  </si>
  <si>
    <t>KPI S-4
 4.1  ร้อยละความสำเร็จของฐานข้อมูลพันธกิจ หลัก
 4.2  ร้อยละของข้อมูลสำหรับการบริหารจัดการตามเป้าหมาย (MIS)</t>
  </si>
  <si>
    <t>เป้าหมายผลผลัพธ์เดียวกับยุทธศาสตร์ที่1 ในมิติผล QS Ranking สูงขึ้นและผลงาน วิชาการงานวิจัยและรายได้เพิ่มขึ้นจากแหล่งความรู้ความร่วมมือจากพันธมิตร</t>
  </si>
  <si>
    <t xml:space="preserve"> 1. แผนสร้างเสริมพันธมิตรกลยุทธ์ สถาบันองค์กรรัฐ เอกชน ผู้เชี่ยวชาญ
 2. ผลงานวิชาการ ความร่วมมือกับพันธมิตร
 3. ผลงานวิจัย ความร่วมพันธมิตร
 4. เครือข่ายโรงพยาบาลสัตว์ ศูนย์ชันสูตร</t>
  </si>
  <si>
    <t>KPI S-5
 5.1 คะแนน QS Ranking ด้านชื่อเสียง ด้านวิชาการ (Academic Reputation) สูงขึ้น
 5.2 ความนิยมของผู้ใช้บัณฑิต (Employer Reputation) สูงขึ้น</t>
  </si>
  <si>
    <t>เป้าหมายผลผลัพธ์เดียวกับยุทธศาสตร์ที่ 1 ในมิติ ความเชื่อมั่นเชื่อถือต่อคณะ ส่งผล ถึงความสำเร็จของพันธกิจ รายได้ และการ จัดอันดับคุณภาพสถาบันการศึกษาสากล</t>
  </si>
  <si>
    <t xml:space="preserve"> 1. สื่อของคณะ มีคุณภาพ ภาษาไทย/ ภาษาอังกฤษ
 2. บุคลากรของคณะมีชื่อเสียง
 3. แหล่งทุนวิจัยจากภายนอกเพิ่มขึ้น</t>
  </si>
  <si>
    <t>KPI S-6
 6.1 จำนวนทุนวิจัย (เพิ่มขึ้นจากปีก่อน)
 6.2 จำนวนอาจารย์บุคลากรที่รับเชิญทำบทบาทหน้าที่งานเพื่อสังคม</t>
  </si>
  <si>
    <t>ร้อยละความสำเร็จของตัวชี้วัด</t>
  </si>
  <si>
    <t xml:space="preserve">KPI S-2: สำเร็จ 73%
 </t>
  </si>
  <si>
    <t xml:space="preserve">KPI S-3: ร้อยละ 70%
</t>
  </si>
  <si>
    <t xml:space="preserve">KPI S-4: สำเร็จ 50%
</t>
  </si>
  <si>
    <t xml:space="preserve">KPI S-5: สำเร็จ 90%
 </t>
  </si>
  <si>
    <t xml:space="preserve">KPI 7-4.1.4 ความก้าวหน้าของการดำเนินงานตามแผนยุทธศาสตร์ </t>
  </si>
  <si>
    <t>หัวข้อยุทธศาสตร์</t>
  </si>
  <si>
    <t>ร้อยละความสำเร็จ</t>
  </si>
  <si>
    <t>ปฏิรูปโครงสร้างและระบบบริหารจัดการ</t>
  </si>
  <si>
    <t>ยกระดับมาตรฐานพันธกิจหลักเป็นสากล</t>
  </si>
  <si>
    <t>พัฒนาสมรรถนะและศักยภาพของบุคลากร</t>
  </si>
  <si>
    <t>พัฒนาระบบบริหารจัดการข้อมูล</t>
  </si>
  <si>
    <t>ร่วมมือกับพันธมิตร</t>
  </si>
  <si>
    <t>สื่อสารสร้างความเชื่อมั่นศรัทธาต่อคณะ</t>
  </si>
  <si>
    <r>
      <rPr>
        <b/>
        <u/>
        <sz val="16"/>
        <color theme="1"/>
        <rFont val="Angsana New"/>
        <family val="1"/>
      </rPr>
      <t xml:space="preserve">ยุทธศาสตร์ที่ 1 </t>
    </r>
    <r>
      <rPr>
        <b/>
        <sz val="16"/>
        <color theme="1"/>
        <rFont val="Angsana New"/>
        <family val="1"/>
      </rPr>
      <t xml:space="preserve">
ปฎิรูปโครงสร้างและ ระบบบริหารจัดการ</t>
    </r>
  </si>
  <si>
    <r>
      <t xml:space="preserve">KPI S-1: สำเร็จ 87%
</t>
    </r>
    <r>
      <rPr>
        <sz val="16"/>
        <rFont val="Angsana New"/>
        <family val="1"/>
      </rPr>
      <t xml:space="preserve"> </t>
    </r>
  </si>
  <si>
    <r>
      <rPr>
        <b/>
        <u/>
        <sz val="16"/>
        <color theme="1"/>
        <rFont val="Angsana New"/>
        <family val="1"/>
      </rPr>
      <t xml:space="preserve">ยุทธศาสตร์ที่ 2 </t>
    </r>
    <r>
      <rPr>
        <b/>
        <sz val="16"/>
        <color theme="1"/>
        <rFont val="Angsana New"/>
        <family val="1"/>
      </rPr>
      <t xml:space="preserve">
ยกระดับมาตรฐานพันธกิจหลักเป็นสากล</t>
    </r>
  </si>
  <si>
    <r>
      <rPr>
        <b/>
        <u/>
        <sz val="16"/>
        <color theme="1"/>
        <rFont val="Angsana New"/>
        <family val="1"/>
      </rPr>
      <t>ยุทธศาสตร์ที่ 3</t>
    </r>
    <r>
      <rPr>
        <b/>
        <sz val="16"/>
        <color theme="1"/>
        <rFont val="Angsana New"/>
        <family val="1"/>
      </rPr>
      <t xml:space="preserve">
พัฒนาสมรรถนะและ ศักยภาพของบุคลากร</t>
    </r>
  </si>
  <si>
    <r>
      <rPr>
        <b/>
        <u/>
        <sz val="16"/>
        <color theme="1"/>
        <rFont val="Angsana New"/>
        <family val="1"/>
      </rPr>
      <t>ยุทธศาสตร์ที่ 4</t>
    </r>
    <r>
      <rPr>
        <b/>
        <sz val="16"/>
        <color theme="1"/>
        <rFont val="Angsana New"/>
        <family val="1"/>
      </rPr>
      <t xml:space="preserve">
พัฒนาระบบบริหาร จัดการข้อมูล</t>
    </r>
  </si>
  <si>
    <r>
      <rPr>
        <b/>
        <u/>
        <sz val="16"/>
        <color theme="1"/>
        <rFont val="Angsana New"/>
        <family val="1"/>
      </rPr>
      <t>ยุทธศาสตร์ที่ 5</t>
    </r>
    <r>
      <rPr>
        <b/>
        <sz val="16"/>
        <color theme="1"/>
        <rFont val="Angsana New"/>
        <family val="1"/>
      </rPr>
      <t xml:space="preserve">
ร่วมมือกับพันธมิตร</t>
    </r>
  </si>
  <si>
    <r>
      <rPr>
        <b/>
        <u/>
        <sz val="16"/>
        <color theme="1"/>
        <rFont val="Angsana New"/>
        <family val="1"/>
      </rPr>
      <t xml:space="preserve">ยุทธศาสตร์ที่ 6 </t>
    </r>
    <r>
      <rPr>
        <b/>
        <sz val="16"/>
        <color theme="1"/>
        <rFont val="Angsana New"/>
        <family val="1"/>
      </rPr>
      <t xml:space="preserve">
สื่อสารสร้างความ เชื่อมั่นศรัทธาต่อคณะ</t>
    </r>
  </si>
  <si>
    <r>
      <t xml:space="preserve">KPI S-6: สำเร็จ 65%
</t>
    </r>
    <r>
      <rPr>
        <sz val="16"/>
        <rFont val="Angsana New"/>
        <family val="1"/>
      </rPr>
      <t xml:space="preserve"> </t>
    </r>
  </si>
  <si>
    <t>2 กำกับดูแลองค์กร</t>
  </si>
  <si>
    <t>จำนวนข้อสังเกตุ</t>
  </si>
  <si>
    <t>รายงานการจัดโครงการ CE</t>
  </si>
  <si>
    <t>CE</t>
  </si>
  <si>
    <t>ศูนย์ประชุม</t>
  </si>
  <si>
    <t>วัคซีน</t>
  </si>
  <si>
    <t>3. กฎหมาย กฎระเบียบข้อบังคับ และการรับรองคุณภาพ</t>
  </si>
  <si>
    <r>
      <rPr>
        <b/>
        <sz val="16"/>
        <color theme="1"/>
        <rFont val="Angsana New"/>
        <family val="1"/>
      </rPr>
      <t>ได้รับการรับรอง จำนวน 1 หน่วยงาน</t>
    </r>
    <r>
      <rPr>
        <sz val="16"/>
        <color theme="1"/>
        <rFont val="Angsana New"/>
        <family val="1"/>
      </rPr>
      <t xml:space="preserve">
   </t>
    </r>
    <r>
      <rPr>
        <b/>
        <sz val="16"/>
        <color theme="1"/>
        <rFont val="Angsana New"/>
        <family val="1"/>
      </rPr>
      <t>- โรงพยาบาลสัตว์ มก.บางเขน</t>
    </r>
    <r>
      <rPr>
        <sz val="16"/>
        <color theme="1"/>
        <rFont val="Angsana New"/>
        <family val="1"/>
      </rPr>
      <t xml:space="preserve">
 (รับรอง 13 พ.ย.62 และต่ออายุการรับรองถึงปัจจุบัน)</t>
    </r>
  </si>
  <si>
    <r>
      <rPr>
        <b/>
        <sz val="16"/>
        <color theme="1"/>
        <rFont val="Angsana New"/>
        <family val="1"/>
      </rPr>
      <t>ได้รับการรับรอง จำนวน 3 หน่วยงาน</t>
    </r>
    <r>
      <rPr>
        <sz val="16"/>
        <color theme="1"/>
        <rFont val="Angsana New"/>
        <family val="1"/>
      </rPr>
      <t xml:space="preserve">
   </t>
    </r>
    <r>
      <rPr>
        <b/>
        <sz val="16"/>
        <color theme="1"/>
        <rFont val="Angsana New"/>
        <family val="1"/>
      </rPr>
      <t>- โรงพยาบาลสัตว์ มก.บางเขน</t>
    </r>
    <r>
      <rPr>
        <sz val="16"/>
        <color theme="1"/>
        <rFont val="Angsana New"/>
        <family val="1"/>
      </rPr>
      <t xml:space="preserve">
 (รับรอง 13 พ.ย.62 และต่ออายุการรับรองถึงปัจจุบัน)
    </t>
    </r>
    <r>
      <rPr>
        <b/>
        <sz val="16"/>
        <color theme="1"/>
        <rFont val="Angsana New"/>
        <family val="1"/>
      </rPr>
      <t xml:space="preserve">- โรงพยาบาลสัตว์ มก.กำแพงแสน </t>
    </r>
    <r>
      <rPr>
        <sz val="16"/>
        <color theme="1"/>
        <rFont val="Angsana New"/>
        <family val="1"/>
      </rPr>
      <t xml:space="preserve">
(รับรอง 14 ก.พ.65 และต่ออายุการรับรองถึงปัจจุบัน)
   </t>
    </r>
    <r>
      <rPr>
        <b/>
        <sz val="16"/>
        <color theme="1"/>
        <rFont val="Angsana New"/>
        <family val="1"/>
      </rPr>
      <t>- งานบริหารและธุรการ กำแพงแสน</t>
    </r>
    <r>
      <rPr>
        <sz val="16"/>
        <color theme="1"/>
        <rFont val="Angsana New"/>
        <family val="1"/>
      </rPr>
      <t xml:space="preserve">
(รับรอง 14 ก.พ.65 และต่ออายุการรับรองถึงปัจจุบัน)</t>
    </r>
  </si>
  <si>
    <r>
      <rPr>
        <b/>
        <sz val="16"/>
        <color theme="1"/>
        <rFont val="Angsana New"/>
        <family val="1"/>
      </rPr>
      <t xml:space="preserve">ได้รับการรับรอง จำนวน 5 หน่วยงาน
</t>
    </r>
    <r>
      <rPr>
        <sz val="16"/>
        <color theme="1"/>
        <rFont val="Angsana New"/>
        <family val="1"/>
      </rPr>
      <t xml:space="preserve">
   </t>
    </r>
    <r>
      <rPr>
        <b/>
        <sz val="16"/>
        <color theme="1"/>
        <rFont val="Angsana New"/>
        <family val="1"/>
      </rPr>
      <t>- โรงพยาบาลสัตว์ มก.บางเขน</t>
    </r>
    <r>
      <rPr>
        <sz val="16"/>
        <color theme="1"/>
        <rFont val="Angsana New"/>
        <family val="1"/>
      </rPr>
      <t xml:space="preserve">
 (รับรอง 13 พ.ย.62 และต่ออายุการรับรองถึงปัจจุบัน)
   - โรงพยาบาลสัตว์ มก.กำแพงแสน 
(รับรอง 14 ก.พ.65 และต่ออายุการรับรองถึงปัจจุบัน)
   </t>
    </r>
    <r>
      <rPr>
        <b/>
        <sz val="16"/>
        <color theme="1"/>
        <rFont val="Angsana New"/>
        <family val="1"/>
      </rPr>
      <t>- งานบริหารและธุรการ กำแพงแสน</t>
    </r>
    <r>
      <rPr>
        <sz val="16"/>
        <color theme="1"/>
        <rFont val="Angsana New"/>
        <family val="1"/>
      </rPr>
      <t xml:space="preserve">
(รับรอง 14 ก.พ.65 และต่ออายุการรับรองถึงปัจจุบัน)
   </t>
    </r>
    <r>
      <rPr>
        <b/>
        <sz val="16"/>
        <color theme="1"/>
        <rFont val="Angsana New"/>
        <family val="1"/>
      </rPr>
      <t>- โรงพยาบาลสัตว์ มก.หนองโพ</t>
    </r>
    <r>
      <rPr>
        <sz val="16"/>
        <color theme="1"/>
        <rFont val="Angsana New"/>
        <family val="1"/>
      </rPr>
      <t xml:space="preserve">
(รับรอง 13 พ.ค.66 และต่ออายุการรับรองถึงปัจจุบัน)
  </t>
    </r>
    <r>
      <rPr>
        <b/>
        <sz val="16"/>
        <color theme="1"/>
        <rFont val="Angsana New"/>
        <family val="1"/>
      </rPr>
      <t xml:space="preserve"> - โรงพยาบาลสัตว์ มก.หัวหิน</t>
    </r>
    <r>
      <rPr>
        <sz val="16"/>
        <color theme="1"/>
        <rFont val="Angsana New"/>
        <family val="1"/>
      </rPr>
      <t xml:space="preserve">
(รับรอง 13 พ.ค.66 และต่ออายุการรับรองถึงปัจจุบัน)</t>
    </r>
  </si>
  <si>
    <r>
      <rPr>
        <b/>
        <sz val="16"/>
        <color theme="1"/>
        <rFont val="Angsana New"/>
        <family val="1"/>
      </rPr>
      <t xml:space="preserve">ได้รับการรับรอง จำนวน 6 หน่วยงาน
</t>
    </r>
    <r>
      <rPr>
        <sz val="16"/>
        <color theme="1"/>
        <rFont val="Angsana New"/>
        <family val="1"/>
      </rPr>
      <t xml:space="preserve">
   </t>
    </r>
    <r>
      <rPr>
        <b/>
        <sz val="16"/>
        <color theme="1"/>
        <rFont val="Angsana New"/>
        <family val="1"/>
      </rPr>
      <t>- โรงพยาบาลสัตว์ มก.บางเขน</t>
    </r>
    <r>
      <rPr>
        <sz val="16"/>
        <color theme="1"/>
        <rFont val="Angsana New"/>
        <family val="1"/>
      </rPr>
      <t xml:space="preserve">
 (รับรอง 13 พ.ย.62 และต่ออายุการรับรองถึงปัจจุบัน)
  </t>
    </r>
    <r>
      <rPr>
        <b/>
        <sz val="16"/>
        <color theme="1"/>
        <rFont val="Angsana New"/>
        <family val="1"/>
      </rPr>
      <t xml:space="preserve"> - โรงพยาบาลสัตว์ มก.กำแพงแสน </t>
    </r>
    <r>
      <rPr>
        <sz val="16"/>
        <color theme="1"/>
        <rFont val="Angsana New"/>
        <family val="1"/>
      </rPr>
      <t xml:space="preserve">
(รับรอง 14 ก.พ.65 และต่ออายุการรับรองถึงปัจจุบัน)
   </t>
    </r>
    <r>
      <rPr>
        <b/>
        <sz val="16"/>
        <color theme="1"/>
        <rFont val="Angsana New"/>
        <family val="1"/>
      </rPr>
      <t>- งานบริหารและธุรการ กำแพงแสน</t>
    </r>
    <r>
      <rPr>
        <sz val="16"/>
        <color theme="1"/>
        <rFont val="Angsana New"/>
        <family val="1"/>
      </rPr>
      <t xml:space="preserve">
(รับรอง 14 ก.พ.65 และต่ออายุการรับรองถึงปัจจุบัน)
  </t>
    </r>
    <r>
      <rPr>
        <b/>
        <sz val="16"/>
        <color theme="1"/>
        <rFont val="Angsana New"/>
        <family val="1"/>
      </rPr>
      <t xml:space="preserve"> - โรงพยาบาลสัตว์ มก.หนองโพ</t>
    </r>
    <r>
      <rPr>
        <sz val="16"/>
        <color theme="1"/>
        <rFont val="Angsana New"/>
        <family val="1"/>
      </rPr>
      <t xml:space="preserve">
(รับรอง 13 พ.ค.66 และต่ออายุการรับรองถึงปัจจุบัน)
   </t>
    </r>
    <r>
      <rPr>
        <b/>
        <sz val="16"/>
        <color theme="1"/>
        <rFont val="Angsana New"/>
        <family val="1"/>
      </rPr>
      <t>- โรงพยาบาลสัตว์ มก.หัวหิน</t>
    </r>
    <r>
      <rPr>
        <sz val="16"/>
        <color theme="1"/>
        <rFont val="Angsana New"/>
        <family val="1"/>
      </rPr>
      <t xml:space="preserve">
(รับรอง 13 พ.ค.66 และต่ออายุการรับรองถึงปัจจุบัน)
   </t>
    </r>
    <r>
      <rPr>
        <b/>
        <sz val="16"/>
        <color theme="1"/>
        <rFont val="Angsana New"/>
        <family val="1"/>
      </rPr>
      <t>- สำนักงานเลขานุการ</t>
    </r>
    <r>
      <rPr>
        <sz val="16"/>
        <color theme="1"/>
        <rFont val="Angsana New"/>
        <family val="1"/>
      </rPr>
      <t xml:space="preserve"> (รับรอง 67 และต่ออายุการรับรองถึงปัจจุบัน)</t>
    </r>
  </si>
  <si>
    <r>
      <rPr>
        <b/>
        <sz val="16"/>
        <color theme="1"/>
        <rFont val="Angsana New"/>
        <family val="1"/>
      </rPr>
      <t xml:space="preserve">ได้รับการรับรอง จำนวน 6 หน่วยงาน
</t>
    </r>
    <r>
      <rPr>
        <sz val="16"/>
        <color theme="1"/>
        <rFont val="Angsana New"/>
        <family val="1"/>
      </rPr>
      <t xml:space="preserve">
   </t>
    </r>
    <r>
      <rPr>
        <b/>
        <sz val="16"/>
        <color theme="1"/>
        <rFont val="Angsana New"/>
        <family val="1"/>
      </rPr>
      <t>- โรงพยาบาลสัตว์ มก.บางเขน</t>
    </r>
    <r>
      <rPr>
        <sz val="16"/>
        <color theme="1"/>
        <rFont val="Angsana New"/>
        <family val="1"/>
      </rPr>
      <t xml:space="preserve">
 (รับรอง 13 พ.ย.62 และต่ออายุการรับรองถึงปัจจุบัน)
   </t>
    </r>
    <r>
      <rPr>
        <b/>
        <sz val="16"/>
        <color theme="1"/>
        <rFont val="Angsana New"/>
        <family val="1"/>
      </rPr>
      <t xml:space="preserve">- โรงพยาบาลสัตว์ มก.กำแพงแสน </t>
    </r>
    <r>
      <rPr>
        <sz val="16"/>
        <color theme="1"/>
        <rFont val="Angsana New"/>
        <family val="1"/>
      </rPr>
      <t xml:space="preserve">
(รับรอง 14 ก.พ.65 และต่ออายุการรับรองถึงปัจจุบัน)
  </t>
    </r>
    <r>
      <rPr>
        <b/>
        <sz val="16"/>
        <color theme="1"/>
        <rFont val="Angsana New"/>
        <family val="1"/>
      </rPr>
      <t xml:space="preserve"> - งานบริหารและธุรการ กำแพงแสน</t>
    </r>
    <r>
      <rPr>
        <sz val="16"/>
        <color theme="1"/>
        <rFont val="Angsana New"/>
        <family val="1"/>
      </rPr>
      <t xml:space="preserve">
(รับรอง 14 ก.พ.65 และต่ออายุการรับรองถึงปัจจุบัน)
   </t>
    </r>
    <r>
      <rPr>
        <b/>
        <sz val="16"/>
        <color theme="1"/>
        <rFont val="Angsana New"/>
        <family val="1"/>
      </rPr>
      <t>- โรงพยาบาลสัตว์ มก.หนองโพ</t>
    </r>
    <r>
      <rPr>
        <sz val="16"/>
        <color theme="1"/>
        <rFont val="Angsana New"/>
        <family val="1"/>
      </rPr>
      <t xml:space="preserve">
(รับรอง 13 พ.ค.66 และต่ออายุการรับรองถึงปัจจุบัน)
   </t>
    </r>
    <r>
      <rPr>
        <b/>
        <sz val="16"/>
        <color theme="1"/>
        <rFont val="Angsana New"/>
        <family val="1"/>
      </rPr>
      <t>- โรงพยาบาลสัตว์ มก.หัวหิน</t>
    </r>
    <r>
      <rPr>
        <sz val="16"/>
        <color theme="1"/>
        <rFont val="Angsana New"/>
        <family val="1"/>
      </rPr>
      <t xml:space="preserve">
(รับรอง 13 พ.ค.66 และต่ออายุการรับรองถึงปัจจุบัน)
   </t>
    </r>
    <r>
      <rPr>
        <b/>
        <sz val="16"/>
        <color theme="1"/>
        <rFont val="Angsana New"/>
        <family val="1"/>
      </rPr>
      <t>- สำนักงานเลขานุการ</t>
    </r>
    <r>
      <rPr>
        <sz val="16"/>
        <color theme="1"/>
        <rFont val="Angsana New"/>
        <family val="1"/>
      </rPr>
      <t xml:space="preserve">
(รับรอง 67 และต่ออายุการรับรองถึงปัจจุบัน)</t>
    </r>
  </si>
  <si>
    <r>
      <rPr>
        <b/>
        <sz val="16"/>
        <color theme="1"/>
        <rFont val="Angsana New"/>
        <family val="1"/>
      </rPr>
      <t xml:space="preserve">ได้รับการรับรอง จำนวน 1 หน่วยงาน
</t>
    </r>
    <r>
      <rPr>
        <sz val="16"/>
        <color theme="1"/>
        <rFont val="Angsana New"/>
        <family val="1"/>
      </rPr>
      <t xml:space="preserve">
   </t>
    </r>
    <r>
      <rPr>
        <b/>
        <sz val="16"/>
        <color theme="1"/>
        <rFont val="Angsana New"/>
        <family val="1"/>
      </rPr>
      <t xml:space="preserve">- ศูนย์ชันสูตรโรคสัตว์ กำแพงแสน </t>
    </r>
    <r>
      <rPr>
        <sz val="16"/>
        <color theme="1"/>
        <rFont val="Angsana New"/>
        <family val="1"/>
      </rPr>
      <t xml:space="preserve">
(รับรอง 20 มกราคม พ.ศ.2565 และต่ออายุการรับรองถึงปัจจุบัน) </t>
    </r>
  </si>
  <si>
    <r>
      <rPr>
        <b/>
        <sz val="16"/>
        <color theme="1"/>
        <rFont val="Angsana New"/>
        <family val="1"/>
      </rPr>
      <t xml:space="preserve">ได้รับการรับรอง จำนวน 1 หน่วยงาน
</t>
    </r>
    <r>
      <rPr>
        <sz val="16"/>
        <color theme="1"/>
        <rFont val="Angsana New"/>
        <family val="1"/>
      </rPr>
      <t xml:space="preserve">
  </t>
    </r>
    <r>
      <rPr>
        <b/>
        <sz val="16"/>
        <color theme="1"/>
        <rFont val="Angsana New"/>
        <family val="1"/>
      </rPr>
      <t xml:space="preserve"> - ศูนย์ชันสูตรโรคสัตว์ กำแพงแสน </t>
    </r>
    <r>
      <rPr>
        <sz val="16"/>
        <color theme="1"/>
        <rFont val="Angsana New"/>
        <family val="1"/>
      </rPr>
      <t xml:space="preserve">
(รับรอง 20 มกราคม พ.ศ.2565 และต่ออายุการรับรองถึงปัจจุบัน) </t>
    </r>
  </si>
  <si>
    <r>
      <rPr>
        <b/>
        <sz val="16"/>
        <color theme="1"/>
        <rFont val="Angsana New"/>
        <family val="1"/>
      </rPr>
      <t>ได้รับการรับรอง จำนวน 1 หน่วยงาน</t>
    </r>
    <r>
      <rPr>
        <sz val="16"/>
        <color theme="1"/>
        <rFont val="Angsana New"/>
        <family val="1"/>
      </rPr>
      <t xml:space="preserve">
</t>
    </r>
    <r>
      <rPr>
        <b/>
        <sz val="16"/>
        <color theme="1"/>
        <rFont val="Angsana New"/>
        <family val="1"/>
      </rPr>
      <t xml:space="preserve">และอยู่ระหว่างยื่นขอรับรอง 2 หน่วยงาน
</t>
    </r>
    <r>
      <rPr>
        <sz val="16"/>
        <color theme="1"/>
        <rFont val="Angsana New"/>
        <family val="1"/>
      </rPr>
      <t xml:space="preserve">
   </t>
    </r>
    <r>
      <rPr>
        <b/>
        <sz val="16"/>
        <color theme="1"/>
        <rFont val="Angsana New"/>
        <family val="1"/>
      </rPr>
      <t>- ศูนย์ชันสูตรโรคสัตว์ กำแพงแสน</t>
    </r>
    <r>
      <rPr>
        <sz val="16"/>
        <color theme="1"/>
        <rFont val="Angsana New"/>
        <family val="1"/>
      </rPr>
      <t xml:space="preserve">
 (รับรอง 20 มกราคม พ.ศ.2565 และต่อ
อายุการรับรองถึงปัจจุบัน) 
  </t>
    </r>
    <r>
      <rPr>
        <b/>
        <sz val="16"/>
        <color theme="1"/>
        <rFont val="Angsana New"/>
        <family val="1"/>
      </rPr>
      <t xml:space="preserve"> - ศูนย์ชันสูตรโรคสัตว์ บางเขน </t>
    </r>
    <r>
      <rPr>
        <sz val="16"/>
        <color theme="1"/>
        <rFont val="Angsana New"/>
        <family val="1"/>
      </rPr>
      <t xml:space="preserve">
(เข้ารับการตรวจประเมินปลายปี 68)
  </t>
    </r>
    <r>
      <rPr>
        <b/>
        <sz val="16"/>
        <color theme="1"/>
        <rFont val="Angsana New"/>
        <family val="1"/>
      </rPr>
      <t xml:space="preserve"> - ศูนย์วิจัยและนวัตกรรมทางสัตวแพทย์</t>
    </r>
    <r>
      <rPr>
        <sz val="16"/>
        <color theme="1"/>
        <rFont val="Angsana New"/>
        <family val="1"/>
      </rPr>
      <t xml:space="preserve">
(เตรียมความพร้อมเพื่อทำมาตรฐานในปี 69)</t>
    </r>
  </si>
  <si>
    <r>
      <rPr>
        <b/>
        <sz val="16"/>
        <color theme="1"/>
        <rFont val="Angsana New"/>
        <family val="1"/>
      </rPr>
      <t>รับการประเมินเรียบร้อยแล้ว 
จำนวน  2  หลักสูตร  แบ่งเป็น</t>
    </r>
    <r>
      <rPr>
        <sz val="16"/>
        <color theme="1"/>
        <rFont val="Angsana New"/>
        <family val="1"/>
      </rPr>
      <t xml:space="preserve">
</t>
    </r>
    <r>
      <rPr>
        <b/>
        <sz val="16"/>
        <color theme="1"/>
        <rFont val="Angsana New"/>
        <family val="1"/>
      </rPr>
      <t xml:space="preserve"> ป.โท</t>
    </r>
    <r>
      <rPr>
        <sz val="16"/>
        <color theme="1"/>
        <rFont val="Angsana New"/>
        <family val="1"/>
      </rPr>
      <t xml:space="preserve"> จำนวน 1 หลักสูตร
  - สาขาวิชาระบาดวิทยาทางสัตวแพทย์
 </t>
    </r>
    <r>
      <rPr>
        <b/>
        <sz val="16"/>
        <color theme="1"/>
        <rFont val="Angsana New"/>
        <family val="1"/>
      </rPr>
      <t>ป.เอก</t>
    </r>
    <r>
      <rPr>
        <sz val="16"/>
        <color theme="1"/>
        <rFont val="Angsana New"/>
        <family val="1"/>
      </rPr>
      <t xml:space="preserve"> จำนวน 1 หลักสูตร 
  - สาขาวิชาวิทยาศาสตร์และนวัตกรรม
เพื่อสุขภาพสัตว์ (นานาชาติ)
</t>
    </r>
  </si>
  <si>
    <r>
      <rPr>
        <b/>
        <sz val="16"/>
        <color theme="1"/>
        <rFont val="Angsana New"/>
        <family val="1"/>
      </rPr>
      <t>รับการประเมินเรียบร้อยแล้ว 
จำนวน  4  หลักสูตร แบ่งเป็น</t>
    </r>
    <r>
      <rPr>
        <sz val="16"/>
        <color theme="1"/>
        <rFont val="Angsana New"/>
        <family val="1"/>
      </rPr>
      <t xml:space="preserve">
 </t>
    </r>
    <r>
      <rPr>
        <b/>
        <sz val="16"/>
        <color theme="1"/>
        <rFont val="Angsana New"/>
        <family val="1"/>
      </rPr>
      <t>ป.โท</t>
    </r>
    <r>
      <rPr>
        <sz val="16"/>
        <color theme="1"/>
        <rFont val="Angsana New"/>
        <family val="1"/>
      </rPr>
      <t xml:space="preserve"> จำนวน 2 หลักสูตร
  - สาขาวิชาระบาดวิทยาทางสัตวแพทย์
  - สาขาวิชาวิทยาศาสตร์สุขภาพสัตว์และชีวเวชศาสตร์
 </t>
    </r>
    <r>
      <rPr>
        <b/>
        <sz val="16"/>
        <color theme="1"/>
        <rFont val="Angsana New"/>
        <family val="1"/>
      </rPr>
      <t>ป.เอก</t>
    </r>
    <r>
      <rPr>
        <sz val="16"/>
        <color theme="1"/>
        <rFont val="Angsana New"/>
        <family val="1"/>
      </rPr>
      <t xml:space="preserve"> จำนวน 2 หลักสูตร
  - สาขาวิชาวิทยาศาสตร์และนวัตกรรมเพื่อสุขภาพสัตว์ (นานาชาติ)
  - สาขาวิชาวิทยาศาสตร์สุขภาพสัตว์และชีวเวชศาสตร์</t>
    </r>
  </si>
  <si>
    <r>
      <rPr>
        <b/>
        <sz val="16"/>
        <color theme="1"/>
        <rFont val="Angsana New"/>
        <family val="1"/>
      </rPr>
      <t>รับการประเมินเรียบร้อยแล้ว 
จำนวน  5  หลักสูตร  แบ่งเป็น</t>
    </r>
    <r>
      <rPr>
        <sz val="16"/>
        <color theme="1"/>
        <rFont val="Angsana New"/>
        <family val="1"/>
      </rPr>
      <t xml:space="preserve">
</t>
    </r>
    <r>
      <rPr>
        <b/>
        <sz val="16"/>
        <color theme="1"/>
        <rFont val="Angsana New"/>
        <family val="1"/>
      </rPr>
      <t>ป.โท</t>
    </r>
    <r>
      <rPr>
        <sz val="16"/>
        <color theme="1"/>
        <rFont val="Angsana New"/>
        <family val="1"/>
      </rPr>
      <t xml:space="preserve"> จำนวน 3 หลักสูตร
  - สาขาวิชาระบาดวิทยาทางสัตวแพทย์
  - สาขาวิชาวิทยาศาสตร์สุขภาพสัตว์และชีวเวชศาสตร์ 
  - สาขาวิชาคลินิกศึกษาทางสัตวแพทย์
</t>
    </r>
    <r>
      <rPr>
        <b/>
        <sz val="16"/>
        <color theme="1"/>
        <rFont val="Angsana New"/>
        <family val="1"/>
      </rPr>
      <t>ป.เอก</t>
    </r>
    <r>
      <rPr>
        <sz val="16"/>
        <color theme="1"/>
        <rFont val="Angsana New"/>
        <family val="1"/>
      </rPr>
      <t xml:space="preserve"> จำนวน 2 หลักสูตร
  - สาขาวิชาวิทยาศาสตร์และนวัตกรรมเพื่อสุขภาพสัตว์ (นานาชาติ)
  - สาขาวิชาวิทยาศาสตร์สุขภาพสัตว์และชีวเวชศาสตร์</t>
    </r>
  </si>
  <si>
    <r>
      <rPr>
        <b/>
        <sz val="16"/>
        <color theme="1"/>
        <rFont val="Angsana New"/>
        <family val="1"/>
      </rPr>
      <t>เข้ารับการประเมิน
จำนวน  6  หลักสูตร แบ่งเป็น</t>
    </r>
    <r>
      <rPr>
        <sz val="16"/>
        <color theme="1"/>
        <rFont val="Angsana New"/>
        <family val="1"/>
      </rPr>
      <t xml:space="preserve">
 </t>
    </r>
    <r>
      <rPr>
        <b/>
        <sz val="16"/>
        <color theme="1"/>
        <rFont val="Angsana New"/>
        <family val="1"/>
      </rPr>
      <t>ป.โท</t>
    </r>
    <r>
      <rPr>
        <sz val="16"/>
        <color theme="1"/>
        <rFont val="Angsana New"/>
        <family val="1"/>
      </rPr>
      <t xml:space="preserve"> จำนวน 3 หลักสูตร
  - สาขาวิชาระบาดวิทยาทางสัตวแพทย์ 
( 6 พฤศจิกายน 2568)
  - สาขาวิชาวิทยาศาสตร์สุขภาพสัตว์และชีวเวชศาสตร์ (27 ตุลาคม 2568) 
ประเมินคุณภาพการศึกษาภายนอก 
 - สาขาวิชาคลินิกศึกษาทางสัตวแพทย์ 
( 29 กันยายน 2568)
 </t>
    </r>
    <r>
      <rPr>
        <b/>
        <sz val="16"/>
        <color theme="1"/>
        <rFont val="Angsana New"/>
        <family val="1"/>
      </rPr>
      <t>ป.เอก</t>
    </r>
    <r>
      <rPr>
        <sz val="16"/>
        <color theme="1"/>
        <rFont val="Angsana New"/>
        <family val="1"/>
      </rPr>
      <t xml:space="preserve"> จำนวน 3 หลักสูตร
  - สาขาวิชาวิทยาศาสตร์และนวัตกรรมเพื่อสุขภาพสัตว์ (นานาชาติ)
  - สาขาวิชาวิทยาศาสตร์สุขภาพสัตว์และชีวเวชศาสตร์ ( 3 ธันวาคม 2568)
  - สาขาวิชาคลินิกศึกษาทางสัตวแพทย์ 
(30 กันยายน 2568)</t>
    </r>
  </si>
  <si>
    <r>
      <t xml:space="preserve">การประเมินคุณภาพการศึกษาภายใน ระดับหลักสูตร ตามเกณฑ์ AUN-QA หลักสูตรระดับบัณฑิตศึกษาคณะสัตวแพทยศาสตร์ ทั้งหมด 10 หลักสูตร ประกอบด้วย
·        </t>
    </r>
    <r>
      <rPr>
        <b/>
        <sz val="16"/>
        <color theme="1"/>
        <rFont val="Angsana New"/>
        <family val="1"/>
      </rPr>
      <t>ปริญญาโท 5 หลักสูตร</t>
    </r>
    <r>
      <rPr>
        <sz val="16"/>
        <color theme="1"/>
        <rFont val="Angsana New"/>
        <family val="1"/>
      </rPr>
      <t xml:space="preserve"> ตรวจรับรองจำนวน 3 หลักสูตร
o   สาขาวิชาคลินิกศึกษาทางสัตวแพทย์ หลักสูตรปรับปรุง พ.ศ. 2564 (ตรวจรับรองปีที่ 2)
o   สาขาวิชาวิทยาศาสตร์สุขภาพสัตว์และชีวเวชศาสตร์ หลักสูตรปรับปรุง พ.ศ. 2565  (ตรวจรับรองปีที่ 3)
o   สาขาวิชาระบาดวิทยาทางสัตวแพทย์และสารสนเทศทางสัตวแพทยสาธารณสุข หลักสูตรปรับปรุง  พ.ศ. 2566 (ตรวจรับรองปีที่ 4)
o   สาขาวิชาวิทยาศาสตร์และนวัตกรรมเพื่อสุขภาพสัตว์ (หลักสูตรนานาชาติ) หลักสูตรใหม่ พ.ศ. 2567 ยังไม่ตรวจรับรอง
o   สาขาวิชาเภสัชวิทยาและพิษวิทยาทางการสัตวแพทย์ หลักสูตรปรับปรุง พ.ศ. 2564  ยังไม่ตรวจรับรอง
·    </t>
    </r>
    <r>
      <rPr>
        <b/>
        <sz val="16"/>
        <color theme="1"/>
        <rFont val="Angsana New"/>
        <family val="1"/>
      </rPr>
      <t xml:space="preserve">    ปริญญาเอก 4 หลักสูตร</t>
    </r>
    <r>
      <rPr>
        <sz val="16"/>
        <color theme="1"/>
        <rFont val="Angsana New"/>
        <family val="1"/>
      </rPr>
      <t xml:space="preserve"> ตรวจรับรองจำนวน 3 หลักสูตร
o   สาขาวิชาวิทยาศาสตร์สุขภาพสัตว์และชีวเวชศาสตร์ หลักสูตรปรับปรุง พ.ศ. 2565 (ตรวจรับรองปีที่ 3)
o   สาขาวิชาเภสัชวิทยาและพิษวิทยาทางการสัตวแพทย์ หลักสูตรปรับปรุง พ.ศ. 2565 ยังไม่ตรวจรับรอง
o   สาขาวิชาวิทยาศาสตร์และนวัตกรรมเพื่อสุขภาพสัตว์ (หลักสูตรนานาชาติ) หลักสูตรปรับปรุง พ.ศ. 2566  (ตรวจรับรองปีที่ 4)
o   สาขาวิชาคลินิกศึกษาทางสัตวแพทย์ หลักสูตรปรับปรุง พ.ศ. 2567 (ตรวจรับรองปีที่ 1)
    </t>
    </r>
    <r>
      <rPr>
        <b/>
        <sz val="16"/>
        <color theme="1"/>
        <rFont val="Angsana New"/>
        <family val="1"/>
      </rPr>
      <t>ประกาศนียบัตรชั้นสูง 1 หลักสูตร</t>
    </r>
    <r>
      <rPr>
        <sz val="16"/>
        <color theme="1"/>
        <rFont val="Angsana New"/>
        <family val="1"/>
      </rPr>
      <t xml:space="preserve">
 o  สาขาวิชาวิทยาศาสตร์การสัตวแพทย์คลินิก อยู่ระหว่างปิดหลักสูตร
</t>
    </r>
  </si>
  <si>
    <r>
      <t xml:space="preserve">การประกันคุณภาพตามมาตรฐาน AUN-QA </t>
    </r>
    <r>
      <rPr>
        <sz val="16"/>
        <color rgb="FFFF0000"/>
        <rFont val="Angsana New"/>
        <family val="1"/>
      </rPr>
      <t>(ภายนอก)</t>
    </r>
  </si>
  <si>
    <r>
      <t xml:space="preserve">การประกันคุณภาพตามมาตรฐาน AUN-QA </t>
    </r>
    <r>
      <rPr>
        <sz val="16"/>
        <color rgb="FFFF0000"/>
        <rFont val="Angsana New"/>
        <family val="1"/>
      </rPr>
      <t>(ภายใน)</t>
    </r>
  </si>
  <si>
    <t>ชื่อหน่วยงานรัฐ</t>
  </si>
  <si>
    <t>ชื่องานบริการที่ตรวจรับรอง</t>
  </si>
  <si>
    <t>จำนวนการส่งตรวจตัวอย่าง</t>
  </si>
  <si>
    <t>กรมประมง</t>
  </si>
  <si>
    <t>การทดสอบ Iridovirus ในปลากะพงเพื่อการส่งออก</t>
  </si>
  <si>
    <t>กรมปศุสัตว์</t>
  </si>
  <si>
    <t>การทดสอบประสิทธิภาพน้ำยาฆ่าเชื้อไวรัสไข้หวัดนก</t>
  </si>
  <si>
    <t>การทดสอบประสิทธิภาพน้ำยาฆ่าเชื้อไวรัสนิวคาสเซิล</t>
  </si>
  <si>
    <t>กรมทรัพยากรน้ำบาดาล</t>
  </si>
  <si>
    <t xml:space="preserve">การทดสอบคุณภาพน้ำบาดาลทางกายภาพ </t>
  </si>
  <si>
    <t>4. จริยธรรม</t>
  </si>
  <si>
    <t xml:space="preserve">มีผลการตรวจสอบภายใน และตรวจสอบจากมหาวิทยาลัย ในด้านการบริหารตามหลักธรรมาภิบาล </t>
  </si>
  <si>
    <t>ประเด็นธรรมาภิบาล</t>
  </si>
  <si>
    <t xml:space="preserve"> คะแนนเฉลี่ย</t>
  </si>
  <si>
    <t xml:space="preserve">1. หลักการตอบสนอง (Responsiveness)  </t>
  </si>
  <si>
    <t xml:space="preserve">1.1 สามารถดำเนินการด้านการให้บริการได้ภายในระยะเวลาที่กำหนดไว้  </t>
  </si>
  <si>
    <t xml:space="preserve">1.2 สามารถสร้างความเชื่อมั่น ความไว้วางใจให้แก่ผู้รับบริการ  </t>
  </si>
  <si>
    <t xml:space="preserve">1.3 สามารถตอบสนองความคาดหวัง/ความต้องการของผู้รับบริการ และผู้มีส่วนได้ ส่วนเสีย ที่มีความหลากหลาย และมีความแตกต่างได้  </t>
  </si>
  <si>
    <t xml:space="preserve">2. หลักภาระความรับผิดชอบ (Accountability) </t>
  </si>
  <si>
    <t xml:space="preserve">2.1 แสดงความรับผิดชอบในการปฏิบัติหน้าที่ และผลงานต่อเป้าหมายที่กำหนดไว้  </t>
  </si>
  <si>
    <t xml:space="preserve">2.2 มีความรับผิดชอบต่อความคาดหวังของบุคลากรและผู้มีส่วนเกี่ยวข้อง  </t>
  </si>
  <si>
    <t xml:space="preserve">2.3 มีสำนึกในการรับผิดชอบต่อปัญหาสาธารณะ  </t>
  </si>
  <si>
    <t xml:space="preserve">3. หลักความโปร่งใส (Transparency) </t>
  </si>
  <si>
    <t xml:space="preserve">3.1 มีกระบวนการทำงานที่เปิดเผยตรงไปตรงมา สามารถติดตามและตรวจสอบการดำเนินกิจกรรม/แผนงานขององค์กรได้ </t>
  </si>
  <si>
    <t xml:space="preserve">3.2 บุคลากรสามารถเข้าถึงข้อมูลข่าวสารขององค์กรได้อย่างทั่วถึง ข้อมูลมีความถูกต้องและมีการเปิดเผยข้อมูลข่าวสารสำคัญที่บุคลากรควรรู้  </t>
  </si>
  <si>
    <t>*หมายเหตุ (1 ตุลาคม พ.ศ. 2564 ถึง 30 กันยายน พ.ศ. 2567 : ระยะเวลา 3 ปี)</t>
  </si>
  <si>
    <t xml:space="preserve">หลักการตอบสนอง (Responsiveness) </t>
  </si>
  <si>
    <t>หลักภาระความรับผิดชอบ (Accountability)</t>
  </si>
  <si>
    <t xml:space="preserve">หลักความโปร่งใส (Transparency) </t>
  </si>
  <si>
    <t xml:space="preserve">ประเด็นธรรมาภิบาล </t>
  </si>
  <si>
    <t>คะแนนเฉลี่ย</t>
  </si>
  <si>
    <t xml:space="preserve">3.1 มีกระบวนการทำงานที่เปิดเผยตรงไปตรงมา สามารถติดตามและตรวจสอบการดำเนินกิจกรรม/แผนงานขององค์กรได้  </t>
  </si>
  <si>
    <t xml:space="preserve">3.2 บุคลากรสามารถเข้าถึงข้อมูลข่าวสารขององค์กรได้อย่างทั่วถึง ข้อมูลมีความถูกต้อง และมีการเปิดเผยข้อมูลข่าวสารสำคัญที่บุคลากรควรรู้  </t>
  </si>
  <si>
    <t xml:space="preserve">*หมายเหตุ รอบที่ 2 (1 ตุลาคม พ.ศ. 2560 ถึง 1 ตุลาคม พ.ศ. 2563 : ระยะเวลา 3 ปี) </t>
  </si>
  <si>
    <t>*หมายเหตุ รอบที่ 1 ( 1 ตุลาคม พ.ศ. 2564 ถึง 1 เมษายน พ.ศ. 2566 : ระยะเวลา 1 ปี 6 เดือน)</t>
  </si>
  <si>
    <t xml:space="preserve"> คะแนนเฉลี่ยปี 2560-2563</t>
  </si>
  <si>
    <t xml:space="preserve"> คะแนนเฉลี่ยปี 2564-2566</t>
  </si>
  <si>
    <t xml:space="preserve"> คะแนนเฉลี่ยปี 2564-2567</t>
  </si>
  <si>
    <t>ค่าเป้าหมาย</t>
  </si>
  <si>
    <t>คะแนนเฉลี่ยรวมทั้ง 3 ประเด็น</t>
  </si>
  <si>
    <t>หลักความโปร่งใส</t>
  </si>
  <si>
    <t xml:space="preserve">หลักการตอบสนอง </t>
  </si>
  <si>
    <t xml:space="preserve">หลักภาระความรับผิดชอบ </t>
  </si>
  <si>
    <t>การขออนุญาตการดำเนินการดำเนินการต่อสัตว์เพื่องานทางวิทยาศาสตร์</t>
  </si>
  <si>
    <t>งานการเรียนการสอน</t>
  </si>
  <si>
    <t>งานวิจัย</t>
  </si>
  <si>
    <t>งานใช้ซากสัตว์และชีววัตถุจากสัตว์</t>
  </si>
  <si>
    <t>5. สังคม</t>
  </si>
  <si>
    <t>ตารางสรุปความก้าวหน้าในการพัฒนาวัคซีนในปศุสัตว์ (2564-2568)</t>
  </si>
  <si>
    <t>Phase</t>
  </si>
  <si>
    <t>Milestone</t>
  </si>
  <si>
    <t>Phase 1</t>
  </si>
  <si>
    <t>M1 รับคำขอผลิตวัคซีน</t>
  </si>
  <si>
    <t>y</t>
  </si>
  <si>
    <t>Phase 2</t>
  </si>
  <si>
    <t>M3 แยกเชื้อและยืนยันสายพันธุ์</t>
  </si>
  <si>
    <t>Phase 3</t>
  </si>
  <si>
    <t>Phase 4</t>
  </si>
  <si>
    <t>Phase 5</t>
  </si>
  <si>
    <t>n</t>
  </si>
  <si>
    <t>Phase 6</t>
  </si>
  <si>
    <t xml:space="preserve">M9 ติดตามผลหลังใช้ </t>
  </si>
  <si>
    <t>ระดับความสำเร็จ(ร้อยละ)</t>
  </si>
  <si>
    <t>วัคซีน จำนวน 7 ชนิด อยู่ระหว่างการเก็บข้อมูลด้านประสิทธิภาพ
‎       1.1  วัคซีนป้องกันโรค Streptococcus suis ในสุกร (วัคซีนเชื้อตาย)  อยู่ระหว่างการเก็บข้อมูลด้านประสิทธิภาพ
     1.2   วัคซีนป้องกันโรค Pasteurella multicida ในสุกร (วัคซีนเชื้อตาย) ‎ อยู่ระหว่างการเก็บข้อมูลด้านประสิทธิภาพ
     1.3  วัคซีนสำป้องกันโรค Actinobacillus pleuropneumoniae ในสุกร  ใช้งานโดยการฉีด อยู่ระหว่างการเก็บข้อมูลด้านประสิทธิภาพ
‎     1.4  วัคซีนป้องกันโรค E.coli ในสุกร (วัคซีนเชื้อตาย)  ‎อยู่ระหว่างการเก็บข้อมูลด้านประสิทธิภาพ ‎
‎     1.5  วัคซีนป้องกันโรคเต้านมอักเสบจาก E. coli ในวัว(วัคซีนเชื้อ‎ตาย)  อยู่ระหว่างการวางแผนการทดสอบเพื่อเก็บข้อมูลด้านประสิทธิภาพ
‎     1.6  วัคซีนป้องกันโรคหวัดหน้าบวม Avi bacterium paragallinarum ‎ในไก่  (วัคซีนเชื้อตาย)  อยู่ระหว่างวางแผนการทดสอบเพื่อเก็บข้อมูลด้านประสิทธิภาพ ‎
     1.7 วัคซีนป้องกันโรค Streptococcus . agalactiae ในปลานิล (วัคซีน‎เชื้อตาย)  อยู่ระหว่างการเก็บข้อมูลด้านประสิทธิภาพ</t>
  </si>
  <si>
    <t>จำนวนครั้งของการดำเนินโครงการสัตว์ปลอดโรคฯ</t>
  </si>
  <si>
    <t>KPI 7.4.1 มีผลงานใหม่ (ระหว่างปี 2565-2568) ที่แสดงการยกระดับสากล</t>
  </si>
  <si>
    <t>KPI 7.4.1 มีผลงานใหม่ (ระหว่างปี 2565-2568) ที่แสดงการยกระดับเป็นสากล</t>
  </si>
  <si>
    <t xml:space="preserve">KPI 7.4.2 มีผลงานใหม่ ที่แสดงถึงการนำ การริเริ่ม เกิดขึ้นเป็นครั้งแรก หรือการชี้นำ หรือเป็นต้นแบบ โดยคณะสัตวแพทย์ ที้สามารถถ่ายทอดไปยังสถาบันอื่นได้ </t>
  </si>
  <si>
    <t xml:space="preserve">KPI 7.4.3 ความสำเร็จ มีผลงานการบูรณาการพันธกิจทั้งสาม (ก่อนปี 2564 การบูรณาการยังไม่สำเร็จ) </t>
  </si>
  <si>
    <r>
      <rPr>
        <b/>
        <sz val="14"/>
        <color rgb="FF000000"/>
        <rFont val="TH SarabunPSK"/>
        <family val="2"/>
      </rPr>
      <t xml:space="preserve">การประกันคุณภาพตามมาตรฐาน AUN-QA </t>
    </r>
    <r>
      <rPr>
        <b/>
        <sz val="14"/>
        <color rgb="FFFF0000"/>
        <rFont val="TH SarabunPSK"/>
        <family val="2"/>
      </rPr>
      <t>(ภายนอก)</t>
    </r>
  </si>
  <si>
    <r>
      <rPr>
        <b/>
        <sz val="14"/>
        <color rgb="FF000000"/>
        <rFont val="TH SarabunPSK"/>
        <family val="2"/>
      </rPr>
      <t xml:space="preserve">การประกันคุณภาพตามมาตรฐาน AUN-QA </t>
    </r>
    <r>
      <rPr>
        <b/>
        <sz val="14"/>
        <color rgb="FFFF0000"/>
        <rFont val="TH SarabunPSK"/>
        <family val="2"/>
      </rPr>
      <t>(ภายใน)</t>
    </r>
  </si>
  <si>
    <t xml:space="preserve">KPI 7.4.4 ความก้าวหน้าของการดำเนินงานตามแผนยุทธศาสตร์ </t>
  </si>
  <si>
    <t>KPI 7.4.5 หน่วยงานที่ได้รับการรับรองมาตรฐาน ISO และได้รับรองมาตรฐานต่อเนื่องโดยไม่มี NC</t>
  </si>
  <si>
    <t>KPI 7.4.6 จำนวนข้อสังเกตของผู้สอบบัญชีอนุญาตหรือผู้ตรวจสอบภายใน (สตง.) ในเรื่องข้อผิดพลาด หรือการทุจริต</t>
  </si>
  <si>
    <t>KPI 7.4.7 มีแหล่งรายได้ใหม่</t>
  </si>
  <si>
    <t>KPI 7.4.8 ความก้าวหน้าในการขอรับรองมาตรฐาน AVBC, AUNQA ตามแผนงาน</t>
  </si>
  <si>
    <r>
      <t xml:space="preserve">การประกันคุณภาพตามมาตรฐาน AUN-QA </t>
    </r>
    <r>
      <rPr>
        <b/>
        <sz val="16"/>
        <color rgb="FFFF0000"/>
        <rFont val="Angsana New"/>
        <family val="1"/>
      </rPr>
      <t>(ภายนอก)</t>
    </r>
  </si>
  <si>
    <r>
      <t xml:space="preserve">การประกันคุณภาพตามมาตรฐาน AUN-QA </t>
    </r>
    <r>
      <rPr>
        <b/>
        <sz val="16"/>
        <color rgb="FFFF0000"/>
        <rFont val="Angsana New"/>
        <family val="1"/>
      </rPr>
      <t>(ภายใน)</t>
    </r>
  </si>
  <si>
    <t>KPI 7.4.9 ได้รับมาตรฐาน ISO17025 มาตรฐาน ESPREL</t>
  </si>
  <si>
    <t>KPI 7.4-.9 ได้รับมาตรฐาน ISO17025 มาตรฐาน ESPREL</t>
  </si>
  <si>
    <t xml:space="preserve">KPI 7.4.10 การบริการของศูนย์บางเรื่องได้รับการยกระดับเป็นหน่วยรับรองที่ใช้ได้ตามมาตรฐานในนามรัฐ </t>
  </si>
  <si>
    <t>KPI 7.4.11 มีผลการตรวจสอบภายใน และตรวจสอบจากมหาวิทยาลัย ในด้านการบริหารตามหลักธรรมาภิบาล</t>
  </si>
  <si>
    <t>KPI 7.4.12 สถานที่และบุคลากรได้รับการรับรองมาตรฐานการใช้สัตว์ทดลอง/จำนวนโครงการที่ได้รับการรับรอง</t>
  </si>
  <si>
    <t>M2 รับและตรวจตัวอย่างเชื้อ -จัดตั้ง ธนาคารเชื้อโรค  เพื่อเก็บรักษาเชื้อที่แยกได้จากฟาร์มอย่างเป็นระบบ
-ใช้เทคนิคทางอณูชีววิทยาในการจำแนกสายพันธุ์เพื่อให้ได้เชื้อที่ตรงกับโรคที่ระบาดในฟาร์มนั้นๆ มากที่สุด</t>
  </si>
  <si>
    <t xml:space="preserve">M4 ออกแบบสูตรวัคซีน </t>
  </si>
  <si>
    <t xml:space="preserve">M5 ผลิต Pilot Batch  </t>
  </si>
  <si>
    <t>M6 ทดสอบคุณภาพและความปลอดภัย ทางห้องฏิบัติการว่ามีความปลอดภัยต่อสัตว์ ไม่พบผลข้างเคียงที่รุนแรง
- ผลงานวิจัยด้านความปลอดภัยได้รับการยอมรับในระดับสากล (นำเสนอในงาน EUROTOX ปี 2023 และ 2024)
- พัฒนาชุดทดสอบความเป็นพิษเพื่อความมั่นใจก่อนนำไปใช้ในหน้าฟาร์ม</t>
  </si>
  <si>
    <t xml:space="preserve">M7 อนุมัติใช้เฉพาะราย </t>
  </si>
  <si>
    <t>M8 ส่งมอบและนำไปใช้ สำเร็จ 
-นำไปใช้ในฟาร์มเครือข่ายรวม 8 แห่ง (สุกร 6, ปลานิล 1, เป็ด 1)
-สามารถลดอัตราการตายของสัตว์และลดการใช้ยาปฏิชีวนะได้อย่างมีนัยสำคัญ</t>
  </si>
  <si>
    <t>KPI 7.4.14 จำนวนครั้งของการดำเนินการโครงการสัตว์ปลอดโรค ป้องการโรคพิษสุนัขบ้า 2566-2568</t>
  </si>
  <si>
    <t>KPI 7.4.15 จำนวนสัตว์ที่ได้รับการทำหมัน 2566-2568</t>
  </si>
  <si>
    <t>ยุทธศาสตร์ที่ 1</t>
  </si>
  <si>
    <t>ยุทธศาสตร์ที่ 2</t>
  </si>
  <si>
    <t>ยุทธศาสตร์ที่ 3</t>
  </si>
  <si>
    <t>ยุทธศาสตร์ที่ 4</t>
  </si>
  <si>
    <t>ยุทธศาสตร์ที่ 5</t>
  </si>
  <si>
    <t>ยุทธศาสตร์ที่ 6</t>
  </si>
  <si>
    <t>M10 สรุปและปิดโครงการ</t>
  </si>
  <si>
    <t>KPI 7.4-13 13 ความก้าวหน้าของโครงการพัฒนานวัตกรรมวัคซีน สำหรับสัตว์เศรษฐกิจ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</si>
</sst>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d\ mmmyy"/>
    <numFmt numFmtId="165" formatCode="d\ mmm\ yy"/>
    <numFmt numFmtId="166" formatCode="d\ mmmm\ yyyy"/>
    <numFmt numFmtId="167" formatCode="_(* #,##0_);_(* \(#,##0\);_(* &quot;-&quot;??_);_(@_)"/>
    <numFmt numFmtId="168" formatCode="d&quot;/&quot;mmm&quot;/&quot;yy"/>
    <numFmt numFmtId="169" formatCode="d&quot; &quot;mmm&quot; &quot;yy"/>
  </numFmts>
  <fonts count="30">
    <font>
      <sz val="11"/>
      <color theme="1"/>
      <name val="Aptos Narrow"/>
      <scheme val="minor"/>
    </font>
    <font>
      <b/>
      <sz val="16"/>
      <color rgb="FF000000"/>
      <name val="TH SarabunPSK"/>
      <family val="2"/>
    </font>
    <font>
      <sz val="16"/>
      <color rgb="FF000000"/>
      <name val="TH SarabunPSK"/>
      <family val="2"/>
    </font>
    <font>
      <sz val="11"/>
      <name val="Aptos Narrow"/>
      <family val="2"/>
    </font>
    <font>
      <sz val="16"/>
      <color rgb="FF0000FF"/>
      <name val="TH SarabunPSK"/>
      <family val="2"/>
    </font>
    <font>
      <sz val="16"/>
      <color rgb="FF9900FF"/>
      <name val="TH SarabunPSK"/>
      <family val="2"/>
    </font>
    <font>
      <sz val="11"/>
      <color theme="1"/>
      <name val="Aptos Narrow"/>
      <family val="2"/>
      <scheme val="minor"/>
    </font>
    <font>
      <b/>
      <sz val="16"/>
      <color rgb="FF000000"/>
      <name val="TH SarabunPSK"/>
      <family val="2"/>
    </font>
    <font>
      <b/>
      <sz val="16"/>
      <color theme="1"/>
      <name val="Angsana New"/>
      <family val="1"/>
    </font>
    <font>
      <sz val="16"/>
      <color theme="1"/>
      <name val="Angsana New"/>
      <family val="1"/>
    </font>
    <font>
      <sz val="16"/>
      <color rgb="FFFF0000"/>
      <name val="Angsana New"/>
      <family val="1"/>
    </font>
    <font>
      <b/>
      <sz val="14"/>
      <color rgb="FF000000"/>
      <name val="TH SarabunPSK"/>
      <family val="2"/>
    </font>
    <font>
      <sz val="14"/>
      <color rgb="FF000000"/>
      <name val="TH SarabunPSK"/>
      <family val="2"/>
    </font>
    <font>
      <sz val="16"/>
      <color theme="1"/>
      <name val="Angsana New"/>
      <family val="1"/>
      <charset val="222"/>
    </font>
    <font>
      <sz val="14"/>
      <color theme="1"/>
      <name val="TH SarabunPSK"/>
      <family val="2"/>
    </font>
    <font>
      <b/>
      <sz val="16"/>
      <color rgb="FF000000"/>
      <name val="Angsana New"/>
      <family val="1"/>
    </font>
    <font>
      <sz val="16"/>
      <color rgb="FF000000"/>
      <name val="Angsana New"/>
      <family val="1"/>
    </font>
    <font>
      <b/>
      <u/>
      <sz val="16"/>
      <color rgb="FF000000"/>
      <name val="Angsana New"/>
      <family val="1"/>
    </font>
    <font>
      <sz val="16"/>
      <color rgb="FF0000FF"/>
      <name val="Angsana New"/>
      <family val="1"/>
    </font>
    <font>
      <sz val="16"/>
      <name val="Angsana New"/>
      <family val="1"/>
    </font>
    <font>
      <u/>
      <sz val="16"/>
      <color rgb="FF000000"/>
      <name val="Angsana New"/>
      <family val="1"/>
    </font>
    <font>
      <b/>
      <u/>
      <sz val="16"/>
      <color rgb="FFFF0000"/>
      <name val="Angsana New"/>
      <family val="1"/>
    </font>
    <font>
      <b/>
      <sz val="16"/>
      <name val="Angsana New"/>
      <family val="1"/>
    </font>
    <font>
      <b/>
      <u/>
      <sz val="16"/>
      <color theme="1"/>
      <name val="Angsana New"/>
      <family val="1"/>
    </font>
    <font>
      <b/>
      <sz val="16"/>
      <color theme="1"/>
      <name val="TH SarabunPSK"/>
      <family val="2"/>
      <charset val="222"/>
    </font>
    <font>
      <b/>
      <sz val="10"/>
      <name val="Arial"/>
      <family val="2"/>
      <charset val="222"/>
    </font>
    <font>
      <b/>
      <sz val="14"/>
      <color rgb="FF000000"/>
      <name val="TH SarabunPSK"/>
      <family val="2"/>
      <charset val="222"/>
    </font>
    <font>
      <b/>
      <sz val="14"/>
      <color rgb="FFFF0000"/>
      <name val="TH SarabunPSK"/>
      <family val="2"/>
    </font>
    <font>
      <b/>
      <sz val="16"/>
      <color rgb="FFFF0000"/>
      <name val="Angsana New"/>
      <family val="1"/>
    </font>
    <font>
      <sz val="8"/>
      <name val="Aptos Narrow"/>
      <scheme val="minor"/>
    </font>
  </fonts>
  <fills count="34">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D9D9D9"/>
        <bgColor rgb="FFD9D9D9"/>
      </patternFill>
    </fill>
    <fill>
      <patternFill patternType="solid">
        <fgColor rgb="FFFFF2CC"/>
        <bgColor rgb="FFFFF2CC"/>
      </patternFill>
    </fill>
    <fill>
      <patternFill patternType="solid">
        <fgColor rgb="FFF9CB9C"/>
        <bgColor rgb="FFF9CB9C"/>
      </patternFill>
    </fill>
    <fill>
      <patternFill patternType="solid">
        <fgColor rgb="FFEA9999"/>
        <bgColor rgb="FFEA9999"/>
      </patternFill>
    </fill>
    <fill>
      <patternFill patternType="solid">
        <fgColor rgb="FFFFE599"/>
        <bgColor rgb="FFFFE599"/>
      </patternFill>
    </fill>
    <fill>
      <patternFill patternType="solid">
        <fgColor rgb="FFFFFFFF"/>
        <bgColor rgb="FFFFFFFF"/>
      </patternFill>
    </fill>
    <fill>
      <patternFill patternType="solid">
        <fgColor rgb="FFFFFFCC"/>
        <bgColor rgb="FFFFFFCC"/>
      </patternFill>
    </fill>
    <fill>
      <patternFill patternType="solid">
        <fgColor rgb="FFFCE5CD"/>
        <bgColor rgb="FFFCE5CD"/>
      </patternFill>
    </fill>
    <fill>
      <patternFill patternType="solid">
        <fgColor rgb="FFEAD1DC"/>
        <bgColor rgb="FFEAD1DC"/>
      </patternFill>
    </fill>
    <fill>
      <patternFill patternType="solid">
        <fgColor rgb="FFC9DAF8"/>
        <bgColor rgb="FFC9DAF8"/>
      </patternFill>
    </fill>
    <fill>
      <patternFill patternType="solid">
        <fgColor rgb="FFD0E0E3"/>
        <bgColor rgb="FFD0E0E3"/>
      </patternFill>
    </fill>
    <fill>
      <patternFill patternType="solid">
        <fgColor rgb="FFEA9999"/>
        <bgColor indexed="64"/>
      </patternFill>
    </fill>
    <fill>
      <patternFill patternType="solid">
        <fgColor rgb="FFFFE599"/>
        <bgColor indexed="64"/>
      </patternFill>
    </fill>
    <fill>
      <patternFill patternType="solid">
        <fgColor rgb="FFFAE2D5"/>
        <bgColor rgb="FFFAE2D5"/>
      </patternFill>
    </fill>
    <fill>
      <patternFill patternType="solid">
        <fgColor rgb="FFB7B7B7"/>
        <bgColor rgb="FFB7B7B7"/>
      </patternFill>
    </fill>
    <fill>
      <patternFill patternType="solid">
        <fgColor rgb="FFD9F2D0"/>
        <bgColor rgb="FFD9F2D0"/>
      </patternFill>
    </fill>
    <fill>
      <patternFill patternType="solid">
        <fgColor theme="0"/>
        <bgColor rgb="FFFFFF00"/>
      </patternFill>
    </fill>
    <fill>
      <patternFill patternType="solid">
        <fgColor theme="0"/>
        <bgColor indexed="64"/>
      </patternFill>
    </fill>
    <fill>
      <patternFill patternType="solid">
        <fgColor rgb="FF75FF75"/>
        <bgColor rgb="FF75FF75"/>
      </patternFill>
    </fill>
    <fill>
      <patternFill patternType="solid">
        <fgColor rgb="FFFFC000"/>
        <bgColor rgb="FFFFC000"/>
      </patternFill>
    </fill>
    <fill>
      <patternFill patternType="solid">
        <fgColor rgb="FF66FF66"/>
        <bgColor rgb="FF66FF66"/>
      </patternFill>
    </fill>
    <fill>
      <patternFill patternType="solid">
        <fgColor rgb="FFF2DBDB"/>
        <bgColor rgb="FFF2DBDB"/>
      </patternFill>
    </fill>
    <fill>
      <patternFill patternType="solid">
        <fgColor rgb="FFDDE7F5"/>
        <bgColor rgb="FFDDE7F5"/>
      </patternFill>
    </fill>
    <fill>
      <patternFill patternType="solid">
        <fgColor rgb="FFDBE5F1"/>
        <bgColor rgb="FFDBE5F1"/>
      </patternFill>
    </fill>
    <fill>
      <patternFill patternType="solid">
        <fgColor rgb="FFEEF3F9"/>
        <bgColor rgb="FFEEF3F9"/>
      </patternFill>
    </fill>
    <fill>
      <patternFill patternType="solid">
        <fgColor theme="5" tint="0.79998168889431442"/>
        <bgColor indexed="64"/>
      </patternFill>
    </fill>
    <fill>
      <patternFill patternType="solid">
        <fgColor theme="5" tint="0.79998168889431442"/>
        <bgColor rgb="FFFFF2CC"/>
      </patternFill>
    </fill>
    <fill>
      <patternFill patternType="solid">
        <fgColor theme="0"/>
        <bgColor rgb="FFFFF2CC"/>
      </patternFill>
    </fill>
    <fill>
      <patternFill patternType="solid">
        <fgColor theme="8" tint="0.79998168889431442"/>
        <bgColor indexed="64"/>
      </patternFill>
    </fill>
    <fill>
      <patternFill patternType="solid">
        <fgColor rgb="FFC5E0B3"/>
        <bgColor rgb="FFC5E0B3"/>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s>
  <cellStyleXfs count="2">
    <xf numFmtId="0" fontId="0" fillId="0" borderId="0"/>
    <xf numFmtId="43" fontId="6" fillId="0" borderId="0" applyFont="0" applyFill="0" applyBorder="0" applyAlignment="0" applyProtection="0"/>
  </cellStyleXfs>
  <cellXfs count="268">
    <xf numFmtId="0" fontId="0" fillId="0" borderId="0" xfId="0"/>
    <xf numFmtId="0" fontId="2" fillId="0" borderId="0" xfId="0" applyFont="1" applyAlignment="1">
      <alignment vertical="center"/>
    </xf>
    <xf numFmtId="0" fontId="2" fillId="0" borderId="1" xfId="0" applyFont="1" applyBorder="1" applyAlignment="1">
      <alignment horizontal="center" vertical="center"/>
    </xf>
    <xf numFmtId="0" fontId="1" fillId="10" borderId="1" xfId="0" applyFont="1" applyFill="1" applyBorder="1" applyAlignment="1">
      <alignment horizontal="center" vertical="center"/>
    </xf>
    <xf numFmtId="0" fontId="1" fillId="0" borderId="0" xfId="0" applyFont="1" applyAlignment="1">
      <alignment vertical="center"/>
    </xf>
    <xf numFmtId="0" fontId="2" fillId="0" borderId="1" xfId="0" applyFont="1" applyBorder="1" applyAlignment="1">
      <alignment horizontal="left" vertical="center"/>
    </xf>
    <xf numFmtId="0" fontId="1" fillId="0" borderId="0" xfId="0" applyFont="1" applyAlignment="1">
      <alignment horizontal="center" vertical="center"/>
    </xf>
    <xf numFmtId="3" fontId="1" fillId="9"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0" fontId="1"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0" xfId="0" applyFont="1" applyAlignment="1">
      <alignment horizontal="center" vertical="center"/>
    </xf>
    <xf numFmtId="0" fontId="2" fillId="3" borderId="1" xfId="0" applyFont="1" applyFill="1" applyBorder="1" applyAlignment="1">
      <alignment horizontal="center" vertical="center"/>
    </xf>
    <xf numFmtId="3" fontId="2" fillId="3"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3" fontId="1" fillId="3" borderId="1" xfId="0" applyNumberFormat="1" applyFont="1" applyFill="1" applyBorder="1" applyAlignment="1">
      <alignment horizontal="center" vertical="center"/>
    </xf>
    <xf numFmtId="164" fontId="2" fillId="0" borderId="1" xfId="0" applyNumberFormat="1" applyFont="1" applyBorder="1" applyAlignment="1">
      <alignment horizontal="center" vertical="center"/>
    </xf>
    <xf numFmtId="3" fontId="1" fillId="10" borderId="1" xfId="0" applyNumberFormat="1" applyFont="1" applyFill="1" applyBorder="1" applyAlignment="1">
      <alignment horizontal="center" vertical="center"/>
    </xf>
    <xf numFmtId="0" fontId="1" fillId="12" borderId="22" xfId="0" applyFont="1" applyFill="1" applyBorder="1" applyAlignment="1">
      <alignment horizontal="center" vertical="center"/>
    </xf>
    <xf numFmtId="0" fontId="1" fillId="12" borderId="1" xfId="0" applyFont="1" applyFill="1" applyBorder="1" applyAlignment="1">
      <alignment horizontal="center" vertical="center"/>
    </xf>
    <xf numFmtId="0" fontId="1" fillId="3" borderId="22" xfId="0" applyFont="1" applyFill="1" applyBorder="1" applyAlignment="1">
      <alignment horizontal="center" vertical="center"/>
    </xf>
    <xf numFmtId="0" fontId="4" fillId="0" borderId="1" xfId="0" applyFont="1" applyBorder="1" applyAlignment="1">
      <alignment horizontal="left" vertical="center" wrapText="1"/>
    </xf>
    <xf numFmtId="0" fontId="5" fillId="0" borderId="1" xfId="0" applyFont="1" applyBorder="1" applyAlignment="1">
      <alignment horizontal="center" vertical="center"/>
    </xf>
    <xf numFmtId="0" fontId="5" fillId="9" borderId="23" xfId="0" applyFont="1" applyFill="1" applyBorder="1" applyAlignment="1">
      <alignment horizontal="left" vertical="center" wrapText="1"/>
    </xf>
    <xf numFmtId="166" fontId="5" fillId="9" borderId="23" xfId="0" applyNumberFormat="1" applyFont="1" applyFill="1" applyBorder="1" applyAlignment="1">
      <alignment horizontal="center" vertical="center"/>
    </xf>
    <xf numFmtId="3" fontId="5" fillId="9" borderId="1" xfId="0" applyNumberFormat="1" applyFont="1" applyFill="1" applyBorder="1" applyAlignment="1">
      <alignment horizontal="center" vertical="center"/>
    </xf>
    <xf numFmtId="0" fontId="2" fillId="0" borderId="0" xfId="0" applyFont="1" applyAlignment="1">
      <alignment horizontal="left" vertical="center" wrapText="1"/>
    </xf>
    <xf numFmtId="165" fontId="1" fillId="0" borderId="1" xfId="0" applyNumberFormat="1" applyFont="1" applyBorder="1" applyAlignment="1">
      <alignment horizontal="center" vertical="center"/>
    </xf>
    <xf numFmtId="165" fontId="1" fillId="0" borderId="7" xfId="0" applyNumberFormat="1" applyFont="1" applyBorder="1" applyAlignment="1">
      <alignment horizontal="center" vertical="center"/>
    </xf>
    <xf numFmtId="0" fontId="1" fillId="0" borderId="5" xfId="0" applyFont="1" applyBorder="1" applyAlignment="1">
      <alignment horizontal="left" vertical="center"/>
    </xf>
    <xf numFmtId="0" fontId="7" fillId="12" borderId="22" xfId="0" applyFont="1" applyFill="1" applyBorder="1" applyAlignment="1">
      <alignment horizontal="center" vertical="center" wrapText="1"/>
    </xf>
    <xf numFmtId="0" fontId="9" fillId="0" borderId="0" xfId="0" applyFont="1"/>
    <xf numFmtId="0" fontId="9" fillId="0" borderId="1" xfId="0" applyFont="1" applyBorder="1"/>
    <xf numFmtId="0" fontId="9" fillId="0" borderId="0" xfId="0" applyFont="1" applyAlignment="1">
      <alignment horizontal="left"/>
    </xf>
    <xf numFmtId="0" fontId="9" fillId="0" borderId="24" xfId="0" applyFont="1" applyBorder="1" applyAlignment="1">
      <alignment horizontal="center"/>
    </xf>
    <xf numFmtId="0" fontId="9" fillId="0" borderId="0" xfId="0" applyFont="1" applyAlignment="1">
      <alignment horizontal="left" vertical="center" wrapText="1"/>
    </xf>
    <xf numFmtId="0" fontId="9" fillId="0" borderId="0" xfId="0" applyFont="1" applyAlignment="1">
      <alignment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11" fillId="0" borderId="1" xfId="0" applyFont="1" applyBorder="1" applyAlignment="1">
      <alignment horizontal="left" vertical="center" wrapText="1"/>
    </xf>
    <xf numFmtId="0" fontId="9" fillId="0" borderId="0" xfId="0" applyFont="1" applyAlignment="1">
      <alignment vertical="top"/>
    </xf>
    <xf numFmtId="0" fontId="13" fillId="0" borderId="0" xfId="0" applyFont="1" applyAlignment="1">
      <alignment vertical="top"/>
    </xf>
    <xf numFmtId="0" fontId="12" fillId="0" borderId="0" xfId="0" applyFont="1" applyAlignment="1">
      <alignment horizontal="left" vertical="top" wrapText="1"/>
    </xf>
    <xf numFmtId="49" fontId="11" fillId="17" borderId="1" xfId="0" applyNumberFormat="1"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2" fillId="0" borderId="0" xfId="0" applyFont="1" applyAlignment="1">
      <alignment vertical="center" wrapText="1"/>
    </xf>
    <xf numFmtId="0" fontId="12" fillId="0" borderId="1" xfId="0" applyFont="1" applyBorder="1" applyAlignment="1">
      <alignment vertical="top" wrapText="1"/>
    </xf>
    <xf numFmtId="0" fontId="12" fillId="0" borderId="0" xfId="0" applyFont="1" applyAlignment="1">
      <alignment vertical="top" wrapText="1"/>
    </xf>
    <xf numFmtId="0" fontId="12" fillId="0" borderId="1" xfId="0" quotePrefix="1" applyFont="1" applyBorder="1" applyAlignment="1">
      <alignment horizontal="left" vertical="top" wrapText="1"/>
    </xf>
    <xf numFmtId="0" fontId="12" fillId="0" borderId="1" xfId="0" applyFont="1" applyBorder="1" applyAlignment="1">
      <alignment horizontal="left" vertical="top" wrapText="1"/>
    </xf>
    <xf numFmtId="0" fontId="12" fillId="0" borderId="0" xfId="0" applyFont="1" applyAlignment="1">
      <alignment horizontal="center" vertical="top" wrapText="1"/>
    </xf>
    <xf numFmtId="49" fontId="11" fillId="19" borderId="1" xfId="0" applyNumberFormat="1"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2" fillId="0" borderId="0" xfId="0" applyFont="1" applyAlignment="1">
      <alignment horizontal="center" vertical="center" wrapText="1"/>
    </xf>
    <xf numFmtId="0" fontId="12" fillId="0" borderId="8" xfId="0" applyFont="1" applyBorder="1" applyAlignment="1">
      <alignment vertical="top" wrapText="1"/>
    </xf>
    <xf numFmtId="0" fontId="12" fillId="9" borderId="8" xfId="0" applyFont="1" applyFill="1" applyBorder="1" applyAlignment="1">
      <alignment vertical="top" wrapText="1"/>
    </xf>
    <xf numFmtId="0" fontId="14" fillId="0" borderId="0" xfId="0" applyFont="1" applyAlignment="1">
      <alignment horizontal="center" vertical="top" wrapText="1"/>
    </xf>
    <xf numFmtId="0" fontId="14" fillId="0" borderId="0" xfId="0" applyFont="1" applyAlignment="1">
      <alignment vertical="top" wrapText="1"/>
    </xf>
    <xf numFmtId="0" fontId="14" fillId="0" borderId="0" xfId="0" applyFont="1" applyAlignment="1">
      <alignment horizontal="center" vertical="center" wrapText="1"/>
    </xf>
    <xf numFmtId="0" fontId="14" fillId="0" borderId="0" xfId="0" applyFont="1" applyAlignment="1">
      <alignment vertical="center" wrapText="1"/>
    </xf>
    <xf numFmtId="0" fontId="2" fillId="0" borderId="1" xfId="0" applyFont="1" applyBorder="1" applyAlignment="1">
      <alignment horizontal="center" vertical="top" wrapText="1"/>
    </xf>
    <xf numFmtId="49" fontId="2" fillId="0" borderId="1" xfId="0" applyNumberFormat="1" applyFont="1" applyBorder="1" applyAlignment="1">
      <alignment horizontal="center" vertical="top" wrapText="1"/>
    </xf>
    <xf numFmtId="0" fontId="12" fillId="0" borderId="1" xfId="0" applyFont="1" applyBorder="1" applyAlignment="1">
      <alignment horizontal="center" vertical="top" wrapText="1"/>
    </xf>
    <xf numFmtId="0" fontId="2" fillId="0" borderId="8" xfId="0" applyFont="1" applyBorder="1" applyAlignment="1">
      <alignment horizontal="center" vertical="top" wrapText="1"/>
    </xf>
    <xf numFmtId="0" fontId="8" fillId="20" borderId="21" xfId="0" applyFont="1" applyFill="1" applyBorder="1" applyAlignment="1">
      <alignment horizontal="center" vertical="center" wrapText="1"/>
    </xf>
    <xf numFmtId="49" fontId="15" fillId="19" borderId="1" xfId="0" applyNumberFormat="1" applyFont="1" applyFill="1" applyBorder="1" applyAlignment="1">
      <alignment horizontal="center" vertical="center" wrapText="1"/>
    </xf>
    <xf numFmtId="0" fontId="15" fillId="19" borderId="1" xfId="0" applyFont="1" applyFill="1" applyBorder="1" applyAlignment="1">
      <alignment horizontal="center" vertical="center" wrapText="1"/>
    </xf>
    <xf numFmtId="0" fontId="16" fillId="0" borderId="0" xfId="0" applyFont="1" applyAlignment="1">
      <alignment vertical="center" wrapText="1"/>
    </xf>
    <xf numFmtId="0" fontId="15" fillId="0" borderId="1" xfId="0" applyFont="1" applyBorder="1" applyAlignment="1">
      <alignment horizontal="center" vertical="top" wrapText="1"/>
    </xf>
    <xf numFmtId="0" fontId="16" fillId="0" borderId="1" xfId="0" applyFont="1" applyBorder="1" applyAlignment="1">
      <alignment horizontal="left" vertical="center" wrapText="1"/>
    </xf>
    <xf numFmtId="0" fontId="16" fillId="0" borderId="1" xfId="0" applyFont="1" applyBorder="1" applyAlignment="1">
      <alignment horizontal="left" vertical="top" wrapText="1"/>
    </xf>
    <xf numFmtId="0" fontId="10" fillId="0" borderId="0" xfId="0" applyFont="1" applyAlignment="1">
      <alignment vertical="center" wrapText="1"/>
    </xf>
    <xf numFmtId="0" fontId="15" fillId="0" borderId="1" xfId="0" applyFont="1" applyBorder="1" applyAlignment="1">
      <alignment horizontal="center" vertical="center"/>
    </xf>
    <xf numFmtId="0" fontId="16" fillId="0" borderId="0" xfId="0" applyFont="1" applyAlignment="1">
      <alignment vertical="top"/>
    </xf>
    <xf numFmtId="0" fontId="15" fillId="0" borderId="1" xfId="0" applyFont="1" applyBorder="1" applyAlignment="1">
      <alignment horizontal="center" vertical="center" wrapText="1"/>
    </xf>
    <xf numFmtId="0" fontId="10" fillId="0" borderId="1" xfId="0" applyFont="1" applyBorder="1" applyAlignment="1">
      <alignment horizontal="left" vertical="center" wrapText="1"/>
    </xf>
    <xf numFmtId="0" fontId="19" fillId="21" borderId="21" xfId="0" applyFont="1" applyFill="1" applyBorder="1"/>
    <xf numFmtId="0" fontId="19" fillId="0" borderId="21" xfId="0" applyFont="1" applyBorder="1"/>
    <xf numFmtId="0" fontId="9" fillId="0" borderId="0" xfId="0" applyFont="1" applyAlignment="1">
      <alignment horizontal="center" vertical="center" wrapText="1"/>
    </xf>
    <xf numFmtId="0" fontId="19" fillId="0" borderId="21" xfId="0" applyFont="1" applyBorder="1" applyAlignment="1">
      <alignment horizontal="left"/>
    </xf>
    <xf numFmtId="0" fontId="8" fillId="20" borderId="24" xfId="0" applyFont="1" applyFill="1" applyBorder="1" applyAlignment="1">
      <alignment horizontal="center" vertical="center" wrapText="1"/>
    </xf>
    <xf numFmtId="0" fontId="19" fillId="21" borderId="24" xfId="0" applyFont="1" applyFill="1" applyBorder="1"/>
    <xf numFmtId="0" fontId="19" fillId="21" borderId="24" xfId="0" applyFont="1" applyFill="1" applyBorder="1" applyAlignment="1">
      <alignment wrapText="1"/>
    </xf>
    <xf numFmtId="0" fontId="8" fillId="20" borderId="24" xfId="0" applyFont="1" applyFill="1" applyBorder="1" applyAlignment="1">
      <alignment horizontal="center" vertical="top" wrapText="1"/>
    </xf>
    <xf numFmtId="0" fontId="19" fillId="21" borderId="24" xfId="0" applyFont="1" applyFill="1" applyBorder="1" applyAlignment="1">
      <alignment vertical="top"/>
    </xf>
    <xf numFmtId="0" fontId="19" fillId="21" borderId="24" xfId="0" applyFont="1" applyFill="1" applyBorder="1" applyAlignment="1">
      <alignment vertical="top" wrapText="1"/>
    </xf>
    <xf numFmtId="49" fontId="15" fillId="19" borderId="1" xfId="0" applyNumberFormat="1" applyFont="1" applyFill="1" applyBorder="1" applyAlignment="1">
      <alignment horizontal="center" vertical="top" wrapText="1"/>
    </xf>
    <xf numFmtId="0" fontId="15" fillId="19" borderId="1" xfId="0" applyFont="1" applyFill="1" applyBorder="1" applyAlignment="1">
      <alignment horizontal="center" vertical="top" wrapText="1"/>
    </xf>
    <xf numFmtId="0" fontId="15" fillId="0" borderId="1" xfId="0" applyFont="1" applyBorder="1" applyAlignment="1">
      <alignment horizontal="left" vertical="top" wrapText="1"/>
    </xf>
    <xf numFmtId="0" fontId="10" fillId="0" borderId="1" xfId="0" applyFont="1" applyBorder="1" applyAlignment="1">
      <alignment horizontal="left" vertical="top" wrapText="1"/>
    </xf>
    <xf numFmtId="0" fontId="8" fillId="0" borderId="0" xfId="0" applyFont="1" applyAlignment="1">
      <alignment vertical="top"/>
    </xf>
    <xf numFmtId="0" fontId="8" fillId="0" borderId="0" xfId="0" applyFont="1" applyAlignment="1">
      <alignment horizontal="center" vertical="top"/>
    </xf>
    <xf numFmtId="0" fontId="19" fillId="0" borderId="0" xfId="0" applyFont="1" applyAlignment="1">
      <alignment vertical="top"/>
    </xf>
    <xf numFmtId="0" fontId="9" fillId="0" borderId="24" xfId="0" applyFont="1" applyBorder="1" applyAlignment="1">
      <alignment vertical="top"/>
    </xf>
    <xf numFmtId="9" fontId="9" fillId="0" borderId="24" xfId="0" applyNumberFormat="1" applyFont="1" applyBorder="1" applyAlignment="1">
      <alignment horizontal="center" vertical="top"/>
    </xf>
    <xf numFmtId="0" fontId="8" fillId="0" borderId="24" xfId="0" applyFont="1" applyBorder="1" applyAlignment="1">
      <alignment horizontal="center" vertical="top"/>
    </xf>
    <xf numFmtId="49" fontId="8" fillId="22" borderId="1" xfId="0" applyNumberFormat="1" applyFont="1" applyFill="1" applyBorder="1" applyAlignment="1">
      <alignment horizontal="center" wrapText="1"/>
    </xf>
    <xf numFmtId="0" fontId="8" fillId="23" borderId="1" xfId="0" applyFont="1" applyFill="1" applyBorder="1" applyAlignment="1">
      <alignment horizontal="center" wrapText="1"/>
    </xf>
    <xf numFmtId="0" fontId="8" fillId="24" borderId="1" xfId="0" applyFont="1" applyFill="1" applyBorder="1" applyAlignment="1">
      <alignment horizontal="center" wrapText="1"/>
    </xf>
    <xf numFmtId="0" fontId="22" fillId="25" borderId="1" xfId="0" applyFont="1" applyFill="1" applyBorder="1" applyAlignment="1">
      <alignment horizontal="center" wrapText="1"/>
    </xf>
    <xf numFmtId="0" fontId="8" fillId="26" borderId="1" xfId="0" applyFont="1" applyFill="1" applyBorder="1" applyAlignment="1">
      <alignment vertical="top" wrapText="1"/>
    </xf>
    <xf numFmtId="0" fontId="9" fillId="26" borderId="1" xfId="0" applyFont="1" applyFill="1" applyBorder="1" applyAlignment="1">
      <alignment vertical="top" wrapText="1"/>
    </xf>
    <xf numFmtId="0" fontId="22" fillId="27" borderId="1" xfId="0" applyFont="1" applyFill="1" applyBorder="1" applyAlignment="1">
      <alignment vertical="top" wrapText="1"/>
    </xf>
    <xf numFmtId="0" fontId="8" fillId="28" borderId="1" xfId="0" applyFont="1" applyFill="1" applyBorder="1" applyAlignment="1">
      <alignment vertical="top" wrapText="1"/>
    </xf>
    <xf numFmtId="0" fontId="9" fillId="28" borderId="1" xfId="0" applyFont="1" applyFill="1" applyBorder="1" applyAlignment="1">
      <alignment vertical="top" wrapText="1"/>
    </xf>
    <xf numFmtId="49" fontId="8" fillId="28" borderId="1" xfId="0" applyNumberFormat="1" applyFont="1" applyFill="1" applyBorder="1" applyAlignment="1">
      <alignment vertical="top" wrapText="1"/>
    </xf>
    <xf numFmtId="0" fontId="9" fillId="0" borderId="24" xfId="0" applyFont="1" applyBorder="1"/>
    <xf numFmtId="0" fontId="19" fillId="0" borderId="0" xfId="0" applyFont="1"/>
    <xf numFmtId="0" fontId="8" fillId="0" borderId="28" xfId="0" applyFont="1" applyBorder="1" applyAlignment="1">
      <alignment horizontal="center" wrapText="1"/>
    </xf>
    <xf numFmtId="0" fontId="8" fillId="16" borderId="29" xfId="0" applyFont="1" applyFill="1" applyBorder="1" applyAlignment="1">
      <alignment horizontal="center" wrapText="1"/>
    </xf>
    <xf numFmtId="0" fontId="9" fillId="0" borderId="29" xfId="0" applyFont="1" applyBorder="1" applyAlignment="1">
      <alignment horizontal="center" wrapText="1"/>
    </xf>
    <xf numFmtId="0" fontId="8" fillId="14" borderId="1" xfId="0" applyFont="1" applyFill="1" applyBorder="1" applyAlignment="1">
      <alignment horizontal="center"/>
    </xf>
    <xf numFmtId="0" fontId="9" fillId="14" borderId="1" xfId="0" applyFont="1" applyFill="1" applyBorder="1" applyAlignment="1">
      <alignment horizontal="center"/>
    </xf>
    <xf numFmtId="0" fontId="9" fillId="14" borderId="1" xfId="0" applyFont="1" applyFill="1" applyBorder="1"/>
    <xf numFmtId="0" fontId="9" fillId="0" borderId="0" xfId="0" applyFont="1" applyAlignment="1">
      <alignment horizontal="right"/>
    </xf>
    <xf numFmtId="0" fontId="9" fillId="0" borderId="1" xfId="0" applyFont="1" applyBorder="1" applyAlignment="1">
      <alignment horizontal="center" wrapText="1"/>
    </xf>
    <xf numFmtId="0" fontId="9" fillId="0" borderId="1" xfId="0" applyFont="1" applyBorder="1" applyAlignment="1">
      <alignment wrapText="1"/>
    </xf>
    <xf numFmtId="4" fontId="9" fillId="0" borderId="1" xfId="0" applyNumberFormat="1" applyFont="1" applyBorder="1" applyAlignment="1">
      <alignment horizontal="center" wrapText="1"/>
    </xf>
    <xf numFmtId="3" fontId="9" fillId="0" borderId="1" xfId="0" applyNumberFormat="1" applyFont="1" applyBorder="1" applyAlignment="1">
      <alignment horizontal="center" wrapText="1"/>
    </xf>
    <xf numFmtId="15" fontId="9" fillId="0" borderId="1" xfId="0" applyNumberFormat="1" applyFont="1" applyBorder="1" applyAlignment="1">
      <alignment wrapText="1"/>
    </xf>
    <xf numFmtId="168" fontId="9" fillId="0" borderId="1" xfId="0" applyNumberFormat="1" applyFont="1" applyBorder="1" applyAlignment="1">
      <alignment wrapText="1"/>
    </xf>
    <xf numFmtId="169" fontId="9" fillId="0" borderId="1" xfId="0" applyNumberFormat="1" applyFont="1" applyBorder="1" applyAlignment="1">
      <alignment wrapText="1"/>
    </xf>
    <xf numFmtId="0" fontId="9" fillId="0" borderId="23" xfId="0" applyFont="1" applyBorder="1"/>
    <xf numFmtId="14" fontId="9" fillId="0" borderId="1" xfId="0" applyNumberFormat="1" applyFont="1" applyBorder="1"/>
    <xf numFmtId="0" fontId="9" fillId="0" borderId="14" xfId="0" applyFont="1" applyBorder="1"/>
    <xf numFmtId="15" fontId="9" fillId="0" borderId="1" xfId="0" applyNumberFormat="1" applyFont="1" applyBorder="1"/>
    <xf numFmtId="14" fontId="9" fillId="0" borderId="1" xfId="0" applyNumberFormat="1" applyFont="1" applyBorder="1" applyAlignment="1">
      <alignment wrapText="1"/>
    </xf>
    <xf numFmtId="164" fontId="9" fillId="0" borderId="1" xfId="0" applyNumberFormat="1" applyFont="1" applyBorder="1" applyAlignment="1">
      <alignment wrapText="1"/>
    </xf>
    <xf numFmtId="3" fontId="9" fillId="0" borderId="24" xfId="0" applyNumberFormat="1" applyFont="1" applyBorder="1" applyAlignment="1">
      <alignment horizontal="center"/>
    </xf>
    <xf numFmtId="0" fontId="9" fillId="21" borderId="24" xfId="0" applyFont="1" applyFill="1" applyBorder="1" applyAlignment="1">
      <alignment horizontal="center"/>
    </xf>
    <xf numFmtId="3" fontId="9" fillId="31" borderId="24" xfId="0" applyNumberFormat="1" applyFont="1" applyFill="1" applyBorder="1" applyAlignment="1">
      <alignment horizontal="center"/>
    </xf>
    <xf numFmtId="0" fontId="9" fillId="21" borderId="0" xfId="0" applyFont="1" applyFill="1"/>
    <xf numFmtId="0" fontId="8" fillId="30" borderId="24" xfId="0" applyFont="1" applyFill="1" applyBorder="1" applyAlignment="1">
      <alignment horizontal="center"/>
    </xf>
    <xf numFmtId="0" fontId="8" fillId="29" borderId="24" xfId="0" applyFont="1" applyFill="1" applyBorder="1" applyAlignment="1">
      <alignment horizontal="center"/>
    </xf>
    <xf numFmtId="0" fontId="8" fillId="0" borderId="0" xfId="0" applyFont="1" applyAlignment="1">
      <alignment horizontal="center"/>
    </xf>
    <xf numFmtId="167" fontId="9" fillId="0" borderId="24" xfId="1" applyNumberFormat="1" applyFont="1" applyBorder="1" applyAlignment="1">
      <alignment horizontal="center"/>
    </xf>
    <xf numFmtId="167" fontId="9" fillId="31" borderId="24" xfId="1" applyNumberFormat="1" applyFont="1" applyFill="1" applyBorder="1" applyAlignment="1">
      <alignment horizontal="center"/>
    </xf>
    <xf numFmtId="0" fontId="8" fillId="0" borderId="1" xfId="0" applyFont="1" applyBorder="1" applyAlignment="1">
      <alignment horizontal="center" vertical="top" wrapText="1"/>
    </xf>
    <xf numFmtId="49" fontId="8" fillId="0" borderId="1" xfId="0" applyNumberFormat="1" applyFont="1" applyBorder="1" applyAlignment="1">
      <alignment horizontal="center" vertical="top" wrapText="1"/>
    </xf>
    <xf numFmtId="0" fontId="8" fillId="0" borderId="8" xfId="0" applyFont="1" applyBorder="1" applyAlignment="1">
      <alignment horizontal="center" vertical="top" wrapText="1"/>
    </xf>
    <xf numFmtId="0" fontId="9" fillId="0" borderId="0" xfId="0" applyFont="1" applyAlignment="1">
      <alignment vertical="top" wrapText="1"/>
    </xf>
    <xf numFmtId="0" fontId="9" fillId="0" borderId="1" xfId="0" applyFont="1" applyBorder="1" applyAlignment="1">
      <alignment vertical="top"/>
    </xf>
    <xf numFmtId="0" fontId="9" fillId="0" borderId="1" xfId="0" applyFont="1" applyBorder="1" applyAlignment="1">
      <alignment vertical="top" wrapText="1"/>
    </xf>
    <xf numFmtId="0" fontId="9" fillId="0" borderId="1" xfId="0" quotePrefix="1" applyFont="1" applyBorder="1" applyAlignment="1">
      <alignment vertical="top" wrapText="1"/>
    </xf>
    <xf numFmtId="0" fontId="9" fillId="0" borderId="8" xfId="0" applyFont="1" applyBorder="1" applyAlignment="1">
      <alignment vertical="top" wrapText="1"/>
    </xf>
    <xf numFmtId="0" fontId="9" fillId="0" borderId="8" xfId="0" applyFont="1" applyBorder="1" applyAlignment="1">
      <alignment vertical="top"/>
    </xf>
    <xf numFmtId="0" fontId="9" fillId="9" borderId="8" xfId="0" applyFont="1" applyFill="1" applyBorder="1" applyAlignment="1">
      <alignment vertical="top" wrapText="1"/>
    </xf>
    <xf numFmtId="49" fontId="8" fillId="18" borderId="1" xfId="0" applyNumberFormat="1" applyFont="1" applyFill="1" applyBorder="1" applyAlignment="1">
      <alignment horizontal="center" vertical="top" wrapText="1"/>
    </xf>
    <xf numFmtId="0" fontId="8" fillId="18" borderId="1" xfId="0" applyFont="1" applyFill="1" applyBorder="1" applyAlignment="1">
      <alignment horizontal="center" vertical="top" wrapText="1"/>
    </xf>
    <xf numFmtId="49" fontId="9" fillId="0" borderId="1" xfId="0" applyNumberFormat="1" applyFont="1" applyBorder="1" applyAlignment="1">
      <alignment horizontal="center" vertical="top" wrapText="1"/>
    </xf>
    <xf numFmtId="0" fontId="9" fillId="0" borderId="1" xfId="0" applyFont="1" applyBorder="1" applyAlignment="1">
      <alignment horizontal="center" vertical="top" wrapText="1"/>
    </xf>
    <xf numFmtId="49" fontId="9" fillId="0" borderId="8" xfId="0" applyNumberFormat="1" applyFont="1" applyBorder="1" applyAlignment="1">
      <alignment horizontal="center" vertical="top" wrapText="1"/>
    </xf>
    <xf numFmtId="0" fontId="9" fillId="0" borderId="8" xfId="0" applyFont="1" applyBorder="1" applyAlignment="1">
      <alignment horizontal="center" vertical="top" wrapText="1"/>
    </xf>
    <xf numFmtId="49" fontId="9" fillId="0" borderId="0" xfId="0" applyNumberFormat="1" applyFont="1" applyAlignment="1">
      <alignment vertical="top"/>
    </xf>
    <xf numFmtId="49" fontId="8" fillId="17" borderId="1" xfId="0" applyNumberFormat="1" applyFont="1" applyFill="1" applyBorder="1" applyAlignment="1">
      <alignment horizontal="center" vertical="top" wrapText="1"/>
    </xf>
    <xf numFmtId="0" fontId="8" fillId="17" borderId="1" xfId="0" applyFont="1" applyFill="1" applyBorder="1" applyAlignment="1">
      <alignment horizontal="center" vertical="top" wrapText="1"/>
    </xf>
    <xf numFmtId="0" fontId="8" fillId="0" borderId="1" xfId="0" applyFont="1" applyBorder="1" applyAlignment="1">
      <alignment vertical="top" wrapText="1"/>
    </xf>
    <xf numFmtId="49" fontId="8" fillId="19" borderId="1" xfId="0" applyNumberFormat="1" applyFont="1" applyFill="1" applyBorder="1" applyAlignment="1">
      <alignment horizontal="center" vertical="top" wrapText="1"/>
    </xf>
    <xf numFmtId="0" fontId="8" fillId="19" borderId="1" xfId="0" applyFont="1" applyFill="1" applyBorder="1" applyAlignment="1">
      <alignment horizontal="center" vertical="top" wrapText="1"/>
    </xf>
    <xf numFmtId="0" fontId="8" fillId="33" borderId="33" xfId="0" applyFont="1" applyFill="1" applyBorder="1" applyAlignment="1">
      <alignment vertical="top" wrapText="1"/>
    </xf>
    <xf numFmtId="0" fontId="8" fillId="33" borderId="34" xfId="0" applyFont="1" applyFill="1" applyBorder="1" applyAlignment="1">
      <alignment vertical="top" wrapText="1"/>
    </xf>
    <xf numFmtId="0" fontId="8" fillId="33" borderId="29" xfId="0" applyFont="1" applyFill="1" applyBorder="1" applyAlignment="1">
      <alignment horizontal="center" vertical="top" wrapText="1"/>
    </xf>
    <xf numFmtId="0" fontId="9" fillId="0" borderId="34" xfId="0" applyFont="1" applyBorder="1" applyAlignment="1">
      <alignment horizontal="center" vertical="top" wrapText="1"/>
    </xf>
    <xf numFmtId="0" fontId="9" fillId="0" borderId="35" xfId="0" applyFont="1" applyBorder="1" applyAlignment="1">
      <alignment vertical="top" wrapText="1"/>
    </xf>
    <xf numFmtId="0" fontId="9" fillId="0" borderId="29" xfId="0" applyFont="1" applyBorder="1" applyAlignment="1">
      <alignment horizontal="right" vertical="top" wrapText="1"/>
    </xf>
    <xf numFmtId="0" fontId="9" fillId="0" borderId="28" xfId="0" applyFont="1" applyBorder="1" applyAlignment="1">
      <alignment horizontal="center" vertical="top" wrapText="1"/>
    </xf>
    <xf numFmtId="0" fontId="9" fillId="0" borderId="29" xfId="0" applyFont="1" applyBorder="1" applyAlignment="1">
      <alignment vertical="top" wrapText="1"/>
    </xf>
    <xf numFmtId="0" fontId="8" fillId="33" borderId="29" xfId="0" applyFont="1" applyFill="1" applyBorder="1" applyAlignment="1">
      <alignment horizontal="right" vertical="top" wrapText="1"/>
    </xf>
    <xf numFmtId="0" fontId="9" fillId="33" borderId="28" xfId="0" applyFont="1" applyFill="1" applyBorder="1" applyAlignment="1">
      <alignment vertical="top"/>
    </xf>
    <xf numFmtId="0" fontId="9" fillId="33" borderId="29" xfId="0" applyFont="1" applyFill="1" applyBorder="1" applyAlignment="1">
      <alignment vertical="top"/>
    </xf>
    <xf numFmtId="0" fontId="9" fillId="13" borderId="0" xfId="0" applyFont="1" applyFill="1"/>
    <xf numFmtId="0" fontId="9" fillId="9" borderId="0" xfId="0" applyFont="1" applyFill="1"/>
    <xf numFmtId="0" fontId="9" fillId="5" borderId="0" xfId="0" applyFont="1" applyFill="1"/>
    <xf numFmtId="0" fontId="9" fillId="13" borderId="24" xfId="0" applyFont="1" applyFill="1" applyBorder="1" applyAlignment="1">
      <alignment horizontal="center"/>
    </xf>
    <xf numFmtId="0" fontId="8" fillId="0" borderId="24" xfId="0" applyFont="1" applyBorder="1" applyAlignment="1">
      <alignment horizontal="center"/>
    </xf>
    <xf numFmtId="2" fontId="8" fillId="0" borderId="24" xfId="0" applyNumberFormat="1" applyFont="1" applyBorder="1" applyAlignment="1">
      <alignment horizontal="center"/>
    </xf>
    <xf numFmtId="0" fontId="8" fillId="0" borderId="24" xfId="0" applyFont="1" applyBorder="1" applyAlignment="1">
      <alignment horizontal="center" wrapText="1"/>
    </xf>
    <xf numFmtId="0" fontId="23" fillId="0" borderId="24" xfId="0" applyFont="1" applyBorder="1" applyAlignment="1">
      <alignment horizontal="center"/>
    </xf>
    <xf numFmtId="0" fontId="8" fillId="0" borderId="1" xfId="0" applyFont="1" applyBorder="1" applyAlignment="1">
      <alignment vertical="top"/>
    </xf>
    <xf numFmtId="0" fontId="15" fillId="11" borderId="6" xfId="0" applyFont="1" applyFill="1" applyBorder="1" applyAlignment="1">
      <alignment horizontal="center" vertical="center"/>
    </xf>
    <xf numFmtId="0" fontId="15" fillId="11" borderId="6" xfId="0" applyFont="1" applyFill="1" applyBorder="1" applyAlignment="1">
      <alignment horizontal="center" vertical="center" wrapText="1"/>
    </xf>
    <xf numFmtId="0" fontId="15" fillId="3" borderId="1" xfId="0" applyFont="1" applyFill="1" applyBorder="1" applyAlignment="1">
      <alignment horizontal="center" vertical="center"/>
    </xf>
    <xf numFmtId="3" fontId="15" fillId="3" borderId="1" xfId="0" applyNumberFormat="1" applyFont="1" applyFill="1" applyBorder="1" applyAlignment="1">
      <alignment horizontal="center" vertical="center"/>
    </xf>
    <xf numFmtId="0" fontId="16" fillId="0" borderId="0" xfId="0" applyFont="1" applyAlignment="1">
      <alignment vertical="center"/>
    </xf>
    <xf numFmtId="0" fontId="15" fillId="0" borderId="0" xfId="0" applyFont="1" applyAlignment="1">
      <alignment vertical="center"/>
    </xf>
    <xf numFmtId="0" fontId="15" fillId="0" borderId="0" xfId="0" applyFont="1" applyAlignment="1">
      <alignment horizontal="left" vertical="center"/>
    </xf>
    <xf numFmtId="0" fontId="16" fillId="0" borderId="0" xfId="0" applyFont="1" applyAlignment="1">
      <alignment horizontal="center" vertical="center"/>
    </xf>
    <xf numFmtId="0" fontId="15" fillId="4" borderId="1" xfId="0" applyFont="1" applyFill="1" applyBorder="1" applyAlignment="1">
      <alignment horizontal="center" vertical="center"/>
    </xf>
    <xf numFmtId="0" fontId="16" fillId="3" borderId="1" xfId="0" applyFont="1" applyFill="1" applyBorder="1" applyAlignment="1">
      <alignment horizontal="center" vertical="center"/>
    </xf>
    <xf numFmtId="3" fontId="16" fillId="3" borderId="1" xfId="0" applyNumberFormat="1" applyFont="1" applyFill="1" applyBorder="1" applyAlignment="1">
      <alignment horizontal="center" vertical="center"/>
    </xf>
    <xf numFmtId="0" fontId="16" fillId="0" borderId="0" xfId="0" applyFont="1" applyAlignment="1">
      <alignment horizontal="left" vertical="center"/>
    </xf>
    <xf numFmtId="0" fontId="15" fillId="0" borderId="0" xfId="0" applyFont="1" applyAlignment="1">
      <alignment horizontal="center" vertical="center"/>
    </xf>
    <xf numFmtId="0" fontId="15" fillId="10" borderId="1" xfId="0" applyFont="1" applyFill="1" applyBorder="1" applyAlignment="1">
      <alignment horizontal="center" vertical="center"/>
    </xf>
    <xf numFmtId="0" fontId="16" fillId="0" borderId="1" xfId="0" applyFont="1" applyBorder="1" applyAlignment="1">
      <alignment horizontal="center" vertical="center"/>
    </xf>
    <xf numFmtId="3" fontId="16" fillId="0" borderId="1" xfId="0" applyNumberFormat="1" applyFont="1" applyBorder="1" applyAlignment="1">
      <alignment horizontal="center" vertical="center"/>
    </xf>
    <xf numFmtId="164" fontId="16" fillId="0" borderId="1" xfId="0" applyNumberFormat="1" applyFont="1" applyBorder="1" applyAlignment="1">
      <alignment horizontal="center" vertical="center"/>
    </xf>
    <xf numFmtId="3" fontId="15" fillId="10" borderId="1" xfId="0" applyNumberFormat="1" applyFont="1" applyFill="1" applyBorder="1" applyAlignment="1">
      <alignment horizontal="center" vertical="center"/>
    </xf>
    <xf numFmtId="0" fontId="16" fillId="0" borderId="1" xfId="0" applyFont="1" applyBorder="1" applyAlignment="1">
      <alignment horizontal="left" vertical="center"/>
    </xf>
    <xf numFmtId="165" fontId="16" fillId="0" borderId="1" xfId="0" applyNumberFormat="1" applyFont="1" applyBorder="1" applyAlignment="1">
      <alignment horizontal="center" vertical="center"/>
    </xf>
    <xf numFmtId="165" fontId="16" fillId="0" borderId="7" xfId="0" applyNumberFormat="1" applyFont="1" applyBorder="1" applyAlignment="1">
      <alignment horizontal="center" vertical="center"/>
    </xf>
    <xf numFmtId="0" fontId="16" fillId="0" borderId="5" xfId="0" applyFont="1" applyBorder="1" applyAlignment="1">
      <alignment horizontal="left" vertical="center"/>
    </xf>
    <xf numFmtId="0" fontId="15" fillId="6" borderId="11" xfId="0" applyFont="1" applyFill="1" applyBorder="1" applyAlignment="1">
      <alignment horizontal="center" vertical="center"/>
    </xf>
    <xf numFmtId="0" fontId="15" fillId="6" borderId="12" xfId="0" applyFont="1" applyFill="1" applyBorder="1" applyAlignment="1">
      <alignment horizontal="center" vertical="center"/>
    </xf>
    <xf numFmtId="0" fontId="15" fillId="10" borderId="8" xfId="0" applyFont="1" applyFill="1" applyBorder="1" applyAlignment="1">
      <alignment horizontal="center" vertical="center"/>
    </xf>
    <xf numFmtId="0" fontId="15" fillId="10" borderId="17" xfId="0" applyFont="1" applyFill="1" applyBorder="1" applyAlignment="1">
      <alignment horizontal="center" vertical="center"/>
    </xf>
    <xf numFmtId="0" fontId="15" fillId="6" borderId="21" xfId="0" applyFont="1" applyFill="1" applyBorder="1" applyAlignment="1">
      <alignment horizontal="center" vertical="center"/>
    </xf>
    <xf numFmtId="0" fontId="15" fillId="6" borderId="1" xfId="0" applyFont="1" applyFill="1" applyBorder="1" applyAlignment="1">
      <alignment horizontal="center" vertical="center"/>
    </xf>
    <xf numFmtId="165" fontId="16" fillId="0" borderId="5" xfId="0" applyNumberFormat="1" applyFont="1" applyBorder="1" applyAlignment="1">
      <alignment horizontal="center" vertical="center"/>
    </xf>
    <xf numFmtId="0" fontId="16" fillId="0" borderId="5" xfId="0" applyFont="1" applyBorder="1" applyAlignment="1">
      <alignment horizontal="left" vertical="center" wrapText="1"/>
    </xf>
    <xf numFmtId="0" fontId="16" fillId="0" borderId="5" xfId="0" applyFont="1" applyBorder="1" applyAlignment="1">
      <alignment horizontal="center" vertical="center"/>
    </xf>
    <xf numFmtId="3" fontId="15" fillId="10" borderId="17" xfId="0" applyNumberFormat="1" applyFont="1" applyFill="1" applyBorder="1" applyAlignment="1">
      <alignment horizontal="center" vertical="center"/>
    </xf>
    <xf numFmtId="0" fontId="15" fillId="0" borderId="5" xfId="0" applyFont="1" applyBorder="1" applyAlignment="1">
      <alignment horizontal="center" vertical="center"/>
    </xf>
    <xf numFmtId="49" fontId="26" fillId="18" borderId="24" xfId="0" applyNumberFormat="1" applyFont="1" applyFill="1" applyBorder="1" applyAlignment="1">
      <alignment horizontal="center" vertical="top" wrapText="1"/>
    </xf>
    <xf numFmtId="0" fontId="26" fillId="18" borderId="24" xfId="0" applyFont="1" applyFill="1" applyBorder="1" applyAlignment="1">
      <alignment horizontal="center" vertical="top" wrapText="1"/>
    </xf>
    <xf numFmtId="49" fontId="26" fillId="0" borderId="24" xfId="0" applyNumberFormat="1" applyFont="1" applyBorder="1" applyAlignment="1">
      <alignment horizontal="center" vertical="top" wrapText="1"/>
    </xf>
    <xf numFmtId="0" fontId="26" fillId="0" borderId="24" xfId="0" applyFont="1" applyBorder="1" applyAlignment="1">
      <alignment horizontal="center" vertical="top" wrapText="1"/>
    </xf>
    <xf numFmtId="0" fontId="26" fillId="0" borderId="24" xfId="0" applyFont="1" applyBorder="1" applyAlignment="1">
      <alignment horizontal="left" vertical="top" wrapText="1"/>
    </xf>
    <xf numFmtId="49" fontId="8" fillId="0" borderId="8" xfId="0" applyNumberFormat="1" applyFont="1" applyBorder="1" applyAlignment="1">
      <alignment horizontal="center" vertical="top" wrapText="1"/>
    </xf>
    <xf numFmtId="0" fontId="8" fillId="0" borderId="8" xfId="0" applyFont="1" applyBorder="1" applyAlignment="1">
      <alignment vertical="top" wrapText="1"/>
    </xf>
    <xf numFmtId="0" fontId="8" fillId="0" borderId="1" xfId="0" applyFont="1" applyBorder="1" applyAlignment="1">
      <alignment horizontal="center" vertical="top"/>
    </xf>
    <xf numFmtId="0" fontId="8" fillId="9" borderId="1" xfId="0" applyFont="1" applyFill="1" applyBorder="1" applyAlignment="1">
      <alignment horizontal="center" vertical="top"/>
    </xf>
    <xf numFmtId="1" fontId="8" fillId="0" borderId="1" xfId="0" applyNumberFormat="1" applyFont="1" applyBorder="1" applyAlignment="1">
      <alignment horizontal="right" vertical="top"/>
    </xf>
    <xf numFmtId="1" fontId="8" fillId="2" borderId="1" xfId="0" applyNumberFormat="1" applyFont="1" applyFill="1" applyBorder="1" applyAlignment="1">
      <alignment horizontal="right" vertical="top"/>
    </xf>
    <xf numFmtId="0" fontId="1" fillId="10" borderId="2" xfId="0" applyFont="1" applyFill="1" applyBorder="1" applyAlignment="1">
      <alignment horizontal="center" vertical="center"/>
    </xf>
    <xf numFmtId="0" fontId="3" fillId="0" borderId="3" xfId="0" applyFont="1" applyBorder="1"/>
    <xf numFmtId="0" fontId="3" fillId="0" borderId="10" xfId="0" applyFont="1" applyBorder="1"/>
    <xf numFmtId="0" fontId="1" fillId="8" borderId="2" xfId="0" applyFont="1" applyFill="1" applyBorder="1" applyAlignment="1">
      <alignment horizontal="center" vertical="center"/>
    </xf>
    <xf numFmtId="0" fontId="3" fillId="0" borderId="4" xfId="0" applyFont="1" applyBorder="1"/>
    <xf numFmtId="0" fontId="1" fillId="8" borderId="9" xfId="0" applyFont="1" applyFill="1" applyBorder="1" applyAlignment="1">
      <alignment horizontal="center" vertical="center"/>
    </xf>
    <xf numFmtId="0" fontId="24" fillId="2" borderId="24" xfId="0" applyFont="1" applyFill="1" applyBorder="1" applyAlignment="1">
      <alignment horizontal="center" vertical="top" wrapText="1"/>
    </xf>
    <xf numFmtId="0" fontId="25" fillId="0" borderId="24" xfId="0" applyFont="1" applyBorder="1" applyAlignment="1">
      <alignment vertical="top"/>
    </xf>
    <xf numFmtId="0" fontId="8" fillId="20" borderId="24" xfId="0" applyFont="1" applyFill="1" applyBorder="1" applyAlignment="1">
      <alignment horizontal="center" vertical="center" wrapText="1"/>
    </xf>
    <xf numFmtId="0" fontId="8" fillId="2" borderId="24" xfId="0" applyFont="1" applyFill="1" applyBorder="1" applyAlignment="1">
      <alignment horizontal="center" vertical="top" wrapText="1"/>
    </xf>
    <xf numFmtId="0" fontId="8" fillId="15" borderId="25" xfId="0" applyFont="1" applyFill="1" applyBorder="1" applyAlignment="1">
      <alignment horizontal="center" wrapText="1"/>
    </xf>
    <xf numFmtId="0" fontId="8" fillId="15" borderId="26" xfId="0" applyFont="1" applyFill="1" applyBorder="1" applyAlignment="1">
      <alignment horizontal="center" wrapText="1"/>
    </xf>
    <xf numFmtId="0" fontId="8" fillId="15" borderId="27" xfId="0" applyFont="1" applyFill="1" applyBorder="1" applyAlignment="1">
      <alignment horizontal="center" wrapText="1"/>
    </xf>
    <xf numFmtId="0" fontId="8" fillId="32" borderId="24" xfId="0" applyFont="1" applyFill="1" applyBorder="1" applyAlignment="1">
      <alignment horizontal="center"/>
    </xf>
    <xf numFmtId="0" fontId="8" fillId="21" borderId="16" xfId="0" applyFont="1" applyFill="1" applyBorder="1" applyAlignment="1">
      <alignment horizontal="center" vertical="top"/>
    </xf>
    <xf numFmtId="0" fontId="8" fillId="32" borderId="16" xfId="0" applyFont="1" applyFill="1" applyBorder="1" applyAlignment="1">
      <alignment horizontal="center" vertical="top"/>
    </xf>
    <xf numFmtId="0" fontId="8" fillId="33" borderId="30" xfId="0" applyFont="1" applyFill="1" applyBorder="1" applyAlignment="1">
      <alignment horizontal="center" vertical="top" wrapText="1"/>
    </xf>
    <xf numFmtId="0" fontId="19" fillId="0" borderId="31" xfId="0" applyFont="1" applyBorder="1"/>
    <xf numFmtId="0" fontId="19" fillId="0" borderId="32" xfId="0" applyFont="1" applyBorder="1"/>
    <xf numFmtId="0" fontId="8" fillId="7" borderId="0" xfId="0" applyFont="1" applyFill="1" applyAlignment="1">
      <alignment horizontal="center"/>
    </xf>
    <xf numFmtId="0" fontId="9" fillId="0" borderId="0" xfId="0" applyFont="1"/>
    <xf numFmtId="0" fontId="9" fillId="0" borderId="0" xfId="0" applyFont="1" applyAlignment="1">
      <alignment horizontal="center"/>
    </xf>
    <xf numFmtId="0" fontId="15" fillId="6" borderId="6" xfId="0" applyFont="1" applyFill="1" applyBorder="1" applyAlignment="1">
      <alignment horizontal="center" vertical="center"/>
    </xf>
    <xf numFmtId="0" fontId="19" fillId="0" borderId="13" xfId="0" applyFont="1" applyBorder="1"/>
    <xf numFmtId="0" fontId="15" fillId="10" borderId="14" xfId="0" applyFont="1" applyFill="1" applyBorder="1" applyAlignment="1">
      <alignment horizontal="center" vertical="center"/>
    </xf>
    <xf numFmtId="0" fontId="19" fillId="0" borderId="15" xfId="0" applyFont="1" applyBorder="1"/>
    <xf numFmtId="0" fontId="19" fillId="0" borderId="16" xfId="0" applyFont="1" applyBorder="1"/>
    <xf numFmtId="0" fontId="15" fillId="6" borderId="2" xfId="0" applyFont="1" applyFill="1" applyBorder="1" applyAlignment="1">
      <alignment horizontal="center" vertical="center"/>
    </xf>
    <xf numFmtId="0" fontId="19" fillId="0" borderId="3" xfId="0" applyFont="1" applyBorder="1"/>
    <xf numFmtId="0" fontId="19" fillId="0" borderId="4" xfId="0" applyFont="1" applyBorder="1"/>
    <xf numFmtId="0" fontId="15" fillId="6" borderId="9" xfId="0" applyFont="1" applyFill="1" applyBorder="1" applyAlignment="1">
      <alignment horizontal="center" vertical="center"/>
    </xf>
    <xf numFmtId="0" fontId="15" fillId="6" borderId="18" xfId="0" applyFont="1" applyFill="1" applyBorder="1" applyAlignment="1">
      <alignment horizontal="center" vertical="center"/>
    </xf>
    <xf numFmtId="0" fontId="19" fillId="0" borderId="19" xfId="0" applyFont="1" applyBorder="1"/>
    <xf numFmtId="0" fontId="19" fillId="0" borderId="20" xfId="0" applyFont="1" applyBorder="1"/>
    <xf numFmtId="0" fontId="15" fillId="10" borderId="2" xfId="0" applyFont="1" applyFill="1" applyBorder="1" applyAlignment="1">
      <alignment horizontal="center" vertical="center"/>
    </xf>
    <xf numFmtId="0" fontId="19" fillId="0" borderId="10" xfId="0" applyFont="1" applyBorder="1"/>
    <xf numFmtId="0" fontId="15" fillId="0" borderId="0" xfId="0" applyFont="1" applyAlignment="1">
      <alignment horizontal="left" vertical="center"/>
    </xf>
    <xf numFmtId="0" fontId="15" fillId="10" borderId="9" xfId="0" applyFont="1" applyFill="1" applyBorder="1" applyAlignment="1">
      <alignment horizontal="center" vertical="center"/>
    </xf>
    <xf numFmtId="0" fontId="15" fillId="2" borderId="2" xfId="0" applyFont="1" applyFill="1" applyBorder="1" applyAlignment="1">
      <alignment horizontal="center" vertical="center"/>
    </xf>
    <xf numFmtId="0" fontId="15" fillId="0" borderId="0" xfId="0" applyFont="1" applyAlignment="1">
      <alignment horizontal="left" vertical="center" wrapText="1"/>
    </xf>
    <xf numFmtId="0" fontId="15" fillId="4" borderId="6" xfId="0" applyFont="1" applyFill="1" applyBorder="1" applyAlignment="1">
      <alignment horizontal="center" vertical="center"/>
    </xf>
    <xf numFmtId="0" fontId="19" fillId="0" borderId="7" xfId="0" applyFont="1" applyBorder="1"/>
    <xf numFmtId="0" fontId="15" fillId="4" borderId="9" xfId="0" applyFont="1" applyFill="1" applyBorder="1" applyAlignment="1">
      <alignment horizontal="center" vertical="center"/>
    </xf>
    <xf numFmtId="0" fontId="15" fillId="4" borderId="6" xfId="0" applyFont="1" applyFill="1" applyBorder="1" applyAlignment="1">
      <alignment horizontal="center" vertical="center" wrapText="1"/>
    </xf>
    <xf numFmtId="0" fontId="8" fillId="0" borderId="1" xfId="0" applyFont="1" applyBorder="1"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colors>
    <mruColors>
      <color rgb="FFFFFFCC"/>
      <color rgb="FF009999"/>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1" i="0" u="none" strike="noStrike" kern="1200" spc="0" baseline="0">
                <a:solidFill>
                  <a:sysClr val="windowText" lastClr="000000"/>
                </a:solidFill>
                <a:latin typeface="TH Sarabun New" panose="020B0500040200020003" pitchFamily="34" charset="-34"/>
                <a:ea typeface="+mn-ea"/>
                <a:cs typeface="TH Sarabun New" panose="020B0500040200020003" pitchFamily="34" charset="-34"/>
              </a:defRPr>
            </a:pPr>
            <a:r>
              <a:rPr lang="en-US"/>
              <a:t>KPI 7</a:t>
            </a:r>
            <a:r>
              <a:rPr lang="th-TH"/>
              <a:t>.</a:t>
            </a:r>
            <a:r>
              <a:rPr lang="en-US"/>
              <a:t>4.4 </a:t>
            </a:r>
            <a:r>
              <a:rPr lang="th-TH"/>
              <a:t>ความก้าวหน้าของการดำเนินงานตามแผนยุทธศาสตร์ </a:t>
            </a:r>
          </a:p>
        </c:rich>
      </c:tx>
      <c:layout>
        <c:manualLayout>
          <c:xMode val="edge"/>
          <c:yMode val="edge"/>
          <c:x val="0.26065527084344292"/>
          <c:y val="1.5279085153453895E-3"/>
        </c:manualLayout>
      </c:layout>
      <c:overlay val="0"/>
      <c:spPr>
        <a:noFill/>
        <a:ln>
          <a:noFill/>
        </a:ln>
        <a:effectLst/>
      </c:spPr>
      <c:txPr>
        <a:bodyPr rot="0" spcFirstLastPara="1" vertOverflow="ellipsis" vert="horz" wrap="square" anchor="ctr" anchorCtr="1"/>
        <a:lstStyle/>
        <a:p>
          <a:pPr>
            <a:defRPr sz="2160" b="1" i="0" u="none" strike="noStrike" kern="1200" spc="0" baseline="0">
              <a:solidFill>
                <a:sysClr val="windowText" lastClr="000000"/>
              </a:solidFill>
              <a:latin typeface="TH Sarabun New" panose="020B0500040200020003" pitchFamily="34" charset="-34"/>
              <a:ea typeface="+mn-ea"/>
              <a:cs typeface="TH Sarabun New" panose="020B0500040200020003" pitchFamily="34" charset="-34"/>
            </a:defRPr>
          </a:pPr>
          <a:endParaRPr lang="th-TH"/>
        </a:p>
      </c:txPr>
    </c:title>
    <c:autoTitleDeleted val="0"/>
    <c:plotArea>
      <c:layout>
        <c:manualLayout>
          <c:layoutTarget val="inner"/>
          <c:xMode val="edge"/>
          <c:yMode val="edge"/>
          <c:x val="0.15541282715286633"/>
          <c:y val="7.4723137874106574E-2"/>
          <c:w val="0.82010191964735624"/>
          <c:h val="0.32442176136005563"/>
        </c:manualLayout>
      </c:layout>
      <c:barChart>
        <c:barDir val="col"/>
        <c:grouping val="clustered"/>
        <c:varyColors val="0"/>
        <c:ser>
          <c:idx val="0"/>
          <c:order val="0"/>
          <c:tx>
            <c:strRef>
              <c:f>'KPI 7.4.4'!$C$6</c:f>
              <c:strCache>
                <c:ptCount val="1"/>
                <c:pt idx="0">
                  <c:v>ร้อยละความสำเร็จ</c:v>
                </c:pt>
              </c:strCache>
            </c:strRef>
          </c:tx>
          <c:spPr>
            <a:solidFill>
              <a:schemeClr val="accent2"/>
            </a:solidFill>
            <a:ln>
              <a:noFill/>
            </a:ln>
            <a:effectLst/>
          </c:spPr>
          <c:invertIfNegative val="0"/>
          <c:dPt>
            <c:idx val="1"/>
            <c:invertIfNegative val="0"/>
            <c:bubble3D val="0"/>
            <c:spPr>
              <a:solidFill>
                <a:srgbClr val="0070C0"/>
              </a:solidFill>
              <a:ln>
                <a:noFill/>
              </a:ln>
              <a:effectLst/>
            </c:spPr>
            <c:extLst>
              <c:ext xmlns:c16="http://schemas.microsoft.com/office/drawing/2014/chart" uri="{C3380CC4-5D6E-409C-BE32-E72D297353CC}">
                <c16:uniqueId val="{00000001-436E-4DE9-8555-5428024460EF}"/>
              </c:ext>
            </c:extLst>
          </c:dPt>
          <c:dPt>
            <c:idx val="2"/>
            <c:invertIfNegative val="0"/>
            <c:bubble3D val="0"/>
            <c:spPr>
              <a:solidFill>
                <a:srgbClr val="FFC000"/>
              </a:solidFill>
              <a:ln>
                <a:noFill/>
              </a:ln>
              <a:effectLst/>
            </c:spPr>
            <c:extLst>
              <c:ext xmlns:c16="http://schemas.microsoft.com/office/drawing/2014/chart" uri="{C3380CC4-5D6E-409C-BE32-E72D297353CC}">
                <c16:uniqueId val="{00000002-436E-4DE9-8555-5428024460EF}"/>
              </c:ext>
            </c:extLst>
          </c:dPt>
          <c:dPt>
            <c:idx val="3"/>
            <c:invertIfNegative val="0"/>
            <c:bubble3D val="0"/>
            <c:spPr>
              <a:solidFill>
                <a:srgbClr val="009999"/>
              </a:solidFill>
              <a:ln>
                <a:noFill/>
              </a:ln>
              <a:effectLst/>
            </c:spPr>
            <c:extLst>
              <c:ext xmlns:c16="http://schemas.microsoft.com/office/drawing/2014/chart" uri="{C3380CC4-5D6E-409C-BE32-E72D297353CC}">
                <c16:uniqueId val="{00000003-436E-4DE9-8555-5428024460EF}"/>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4-436E-4DE9-8555-5428024460EF}"/>
              </c:ext>
            </c:extLst>
          </c:dPt>
          <c:dPt>
            <c:idx val="5"/>
            <c:invertIfNegative val="0"/>
            <c:bubble3D val="0"/>
            <c:spPr>
              <a:solidFill>
                <a:schemeClr val="bg2">
                  <a:lumMod val="65000"/>
                </a:schemeClr>
              </a:solidFill>
              <a:ln>
                <a:noFill/>
              </a:ln>
              <a:effectLst/>
            </c:spPr>
            <c:extLst>
              <c:ext xmlns:c16="http://schemas.microsoft.com/office/drawing/2014/chart" uri="{C3380CC4-5D6E-409C-BE32-E72D297353CC}">
                <c16:uniqueId val="{00000005-436E-4DE9-8555-5428024460EF}"/>
              </c:ext>
            </c:extLst>
          </c:dPt>
          <c:dLbls>
            <c:dLbl>
              <c:idx val="3"/>
              <c:layout>
                <c:manualLayout>
                  <c:x val="-2.3682652457076062E-3"/>
                  <c:y val="-3.4682080924855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6E-4DE9-8555-5428024460EF}"/>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H Sarabun New" panose="020B0500040200020003" pitchFamily="34" charset="-34"/>
                    <a:ea typeface="+mn-ea"/>
                    <a:cs typeface="TH Sarabun New" panose="020B0500040200020003" pitchFamily="34" charset="-34"/>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 7.4.4'!$A$7:$B$12</c:f>
              <c:multiLvlStrCache>
                <c:ptCount val="6"/>
                <c:lvl>
                  <c:pt idx="0">
                    <c:v>ปฏิรูปโครงสร้างและระบบบริหารจัดการ</c:v>
                  </c:pt>
                  <c:pt idx="1">
                    <c:v>ยกระดับมาตรฐานพันธกิจหลักเป็นสากล</c:v>
                  </c:pt>
                  <c:pt idx="2">
                    <c:v>พัฒนาสมรรถนะและศักยภาพของบุคลากร</c:v>
                  </c:pt>
                  <c:pt idx="3">
                    <c:v>พัฒนาระบบบริหารจัดการข้อมูล</c:v>
                  </c:pt>
                  <c:pt idx="4">
                    <c:v>ร่วมมือกับพันธมิตร</c:v>
                  </c:pt>
                  <c:pt idx="5">
                    <c:v>สื่อสารสร้างความเชื่อมั่นศรัทธาต่อคณะ</c:v>
                  </c:pt>
                </c:lvl>
                <c:lvl>
                  <c:pt idx="0">
                    <c:v>ยุทธศาสตร์ที่ 1</c:v>
                  </c:pt>
                  <c:pt idx="1">
                    <c:v>ยุทธศาสตร์ที่ 2</c:v>
                  </c:pt>
                  <c:pt idx="2">
                    <c:v>ยุทธศาสตร์ที่ 3</c:v>
                  </c:pt>
                  <c:pt idx="3">
                    <c:v>ยุทธศาสตร์ที่ 4</c:v>
                  </c:pt>
                  <c:pt idx="4">
                    <c:v>ยุทธศาสตร์ที่ 5</c:v>
                  </c:pt>
                  <c:pt idx="5">
                    <c:v>ยุทธศาสตร์ที่ 6</c:v>
                  </c:pt>
                </c:lvl>
              </c:multiLvlStrCache>
            </c:multiLvlStrRef>
          </c:cat>
          <c:val>
            <c:numRef>
              <c:f>'KPI 7.4.4'!$C$7:$C$12</c:f>
              <c:numCache>
                <c:formatCode>0%</c:formatCode>
                <c:ptCount val="6"/>
                <c:pt idx="0">
                  <c:v>0.87</c:v>
                </c:pt>
                <c:pt idx="1">
                  <c:v>0.73</c:v>
                </c:pt>
                <c:pt idx="2">
                  <c:v>0.7</c:v>
                </c:pt>
                <c:pt idx="3">
                  <c:v>0.5</c:v>
                </c:pt>
                <c:pt idx="4">
                  <c:v>0.9</c:v>
                </c:pt>
                <c:pt idx="5">
                  <c:v>0.65</c:v>
                </c:pt>
              </c:numCache>
            </c:numRef>
          </c:val>
          <c:extLst>
            <c:ext xmlns:c16="http://schemas.microsoft.com/office/drawing/2014/chart" uri="{C3380CC4-5D6E-409C-BE32-E72D297353CC}">
              <c16:uniqueId val="{00000000-436E-4DE9-8555-5428024460EF}"/>
            </c:ext>
          </c:extLst>
        </c:ser>
        <c:dLbls>
          <c:showLegendKey val="0"/>
          <c:showVal val="0"/>
          <c:showCatName val="0"/>
          <c:showSerName val="0"/>
          <c:showPercent val="0"/>
          <c:showBubbleSize val="0"/>
        </c:dLbls>
        <c:gapWidth val="219"/>
        <c:overlap val="-27"/>
        <c:axId val="1586337695"/>
        <c:axId val="532155519"/>
      </c:barChart>
      <c:catAx>
        <c:axId val="1586337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ysClr val="windowText" lastClr="000000"/>
                </a:solidFill>
                <a:latin typeface="TH Sarabun New" panose="020B0500040200020003" pitchFamily="34" charset="-34"/>
                <a:ea typeface="+mn-ea"/>
                <a:cs typeface="TH Sarabun New" panose="020B0500040200020003" pitchFamily="34" charset="-34"/>
              </a:defRPr>
            </a:pPr>
            <a:endParaRPr lang="th-TH"/>
          </a:p>
        </c:txPr>
        <c:crossAx val="532155519"/>
        <c:crosses val="autoZero"/>
        <c:auto val="1"/>
        <c:lblAlgn val="ctr"/>
        <c:lblOffset val="100"/>
        <c:noMultiLvlLbl val="0"/>
      </c:catAx>
      <c:valAx>
        <c:axId val="532155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ysClr val="windowText" lastClr="000000"/>
                    </a:solidFill>
                    <a:latin typeface="TH Sarabun New" panose="020B0500040200020003" pitchFamily="34" charset="-34"/>
                    <a:ea typeface="+mn-ea"/>
                    <a:cs typeface="TH Sarabun New" panose="020B0500040200020003" pitchFamily="34" charset="-34"/>
                  </a:defRPr>
                </a:pPr>
                <a:r>
                  <a:rPr lang="th-TH"/>
                  <a:t>ร้อยละ</a:t>
                </a:r>
                <a:endParaRPr lang="en-US"/>
              </a:p>
            </c:rich>
          </c:tx>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TH Sarabun New" panose="020B0500040200020003" pitchFamily="34" charset="-34"/>
                  <a:ea typeface="+mn-ea"/>
                  <a:cs typeface="TH Sarabun New" panose="020B0500040200020003" pitchFamily="34" charset="-34"/>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TH Sarabun New" panose="020B0500040200020003" pitchFamily="34" charset="-34"/>
                <a:ea typeface="+mn-ea"/>
                <a:cs typeface="TH Sarabun New" panose="020B0500040200020003" pitchFamily="34" charset="-34"/>
              </a:defRPr>
            </a:pPr>
            <a:endParaRPr lang="th-TH"/>
          </a:p>
        </c:txPr>
        <c:crossAx val="158633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sz="1800" b="1">
          <a:solidFill>
            <a:sysClr val="windowText" lastClr="000000"/>
          </a:solidFill>
          <a:latin typeface="TH Sarabun New" panose="020B0500040200020003" pitchFamily="34" charset="-34"/>
          <a:cs typeface="TH Sarabun New" panose="020B0500040200020003" pitchFamily="34" charset="-34"/>
        </a:defRPr>
      </a:pPr>
      <a:endParaRPr lang="th-TH"/>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r>
              <a:rPr lang="en-US"/>
              <a:t>KPI 7.4</a:t>
            </a:r>
            <a:r>
              <a:rPr lang="th-TH"/>
              <a:t>.</a:t>
            </a:r>
            <a:r>
              <a:rPr lang="en-US"/>
              <a:t>5 </a:t>
            </a:r>
            <a:r>
              <a:rPr lang="th-TH"/>
              <a:t>หน่วยงานที่ได้รับการรับรองมาตรฐาน </a:t>
            </a:r>
            <a:r>
              <a:rPr lang="en-US"/>
              <a:t>ISO </a:t>
            </a:r>
            <a:r>
              <a:rPr lang="th-TH"/>
              <a:t>และได้รับรองมาตรฐานต่อเนื่องโดยไม่มี </a:t>
            </a:r>
            <a:r>
              <a:rPr lang="en-US"/>
              <a:t>NC</a:t>
            </a:r>
            <a:endParaRPr lang="th-TH"/>
          </a:p>
        </c:rich>
      </c:tx>
      <c:overlay val="0"/>
      <c:spPr>
        <a:noFill/>
        <a:ln>
          <a:noFill/>
        </a:ln>
        <a:effectLst/>
      </c:spPr>
      <c:txPr>
        <a:bodyPr rot="0" spcFirstLastPara="1" vertOverflow="ellipsis" vert="horz" wrap="square" anchor="ctr" anchorCtr="1"/>
        <a:lstStyle/>
        <a:p>
          <a:pPr>
            <a:defRPr sz="1680" b="1"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title>
    <c:autoTitleDeleted val="0"/>
    <c:plotArea>
      <c:layout/>
      <c:barChart>
        <c:barDir val="col"/>
        <c:grouping val="clustered"/>
        <c:varyColors val="0"/>
        <c:ser>
          <c:idx val="1"/>
          <c:order val="1"/>
          <c:tx>
            <c:strRef>
              <c:f>'KPI 7.4.5'!$A$7</c:f>
              <c:strCache>
                <c:ptCount val="1"/>
                <c:pt idx="0">
                  <c:v>หน่วยงาน</c:v>
                </c:pt>
              </c:strCache>
            </c:strRef>
          </c:tx>
          <c:spPr>
            <a:solidFill>
              <a:schemeClr val="accent2"/>
            </a:solidFill>
            <a:ln>
              <a:noFill/>
            </a:ln>
            <a:effectLst/>
          </c:spPr>
          <c:invertIfNegative val="0"/>
          <c:cat>
            <c:numRef>
              <c:f>'KPI 7.4.5'!$B$6:$D$6</c:f>
              <c:numCache>
                <c:formatCode>General</c:formatCode>
                <c:ptCount val="3"/>
                <c:pt idx="0">
                  <c:v>2565</c:v>
                </c:pt>
                <c:pt idx="1">
                  <c:v>2566</c:v>
                </c:pt>
                <c:pt idx="2">
                  <c:v>2567</c:v>
                </c:pt>
              </c:numCache>
            </c:numRef>
          </c:cat>
          <c:val>
            <c:numRef>
              <c:f>'KPI 7.4.5'!$B$7:$D$7</c:f>
              <c:numCache>
                <c:formatCode>General</c:formatCode>
                <c:ptCount val="3"/>
                <c:pt idx="0">
                  <c:v>0</c:v>
                </c:pt>
                <c:pt idx="1">
                  <c:v>0</c:v>
                </c:pt>
                <c:pt idx="2">
                  <c:v>0</c:v>
                </c:pt>
              </c:numCache>
            </c:numRef>
          </c:val>
          <c:extLst>
            <c:ext xmlns:c16="http://schemas.microsoft.com/office/drawing/2014/chart" uri="{C3380CC4-5D6E-409C-BE32-E72D297353CC}">
              <c16:uniqueId val="{00000001-2118-460C-863A-A7D0C05C557F}"/>
            </c:ext>
          </c:extLst>
        </c:ser>
        <c:dLbls>
          <c:showLegendKey val="0"/>
          <c:showVal val="0"/>
          <c:showCatName val="0"/>
          <c:showSerName val="0"/>
          <c:showPercent val="0"/>
          <c:showBubbleSize val="0"/>
        </c:dLbls>
        <c:gapWidth val="219"/>
        <c:overlap val="-27"/>
        <c:axId val="522830783"/>
        <c:axId val="522833663"/>
        <c:extLst>
          <c:ext xmlns:c15="http://schemas.microsoft.com/office/drawing/2012/chart" uri="{02D57815-91ED-43cb-92C2-25804820EDAC}">
            <c15:filteredBarSeries>
              <c15:ser>
                <c:idx val="0"/>
                <c:order val="0"/>
                <c:tx>
                  <c:strRef>
                    <c:extLst>
                      <c:ext uri="{02D57815-91ED-43cb-92C2-25804820EDAC}">
                        <c15:formulaRef>
                          <c15:sqref>'KPI 7.4.5'!$A$6</c15:sqref>
                        </c15:formulaRef>
                      </c:ext>
                    </c:extLst>
                    <c:strCache>
                      <c:ptCount val="1"/>
                      <c:pt idx="0">
                        <c:v>ปีงบประมาณ</c:v>
                      </c:pt>
                    </c:strCache>
                  </c:strRef>
                </c:tx>
                <c:spPr>
                  <a:solidFill>
                    <a:schemeClr val="accent1"/>
                  </a:solidFill>
                  <a:ln>
                    <a:noFill/>
                  </a:ln>
                  <a:effectLst/>
                </c:spPr>
                <c:invertIfNegative val="0"/>
                <c:cat>
                  <c:numRef>
                    <c:extLst>
                      <c:ext uri="{02D57815-91ED-43cb-92C2-25804820EDAC}">
                        <c15:formulaRef>
                          <c15:sqref>'KPI 7.4.5'!$B$6:$D$6</c15:sqref>
                        </c15:formulaRef>
                      </c:ext>
                    </c:extLst>
                    <c:numCache>
                      <c:formatCode>General</c:formatCode>
                      <c:ptCount val="3"/>
                      <c:pt idx="0">
                        <c:v>2565</c:v>
                      </c:pt>
                      <c:pt idx="1">
                        <c:v>2566</c:v>
                      </c:pt>
                      <c:pt idx="2">
                        <c:v>2567</c:v>
                      </c:pt>
                    </c:numCache>
                  </c:numRef>
                </c:cat>
                <c:val>
                  <c:numRef>
                    <c:extLst>
                      <c:ext uri="{02D57815-91ED-43cb-92C2-25804820EDAC}">
                        <c15:formulaRef>
                          <c15:sqref>'KPI 7.4.5'!$B$6:$D$6</c15:sqref>
                        </c15:formulaRef>
                      </c:ext>
                    </c:extLst>
                    <c:numCache>
                      <c:formatCode>General</c:formatCode>
                      <c:ptCount val="3"/>
                      <c:pt idx="0">
                        <c:v>2565</c:v>
                      </c:pt>
                      <c:pt idx="1">
                        <c:v>2566</c:v>
                      </c:pt>
                      <c:pt idx="2">
                        <c:v>2567</c:v>
                      </c:pt>
                    </c:numCache>
                  </c:numRef>
                </c:val>
                <c:extLst>
                  <c:ext xmlns:c16="http://schemas.microsoft.com/office/drawing/2014/chart" uri="{C3380CC4-5D6E-409C-BE32-E72D297353CC}">
                    <c16:uniqueId val="{00000000-2118-460C-863A-A7D0C05C557F}"/>
                  </c:ext>
                </c:extLst>
              </c15:ser>
            </c15:filteredBarSeries>
          </c:ext>
        </c:extLst>
      </c:barChart>
      <c:catAx>
        <c:axId val="52283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crossAx val="522833663"/>
        <c:crosses val="autoZero"/>
        <c:auto val="1"/>
        <c:lblAlgn val="ctr"/>
        <c:lblOffset val="100"/>
        <c:noMultiLvlLbl val="0"/>
      </c:catAx>
      <c:valAx>
        <c:axId val="52283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crossAx val="52283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solidFill>
            <a:sysClr val="windowText" lastClr="000000"/>
          </a:solidFill>
          <a:latin typeface="Angsana New" panose="02020603050405020304" pitchFamily="18" charset="-34"/>
          <a:cs typeface="Angsana New" panose="02020603050405020304" pitchFamily="18" charset="-34"/>
        </a:defRPr>
      </a:pPr>
      <a:endParaRPr lang="th-TH"/>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r>
              <a:rPr lang="en-US"/>
              <a:t>KPI 7.4</a:t>
            </a:r>
            <a:r>
              <a:rPr lang="th-TH"/>
              <a:t>.</a:t>
            </a:r>
            <a:r>
              <a:rPr lang="en-US"/>
              <a:t>6 </a:t>
            </a:r>
            <a:r>
              <a:rPr lang="th-TH"/>
              <a:t>จำนวนข้อสังเกตของผู้สอบบัญชีอนุญาตหรือผู้ตรวจสอบภายใน (สตง.) ในเรื่องข้อผิดพลาด หรือการทุจริต</a:t>
            </a:r>
          </a:p>
        </c:rich>
      </c:tx>
      <c:overlay val="0"/>
      <c:spPr>
        <a:noFill/>
        <a:ln>
          <a:noFill/>
        </a:ln>
        <a:effectLst/>
      </c:spPr>
      <c:txPr>
        <a:bodyPr rot="0" spcFirstLastPara="1" vertOverflow="ellipsis" vert="horz" wrap="square" anchor="ctr" anchorCtr="1"/>
        <a:lstStyle/>
        <a:p>
          <a:pPr>
            <a:defRPr sz="1680" b="1"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title>
    <c:autoTitleDeleted val="0"/>
    <c:plotArea>
      <c:layout/>
      <c:barChart>
        <c:barDir val="col"/>
        <c:grouping val="clustered"/>
        <c:varyColors val="0"/>
        <c:ser>
          <c:idx val="1"/>
          <c:order val="1"/>
          <c:tx>
            <c:strRef>
              <c:f>'KPI 7.4.6'!$A$7</c:f>
              <c:strCache>
                <c:ptCount val="1"/>
                <c:pt idx="0">
                  <c:v>จำนวนข้อสังเกตุ</c:v>
                </c:pt>
              </c:strCache>
            </c:strRef>
          </c:tx>
          <c:spPr>
            <a:solidFill>
              <a:schemeClr val="accent2"/>
            </a:solidFill>
            <a:ln>
              <a:noFill/>
            </a:ln>
            <a:effectLst/>
          </c:spPr>
          <c:invertIfNegative val="0"/>
          <c:cat>
            <c:numRef>
              <c:f>'KPI 7.4.6'!$B$6:$D$6</c:f>
              <c:numCache>
                <c:formatCode>General</c:formatCode>
                <c:ptCount val="3"/>
                <c:pt idx="0">
                  <c:v>2565</c:v>
                </c:pt>
                <c:pt idx="1">
                  <c:v>2566</c:v>
                </c:pt>
                <c:pt idx="2">
                  <c:v>2567</c:v>
                </c:pt>
              </c:numCache>
            </c:numRef>
          </c:cat>
          <c:val>
            <c:numRef>
              <c:f>'KPI 7.4.6'!$B$7:$D$7</c:f>
              <c:numCache>
                <c:formatCode>General</c:formatCode>
                <c:ptCount val="3"/>
                <c:pt idx="0">
                  <c:v>0</c:v>
                </c:pt>
                <c:pt idx="1">
                  <c:v>0</c:v>
                </c:pt>
                <c:pt idx="2">
                  <c:v>0</c:v>
                </c:pt>
              </c:numCache>
            </c:numRef>
          </c:val>
          <c:extLst>
            <c:ext xmlns:c16="http://schemas.microsoft.com/office/drawing/2014/chart" uri="{C3380CC4-5D6E-409C-BE32-E72D297353CC}">
              <c16:uniqueId val="{00000000-95D2-409D-99BF-CC14D24AA1AA}"/>
            </c:ext>
          </c:extLst>
        </c:ser>
        <c:dLbls>
          <c:showLegendKey val="0"/>
          <c:showVal val="0"/>
          <c:showCatName val="0"/>
          <c:showSerName val="0"/>
          <c:showPercent val="0"/>
          <c:showBubbleSize val="0"/>
        </c:dLbls>
        <c:gapWidth val="219"/>
        <c:overlap val="-27"/>
        <c:axId val="522830783"/>
        <c:axId val="522833663"/>
        <c:extLst>
          <c:ext xmlns:c15="http://schemas.microsoft.com/office/drawing/2012/chart" uri="{02D57815-91ED-43cb-92C2-25804820EDAC}">
            <c15:filteredBarSeries>
              <c15:ser>
                <c:idx val="0"/>
                <c:order val="0"/>
                <c:tx>
                  <c:strRef>
                    <c:extLst>
                      <c:ext uri="{02D57815-91ED-43cb-92C2-25804820EDAC}">
                        <c15:formulaRef>
                          <c15:sqref>'KPI 7.4.6'!$A$6</c15:sqref>
                        </c15:formulaRef>
                      </c:ext>
                    </c:extLst>
                    <c:strCache>
                      <c:ptCount val="1"/>
                      <c:pt idx="0">
                        <c:v>ปีงบประมาณ</c:v>
                      </c:pt>
                    </c:strCache>
                  </c:strRef>
                </c:tx>
                <c:spPr>
                  <a:solidFill>
                    <a:schemeClr val="accent1"/>
                  </a:solidFill>
                  <a:ln>
                    <a:noFill/>
                  </a:ln>
                  <a:effectLst/>
                </c:spPr>
                <c:invertIfNegative val="0"/>
                <c:cat>
                  <c:numRef>
                    <c:extLst>
                      <c:ext uri="{02D57815-91ED-43cb-92C2-25804820EDAC}">
                        <c15:formulaRef>
                          <c15:sqref>'KPI 7.4.6'!$B$6:$D$6</c15:sqref>
                        </c15:formulaRef>
                      </c:ext>
                    </c:extLst>
                    <c:numCache>
                      <c:formatCode>General</c:formatCode>
                      <c:ptCount val="3"/>
                      <c:pt idx="0">
                        <c:v>2565</c:v>
                      </c:pt>
                      <c:pt idx="1">
                        <c:v>2566</c:v>
                      </c:pt>
                      <c:pt idx="2">
                        <c:v>2567</c:v>
                      </c:pt>
                    </c:numCache>
                  </c:numRef>
                </c:cat>
                <c:val>
                  <c:numRef>
                    <c:extLst>
                      <c:ext uri="{02D57815-91ED-43cb-92C2-25804820EDAC}">
                        <c15:formulaRef>
                          <c15:sqref>'KPI 7.4.6'!$B$6:$D$6</c15:sqref>
                        </c15:formulaRef>
                      </c:ext>
                    </c:extLst>
                    <c:numCache>
                      <c:formatCode>General</c:formatCode>
                      <c:ptCount val="3"/>
                      <c:pt idx="0">
                        <c:v>2565</c:v>
                      </c:pt>
                      <c:pt idx="1">
                        <c:v>2566</c:v>
                      </c:pt>
                      <c:pt idx="2">
                        <c:v>2567</c:v>
                      </c:pt>
                    </c:numCache>
                  </c:numRef>
                </c:val>
                <c:extLst>
                  <c:ext xmlns:c16="http://schemas.microsoft.com/office/drawing/2014/chart" uri="{C3380CC4-5D6E-409C-BE32-E72D297353CC}">
                    <c16:uniqueId val="{00000001-95D2-409D-99BF-CC14D24AA1AA}"/>
                  </c:ext>
                </c:extLst>
              </c15:ser>
            </c15:filteredBarSeries>
          </c:ext>
        </c:extLst>
      </c:barChart>
      <c:catAx>
        <c:axId val="52283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crossAx val="522833663"/>
        <c:crosses val="autoZero"/>
        <c:auto val="1"/>
        <c:lblAlgn val="ctr"/>
        <c:lblOffset val="100"/>
        <c:noMultiLvlLbl val="0"/>
      </c:catAx>
      <c:valAx>
        <c:axId val="52283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crossAx val="52283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sz="1400" b="1">
          <a:solidFill>
            <a:sysClr val="windowText" lastClr="000000"/>
          </a:solidFill>
          <a:latin typeface="Angsana New" panose="02020603050405020304" pitchFamily="18" charset="-34"/>
          <a:cs typeface="Angsana New" panose="02020603050405020304" pitchFamily="18" charset="-34"/>
        </a:defRPr>
      </a:pPr>
      <a:endParaRPr lang="th-TH"/>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r>
              <a:rPr lang="en-US"/>
              <a:t>KPI 7.4</a:t>
            </a:r>
            <a:r>
              <a:rPr lang="th-TH"/>
              <a:t>.</a:t>
            </a:r>
            <a:r>
              <a:rPr lang="en-US"/>
              <a:t>7 </a:t>
            </a:r>
            <a:r>
              <a:rPr lang="th-TH"/>
              <a:t>มีแหล่งรายได้ใหม่</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autoTitleDeleted val="0"/>
    <c:plotArea>
      <c:layout>
        <c:manualLayout>
          <c:layoutTarget val="inner"/>
          <c:xMode val="edge"/>
          <c:yMode val="edge"/>
          <c:x val="0.20854678879425786"/>
          <c:y val="0.27566508124106437"/>
          <c:w val="0.69167996857535663"/>
          <c:h val="0.58466001243018539"/>
        </c:manualLayout>
      </c:layout>
      <c:barChart>
        <c:barDir val="col"/>
        <c:grouping val="stacked"/>
        <c:varyColors val="0"/>
        <c:ser>
          <c:idx val="1"/>
          <c:order val="1"/>
          <c:tx>
            <c:strRef>
              <c:f>'KPI 7.4-7'!$B$6</c:f>
              <c:strCache>
                <c:ptCount val="1"/>
                <c:pt idx="0">
                  <c:v>CE</c:v>
                </c:pt>
              </c:strCache>
            </c:strRef>
          </c:tx>
          <c:spPr>
            <a:solidFill>
              <a:srgbClr val="FFCC00"/>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'KPI 7.4-7'!$A$7:$A$9</c:f>
              <c:numCache>
                <c:formatCode>General</c:formatCode>
                <c:ptCount val="3"/>
                <c:pt idx="0">
                  <c:v>2566</c:v>
                </c:pt>
                <c:pt idx="1">
                  <c:v>2567</c:v>
                </c:pt>
                <c:pt idx="2">
                  <c:v>2568</c:v>
                </c:pt>
              </c:numCache>
            </c:numRef>
          </c:cat>
          <c:val>
            <c:numRef>
              <c:f>'KPI 7.4-7'!$B$7:$B$9</c:f>
              <c:numCache>
                <c:formatCode>#,##0</c:formatCode>
                <c:ptCount val="3"/>
                <c:pt idx="0">
                  <c:v>6268000</c:v>
                </c:pt>
                <c:pt idx="1">
                  <c:v>11390957.52</c:v>
                </c:pt>
                <c:pt idx="2">
                  <c:v>17993156</c:v>
                </c:pt>
              </c:numCache>
            </c:numRef>
          </c:val>
          <c:extLst>
            <c:ext xmlns:c16="http://schemas.microsoft.com/office/drawing/2014/chart" uri="{C3380CC4-5D6E-409C-BE32-E72D297353CC}">
              <c16:uniqueId val="{00000001-DD7F-4AB1-BD3D-E61F257908D7}"/>
            </c:ext>
          </c:extLst>
        </c:ser>
        <c:ser>
          <c:idx val="2"/>
          <c:order val="2"/>
          <c:tx>
            <c:strRef>
              <c:f>'KPI 7.4-7'!$C$6</c:f>
              <c:strCache>
                <c:ptCount val="1"/>
                <c:pt idx="0">
                  <c:v>ศูนย์ประชุม</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'KPI 7.4-7'!$A$7:$A$9</c:f>
              <c:numCache>
                <c:formatCode>General</c:formatCode>
                <c:ptCount val="3"/>
                <c:pt idx="0">
                  <c:v>2566</c:v>
                </c:pt>
                <c:pt idx="1">
                  <c:v>2567</c:v>
                </c:pt>
                <c:pt idx="2">
                  <c:v>2568</c:v>
                </c:pt>
              </c:numCache>
            </c:numRef>
          </c:cat>
          <c:val>
            <c:numRef>
              <c:f>'KPI 7.4-7'!$C$7:$C$9</c:f>
              <c:numCache>
                <c:formatCode>_(* #,##0_);_(* \(#,##0\);_(* "-"??_);_(@_)</c:formatCode>
                <c:ptCount val="3"/>
                <c:pt idx="2">
                  <c:v>30027890.720000003</c:v>
                </c:pt>
              </c:numCache>
            </c:numRef>
          </c:val>
          <c:extLst>
            <c:ext xmlns:c16="http://schemas.microsoft.com/office/drawing/2014/chart" uri="{C3380CC4-5D6E-409C-BE32-E72D297353CC}">
              <c16:uniqueId val="{00000002-DD7F-4AB1-BD3D-E61F257908D7}"/>
            </c:ext>
          </c:extLst>
        </c:ser>
        <c:ser>
          <c:idx val="3"/>
          <c:order val="3"/>
          <c:tx>
            <c:strRef>
              <c:f>'KPI 7.4-7'!$D$6</c:f>
              <c:strCache>
                <c:ptCount val="1"/>
                <c:pt idx="0">
                  <c:v>วัคซีน</c:v>
                </c:pt>
              </c:strCache>
            </c:strRef>
          </c:tx>
          <c:spPr>
            <a:solidFill>
              <a:srgbClr val="009999"/>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Angsana New" panose="02020603050405020304" pitchFamily="18" charset="-34"/>
                    <a:ea typeface="+mn-ea"/>
                    <a:cs typeface="Angsana New" panose="02020603050405020304" pitchFamily="18" charset="-34"/>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'KPI 7.4-7'!$A$7:$A$9</c:f>
              <c:numCache>
                <c:formatCode>General</c:formatCode>
                <c:ptCount val="3"/>
                <c:pt idx="0">
                  <c:v>2566</c:v>
                </c:pt>
                <c:pt idx="1">
                  <c:v>2567</c:v>
                </c:pt>
                <c:pt idx="2">
                  <c:v>2568</c:v>
                </c:pt>
              </c:numCache>
            </c:numRef>
          </c:cat>
          <c:val>
            <c:numRef>
              <c:f>'KPI 7.4-7'!$D$7:$D$9</c:f>
              <c:numCache>
                <c:formatCode>_(* #,##0_);_(* \(#,##0\);_(* "-"??_);_(@_)</c:formatCode>
                <c:ptCount val="3"/>
                <c:pt idx="1">
                  <c:v>11304540</c:v>
                </c:pt>
                <c:pt idx="2">
                  <c:v>21410740</c:v>
                </c:pt>
              </c:numCache>
            </c:numRef>
          </c:val>
          <c:extLst>
            <c:ext xmlns:c16="http://schemas.microsoft.com/office/drawing/2014/chart" uri="{C3380CC4-5D6E-409C-BE32-E72D297353CC}">
              <c16:uniqueId val="{00000003-DD7F-4AB1-BD3D-E61F257908D7}"/>
            </c:ext>
          </c:extLst>
        </c:ser>
        <c:dLbls>
          <c:showLegendKey val="0"/>
          <c:showVal val="1"/>
          <c:showCatName val="0"/>
          <c:showSerName val="0"/>
          <c:showPercent val="0"/>
          <c:showBubbleSize val="0"/>
        </c:dLbls>
        <c:gapWidth val="49"/>
        <c:overlap val="100"/>
        <c:axId val="725004751"/>
        <c:axId val="725005231"/>
        <c:extLst>
          <c:ext xmlns:c15="http://schemas.microsoft.com/office/drawing/2012/chart" uri="{02D57815-91ED-43cb-92C2-25804820EDAC}">
            <c15:filteredBarSeries>
              <c15:ser>
                <c:idx val="0"/>
                <c:order val="0"/>
                <c:tx>
                  <c:strRef>
                    <c:extLst>
                      <c:ext uri="{02D57815-91ED-43cb-92C2-25804820EDAC}">
                        <c15:formulaRef>
                          <c15:sqref>'KPI 7.4-7'!$A$6</c15:sqref>
                        </c15:formulaRef>
                      </c:ext>
                    </c:extLst>
                    <c:strCache>
                      <c:ptCount val="1"/>
                      <c:pt idx="0">
                        <c:v>ปีที่จัด</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'KPI 7.4-7'!$A$7:$A$9</c15:sqref>
                        </c15:formulaRef>
                      </c:ext>
                    </c:extLst>
                    <c:numCache>
                      <c:formatCode>General</c:formatCode>
                      <c:ptCount val="3"/>
                      <c:pt idx="0">
                        <c:v>2566</c:v>
                      </c:pt>
                      <c:pt idx="1">
                        <c:v>2567</c:v>
                      </c:pt>
                      <c:pt idx="2">
                        <c:v>2568</c:v>
                      </c:pt>
                    </c:numCache>
                  </c:numRef>
                </c:cat>
                <c:val>
                  <c:numRef>
                    <c:extLst>
                      <c:ext uri="{02D57815-91ED-43cb-92C2-25804820EDAC}">
                        <c15:formulaRef>
                          <c15:sqref>'KPI 7.4-7'!$A$7:$A$9</c15:sqref>
                        </c15:formulaRef>
                      </c:ext>
                    </c:extLst>
                    <c:numCache>
                      <c:formatCode>General</c:formatCode>
                      <c:ptCount val="3"/>
                      <c:pt idx="0">
                        <c:v>2566</c:v>
                      </c:pt>
                      <c:pt idx="1">
                        <c:v>2567</c:v>
                      </c:pt>
                      <c:pt idx="2">
                        <c:v>2568</c:v>
                      </c:pt>
                    </c:numCache>
                  </c:numRef>
                </c:val>
                <c:extLst>
                  <c:ext xmlns:c16="http://schemas.microsoft.com/office/drawing/2014/chart" uri="{C3380CC4-5D6E-409C-BE32-E72D297353CC}">
                    <c16:uniqueId val="{00000000-DD7F-4AB1-BD3D-E61F257908D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'KPI 7.4-7'!$E$6</c15:sqref>
                        </c15:formulaRef>
                      </c:ext>
                    </c:extLst>
                    <c:strCache>
                      <c:ptCount val="1"/>
                      <c:pt idx="0">
                        <c:v>รวม</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'KPI 7.4-7'!$A$7:$A$9</c15:sqref>
                        </c15:formulaRef>
                      </c:ext>
                    </c:extLst>
                    <c:numCache>
                      <c:formatCode>General</c:formatCode>
                      <c:ptCount val="3"/>
                      <c:pt idx="0">
                        <c:v>2566</c:v>
                      </c:pt>
                      <c:pt idx="1">
                        <c:v>2567</c:v>
                      </c:pt>
                      <c:pt idx="2">
                        <c:v>2568</c:v>
                      </c:pt>
                    </c:numCache>
                  </c:numRef>
                </c:cat>
                <c:val>
                  <c:numRef>
                    <c:extLst xmlns:c15="http://schemas.microsoft.com/office/drawing/2012/chart">
                      <c:ext xmlns:c15="http://schemas.microsoft.com/office/drawing/2012/chart" uri="{02D57815-91ED-43cb-92C2-25804820EDAC}">
                        <c15:formulaRef>
                          <c15:sqref>'KPI 7.4-7'!$E$7:$E$9</c15:sqref>
                        </c15:formulaRef>
                      </c:ext>
                    </c:extLst>
                    <c:numCache>
                      <c:formatCode>#,##0</c:formatCode>
                      <c:ptCount val="3"/>
                      <c:pt idx="0">
                        <c:v>6268000</c:v>
                      </c:pt>
                      <c:pt idx="1">
                        <c:v>22695497.52</c:v>
                      </c:pt>
                      <c:pt idx="2">
                        <c:v>69431786.719999999</c:v>
                      </c:pt>
                    </c:numCache>
                  </c:numRef>
                </c:val>
                <c:extLst xmlns:c15="http://schemas.microsoft.com/office/drawing/2012/chart">
                  <c:ext xmlns:c16="http://schemas.microsoft.com/office/drawing/2014/chart" uri="{C3380CC4-5D6E-409C-BE32-E72D297353CC}">
                    <c16:uniqueId val="{00000004-DD7F-4AB1-BD3D-E61F257908D7}"/>
                  </c:ext>
                </c:extLst>
              </c15:ser>
            </c15:filteredBarSeries>
          </c:ext>
        </c:extLst>
      </c:barChart>
      <c:catAx>
        <c:axId val="7250047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r>
                  <a:rPr lang="th-TH"/>
                  <a:t>ปีงบประมาณ</a:t>
                </a:r>
                <a:endParaRPr lang="en-US"/>
              </a:p>
            </c:rich>
          </c:tx>
          <c:layout>
            <c:manualLayout>
              <c:xMode val="edge"/>
              <c:yMode val="edge"/>
              <c:x val="0.87615548056492942"/>
              <c:y val="0.87297366463670523"/>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crossAx val="725005231"/>
        <c:crosses val="autoZero"/>
        <c:auto val="1"/>
        <c:lblAlgn val="ctr"/>
        <c:lblOffset val="100"/>
        <c:noMultiLvlLbl val="0"/>
      </c:catAx>
      <c:valAx>
        <c:axId val="725005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r>
                  <a:rPr lang="th-TH"/>
                  <a:t>จำนวนเงิน</a:t>
                </a:r>
                <a:endParaRPr lang="en-US"/>
              </a:p>
            </c:rich>
          </c:tx>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crossAx val="725004751"/>
        <c:crosses val="autoZero"/>
        <c:crossBetween val="between"/>
      </c:valAx>
      <c:spPr>
        <a:noFill/>
        <a:ln>
          <a:noFill/>
        </a:ln>
        <a:effectLst/>
      </c:spPr>
    </c:plotArea>
    <c:legend>
      <c:legendPos val="b"/>
      <c:layout>
        <c:manualLayout>
          <c:xMode val="edge"/>
          <c:yMode val="edge"/>
          <c:x val="0.34427696537932756"/>
          <c:y val="0.16640951087123565"/>
          <c:w val="0.30691092184905455"/>
          <c:h val="6.9337916303634298E-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sz="1400" b="1">
          <a:solidFill>
            <a:sysClr val="windowText" lastClr="000000"/>
          </a:solidFill>
          <a:latin typeface="Angsana New" panose="02020603050405020304" pitchFamily="18" charset="-34"/>
          <a:cs typeface="Angsana New" panose="02020603050405020304" pitchFamily="18" charset="-34"/>
        </a:defRPr>
      </a:pPr>
      <a:endParaRPr lang="th-TH"/>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r>
              <a:rPr lang="en-US"/>
              <a:t>KPI 7.4</a:t>
            </a:r>
            <a:r>
              <a:rPr lang="th-TH"/>
              <a:t>.</a:t>
            </a:r>
            <a:r>
              <a:rPr lang="en-US"/>
              <a:t>10 </a:t>
            </a:r>
            <a:r>
              <a:rPr lang="th-TH"/>
              <a:t>การบริการของศูนย์บางเรื่องได้รับการยกระดับเป็นหน่วยรับรองที่ใช้ได้ตามมาตรฐานในนามรัฐ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endParaRPr lang="en-US"/>
        </a:p>
      </c:txPr>
    </c:title>
    <c:autoTitleDeleted val="0"/>
    <c:plotArea>
      <c:layout>
        <c:manualLayout>
          <c:layoutTarget val="inner"/>
          <c:xMode val="edge"/>
          <c:yMode val="edge"/>
          <c:x val="0.1256378563144723"/>
          <c:y val="0.15787497492191049"/>
          <c:w val="0.80869941402673517"/>
          <c:h val="0.27777148895376486"/>
        </c:manualLayout>
      </c:layout>
      <c:barChart>
        <c:barDir val="col"/>
        <c:grouping val="clustered"/>
        <c:varyColors val="0"/>
        <c:ser>
          <c:idx val="0"/>
          <c:order val="0"/>
          <c:tx>
            <c:strRef>
              <c:f>'KPI 7.4-10'!$D$6</c:f>
              <c:strCache>
                <c:ptCount val="1"/>
                <c:pt idx="0">
                  <c:v>2565</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H Sarabun New" panose="020B0500040200020003" pitchFamily="34" charset="-34"/>
                    <a:ea typeface="+mn-ea"/>
                    <a:cs typeface="TH Sarabun New" panose="020B0500040200020003" pitchFamily="34" charset="-34"/>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'KPI 7.4-10'!$B$6:$C$11</c15:sqref>
                  </c15:fullRef>
                </c:ext>
              </c:extLst>
              <c:f>'KPI 7.4-10'!$B$7:$C$10</c:f>
              <c:multiLvlStrCache>
                <c:ptCount val="4"/>
                <c:lvl>
                  <c:pt idx="0">
                    <c:v>การทดสอบ Iridovirus ในปลากะพงเพื่อการส่งออก</c:v>
                  </c:pt>
                  <c:pt idx="1">
                    <c:v>การทดสอบประสิทธิภาพน้ำยาฆ่าเชื้อไวรัสไข้หวัดนก</c:v>
                  </c:pt>
                  <c:pt idx="2">
                    <c:v>การทดสอบประสิทธิภาพน้ำยาฆ่าเชื้อไวรัสนิวคาสเซิล</c:v>
                  </c:pt>
                  <c:pt idx="3">
                    <c:v>การทดสอบคุณภาพน้ำบาดาลทางกายภาพ </c:v>
                  </c:pt>
                </c:lvl>
                <c:lvl>
                  <c:pt idx="0">
                    <c:v>กรมประมง</c:v>
                  </c:pt>
                  <c:pt idx="1">
                    <c:v>กรมปศุสัตว์</c:v>
                  </c:pt>
                  <c:pt idx="2">
                    <c:v>กรมปศุสัตว์</c:v>
                  </c:pt>
                  <c:pt idx="3">
                    <c:v>กรมทรัพยากรน้ำบาดาล</c:v>
                  </c:pt>
                </c:lvl>
              </c:multiLvlStrCache>
            </c:multiLvlStrRef>
          </c:cat>
          <c:val>
            <c:numRef>
              <c:extLst>
                <c:ext xmlns:c15="http://schemas.microsoft.com/office/drawing/2012/chart" uri="{02D57815-91ED-43cb-92C2-25804820EDAC}">
                  <c15:fullRef>
                    <c15:sqref>'KPI 7.4-10'!$D$6:$D$11</c15:sqref>
                  </c15:fullRef>
                </c:ext>
              </c:extLst>
              <c:f>'KPI 7.4-10'!$D$7:$D$10</c:f>
              <c:numCache>
                <c:formatCode>General</c:formatCode>
                <c:ptCount val="4"/>
                <c:pt idx="0">
                  <c:v>336</c:v>
                </c:pt>
                <c:pt idx="1">
                  <c:v>81</c:v>
                </c:pt>
                <c:pt idx="2">
                  <c:v>25</c:v>
                </c:pt>
                <c:pt idx="3">
                  <c:v>1198</c:v>
                </c:pt>
              </c:numCache>
            </c:numRef>
          </c:val>
          <c:extLst>
            <c:ext xmlns:c16="http://schemas.microsoft.com/office/drawing/2014/chart" uri="{C3380CC4-5D6E-409C-BE32-E72D297353CC}">
              <c16:uniqueId val="{00000000-1BD8-456E-AA46-80A2D09BA5FC}"/>
            </c:ext>
          </c:extLst>
        </c:ser>
        <c:ser>
          <c:idx val="1"/>
          <c:order val="1"/>
          <c:tx>
            <c:strRef>
              <c:f>'KPI 7.4-10'!$E$6</c:f>
              <c:strCache>
                <c:ptCount val="1"/>
                <c:pt idx="0">
                  <c:v>2566</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H Sarabun New" panose="020B0500040200020003" pitchFamily="34" charset="-34"/>
                    <a:ea typeface="+mn-ea"/>
                    <a:cs typeface="TH Sarabun New" panose="020B0500040200020003" pitchFamily="34" charset="-34"/>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'KPI 7.4-10'!$B$6:$C$11</c15:sqref>
                  </c15:fullRef>
                </c:ext>
              </c:extLst>
              <c:f>'KPI 7.4-10'!$B$7:$C$10</c:f>
              <c:multiLvlStrCache>
                <c:ptCount val="4"/>
                <c:lvl>
                  <c:pt idx="0">
                    <c:v>การทดสอบ Iridovirus ในปลากะพงเพื่อการส่งออก</c:v>
                  </c:pt>
                  <c:pt idx="1">
                    <c:v>การทดสอบประสิทธิภาพน้ำยาฆ่าเชื้อไวรัสไข้หวัดนก</c:v>
                  </c:pt>
                  <c:pt idx="2">
                    <c:v>การทดสอบประสิทธิภาพน้ำยาฆ่าเชื้อไวรัสนิวคาสเซิล</c:v>
                  </c:pt>
                  <c:pt idx="3">
                    <c:v>การทดสอบคุณภาพน้ำบาดาลทางกายภาพ </c:v>
                  </c:pt>
                </c:lvl>
                <c:lvl>
                  <c:pt idx="0">
                    <c:v>กรมประมง</c:v>
                  </c:pt>
                  <c:pt idx="1">
                    <c:v>กรมปศุสัตว์</c:v>
                  </c:pt>
                  <c:pt idx="2">
                    <c:v>กรมปศุสัตว์</c:v>
                  </c:pt>
                  <c:pt idx="3">
                    <c:v>กรมทรัพยากรน้ำบาดาล</c:v>
                  </c:pt>
                </c:lvl>
              </c:multiLvlStrCache>
            </c:multiLvlStrRef>
          </c:cat>
          <c:val>
            <c:numRef>
              <c:extLst>
                <c:ext xmlns:c15="http://schemas.microsoft.com/office/drawing/2012/chart" uri="{02D57815-91ED-43cb-92C2-25804820EDAC}">
                  <c15:fullRef>
                    <c15:sqref>'KPI 7.4-10'!$E$6:$E$11</c15:sqref>
                  </c15:fullRef>
                </c:ext>
              </c:extLst>
              <c:f>'KPI 7.4-10'!$E$7:$E$10</c:f>
              <c:numCache>
                <c:formatCode>General</c:formatCode>
                <c:ptCount val="4"/>
                <c:pt idx="0">
                  <c:v>891</c:v>
                </c:pt>
                <c:pt idx="1">
                  <c:v>48</c:v>
                </c:pt>
                <c:pt idx="2">
                  <c:v>22</c:v>
                </c:pt>
                <c:pt idx="3">
                  <c:v>1256</c:v>
                </c:pt>
              </c:numCache>
            </c:numRef>
          </c:val>
          <c:extLst>
            <c:ext xmlns:c16="http://schemas.microsoft.com/office/drawing/2014/chart" uri="{C3380CC4-5D6E-409C-BE32-E72D297353CC}">
              <c16:uniqueId val="{00000001-1BD8-456E-AA46-80A2D09BA5FC}"/>
            </c:ext>
          </c:extLst>
        </c:ser>
        <c:ser>
          <c:idx val="2"/>
          <c:order val="2"/>
          <c:tx>
            <c:strRef>
              <c:f>'KPI 7.4-10'!$F$6</c:f>
              <c:strCache>
                <c:ptCount val="1"/>
                <c:pt idx="0">
                  <c:v>2567</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H Sarabun New" panose="020B0500040200020003" pitchFamily="34" charset="-34"/>
                    <a:ea typeface="+mn-ea"/>
                    <a:cs typeface="TH Sarabun New" panose="020B0500040200020003" pitchFamily="34" charset="-34"/>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'KPI 7.4-10'!$B$6:$C$11</c15:sqref>
                  </c15:fullRef>
                </c:ext>
              </c:extLst>
              <c:f>'KPI 7.4-10'!$B$7:$C$10</c:f>
              <c:multiLvlStrCache>
                <c:ptCount val="4"/>
                <c:lvl>
                  <c:pt idx="0">
                    <c:v>การทดสอบ Iridovirus ในปลากะพงเพื่อการส่งออก</c:v>
                  </c:pt>
                  <c:pt idx="1">
                    <c:v>การทดสอบประสิทธิภาพน้ำยาฆ่าเชื้อไวรัสไข้หวัดนก</c:v>
                  </c:pt>
                  <c:pt idx="2">
                    <c:v>การทดสอบประสิทธิภาพน้ำยาฆ่าเชื้อไวรัสนิวคาสเซิล</c:v>
                  </c:pt>
                  <c:pt idx="3">
                    <c:v>การทดสอบคุณภาพน้ำบาดาลทางกายภาพ </c:v>
                  </c:pt>
                </c:lvl>
                <c:lvl>
                  <c:pt idx="0">
                    <c:v>กรมประมง</c:v>
                  </c:pt>
                  <c:pt idx="1">
                    <c:v>กรมปศุสัตว์</c:v>
                  </c:pt>
                  <c:pt idx="2">
                    <c:v>กรมปศุสัตว์</c:v>
                  </c:pt>
                  <c:pt idx="3">
                    <c:v>กรมทรัพยากรน้ำบาดาล</c:v>
                  </c:pt>
                </c:lvl>
              </c:multiLvlStrCache>
            </c:multiLvlStrRef>
          </c:cat>
          <c:val>
            <c:numRef>
              <c:extLst>
                <c:ext xmlns:c15="http://schemas.microsoft.com/office/drawing/2012/chart" uri="{02D57815-91ED-43cb-92C2-25804820EDAC}">
                  <c15:fullRef>
                    <c15:sqref>'KPI 7.4-10'!$F$6:$F$11</c15:sqref>
                  </c15:fullRef>
                </c:ext>
              </c:extLst>
              <c:f>'KPI 7.4-10'!$F$7:$F$10</c:f>
              <c:numCache>
                <c:formatCode>General</c:formatCode>
                <c:ptCount val="4"/>
                <c:pt idx="0">
                  <c:v>588</c:v>
                </c:pt>
                <c:pt idx="1">
                  <c:v>55</c:v>
                </c:pt>
                <c:pt idx="2">
                  <c:v>33</c:v>
                </c:pt>
                <c:pt idx="3">
                  <c:v>1598</c:v>
                </c:pt>
              </c:numCache>
            </c:numRef>
          </c:val>
          <c:extLst>
            <c:ext xmlns:c16="http://schemas.microsoft.com/office/drawing/2014/chart" uri="{C3380CC4-5D6E-409C-BE32-E72D297353CC}">
              <c16:uniqueId val="{00000002-1BD8-456E-AA46-80A2D09BA5FC}"/>
            </c:ext>
          </c:extLst>
        </c:ser>
        <c:ser>
          <c:idx val="3"/>
          <c:order val="3"/>
          <c:tx>
            <c:strRef>
              <c:f>'KPI 7.4-10'!$G$6</c:f>
              <c:strCache>
                <c:ptCount val="1"/>
                <c:pt idx="0">
                  <c:v>2568</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H Sarabun New" panose="020B0500040200020003" pitchFamily="34" charset="-34"/>
                    <a:ea typeface="+mn-ea"/>
                    <a:cs typeface="TH Sarabun New" panose="020B0500040200020003" pitchFamily="34" charset="-34"/>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'KPI 7.4-10'!$B$6:$C$11</c15:sqref>
                  </c15:fullRef>
                </c:ext>
              </c:extLst>
              <c:f>'KPI 7.4-10'!$B$7:$C$10</c:f>
              <c:multiLvlStrCache>
                <c:ptCount val="4"/>
                <c:lvl>
                  <c:pt idx="0">
                    <c:v>การทดสอบ Iridovirus ในปลากะพงเพื่อการส่งออก</c:v>
                  </c:pt>
                  <c:pt idx="1">
                    <c:v>การทดสอบประสิทธิภาพน้ำยาฆ่าเชื้อไวรัสไข้หวัดนก</c:v>
                  </c:pt>
                  <c:pt idx="2">
                    <c:v>การทดสอบประสิทธิภาพน้ำยาฆ่าเชื้อไวรัสนิวคาสเซิล</c:v>
                  </c:pt>
                  <c:pt idx="3">
                    <c:v>การทดสอบคุณภาพน้ำบาดาลทางกายภาพ </c:v>
                  </c:pt>
                </c:lvl>
                <c:lvl>
                  <c:pt idx="0">
                    <c:v>กรมประมง</c:v>
                  </c:pt>
                  <c:pt idx="1">
                    <c:v>กรมปศุสัตว์</c:v>
                  </c:pt>
                  <c:pt idx="2">
                    <c:v>กรมปศุสัตว์</c:v>
                  </c:pt>
                  <c:pt idx="3">
                    <c:v>กรมทรัพยากรน้ำบาดาล</c:v>
                  </c:pt>
                </c:lvl>
              </c:multiLvlStrCache>
            </c:multiLvlStrRef>
          </c:cat>
          <c:val>
            <c:numRef>
              <c:extLst>
                <c:ext xmlns:c15="http://schemas.microsoft.com/office/drawing/2012/chart" uri="{02D57815-91ED-43cb-92C2-25804820EDAC}">
                  <c15:fullRef>
                    <c15:sqref>'KPI 7.4-10'!$G$6:$G$11</c15:sqref>
                  </c15:fullRef>
                </c:ext>
              </c:extLst>
              <c:f>'KPI 7.4-10'!$G$7:$G$10</c:f>
              <c:numCache>
                <c:formatCode>General</c:formatCode>
                <c:ptCount val="4"/>
                <c:pt idx="0">
                  <c:v>528</c:v>
                </c:pt>
                <c:pt idx="1">
                  <c:v>77</c:v>
                </c:pt>
                <c:pt idx="2">
                  <c:v>23</c:v>
                </c:pt>
                <c:pt idx="3">
                  <c:v>1837</c:v>
                </c:pt>
              </c:numCache>
            </c:numRef>
          </c:val>
          <c:extLst>
            <c:ext xmlns:c16="http://schemas.microsoft.com/office/drawing/2014/chart" uri="{C3380CC4-5D6E-409C-BE32-E72D297353CC}">
              <c16:uniqueId val="{00000003-1BD8-456E-AA46-80A2D09BA5FC}"/>
            </c:ext>
          </c:extLst>
        </c:ser>
        <c:dLbls>
          <c:dLblPos val="outEnd"/>
          <c:showLegendKey val="0"/>
          <c:showVal val="1"/>
          <c:showCatName val="0"/>
          <c:showSerName val="0"/>
          <c:showPercent val="0"/>
          <c:showBubbleSize val="0"/>
        </c:dLbls>
        <c:gapWidth val="100"/>
        <c:overlap val="-24"/>
        <c:axId val="638300271"/>
        <c:axId val="638296911"/>
      </c:barChart>
      <c:catAx>
        <c:axId val="638300271"/>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endParaRPr lang="th-TH"/>
          </a:p>
        </c:txPr>
        <c:crossAx val="638296911"/>
        <c:crosses val="autoZero"/>
        <c:auto val="0"/>
        <c:lblAlgn val="ctr"/>
        <c:lblOffset val="100"/>
        <c:noMultiLvlLbl val="0"/>
      </c:catAx>
      <c:valAx>
        <c:axId val="638296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r>
                  <a:rPr lang="th-TH"/>
                  <a:t>จำนวนการส่งตัวอย่าง</a:t>
                </a:r>
                <a:endParaRPr lang="en-US"/>
              </a:p>
            </c:rich>
          </c:tx>
          <c:layout>
            <c:manualLayout>
              <c:xMode val="edge"/>
              <c:yMode val="edge"/>
              <c:x val="1.6486738494632561E-2"/>
              <c:y val="0.1514570054158566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endParaRPr lang="th-TH"/>
          </a:p>
        </c:txPr>
        <c:crossAx val="638300271"/>
        <c:crosses val="max"/>
        <c:crossBetween val="between"/>
      </c:valAx>
      <c:spPr>
        <a:noFill/>
        <a:ln>
          <a:noFill/>
        </a:ln>
        <a:effectLst/>
      </c:spPr>
    </c:plotArea>
    <c:legend>
      <c:legendPos val="b"/>
      <c:layout>
        <c:manualLayout>
          <c:xMode val="edge"/>
          <c:yMode val="edge"/>
          <c:x val="0.40295935564679219"/>
          <c:y val="0.62587231553576872"/>
          <c:w val="0.1812683522070066"/>
          <c:h val="5.43620277963366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H Sarabun New" panose="020B0500040200020003" pitchFamily="34" charset="-34"/>
          <a:cs typeface="TH Sarabun New" panose="020B0500040200020003" pitchFamily="34" charset="-34"/>
        </a:defRPr>
      </a:pPr>
      <a:endParaRPr lang="th-TH"/>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r>
              <a:rPr lang="en-US"/>
              <a:t>KPI 7.4</a:t>
            </a:r>
            <a:r>
              <a:rPr lang="th-TH"/>
              <a:t>.</a:t>
            </a:r>
            <a:r>
              <a:rPr lang="en-US"/>
              <a:t>10 </a:t>
            </a:r>
            <a:r>
              <a:rPr lang="th-TH"/>
              <a:t>การบริการของศูนย์บางเรื่องได้รับการยกระดับเป็นหน่วยรับรองที่ใช้ได้ตามมาตรฐานในนามรัฐ </a:t>
            </a:r>
            <a:endParaRPr lang="en-US"/>
          </a:p>
        </c:rich>
      </c:tx>
      <c:layout>
        <c:manualLayout>
          <c:xMode val="edge"/>
          <c:yMode val="edge"/>
          <c:x val="0.13567674004436989"/>
          <c:y val="6.2992115569534698E-2"/>
        </c:manualLayout>
      </c:layout>
      <c:overlay val="0"/>
      <c:spPr>
        <a:noFill/>
        <a:ln>
          <a:noFill/>
        </a:ln>
        <a:effectLst/>
      </c:spPr>
      <c:txPr>
        <a:bodyPr rot="0" spcFirstLastPara="1" vertOverflow="ellipsis" vert="horz" wrap="square" anchor="ctr" anchorCtr="1"/>
        <a:lstStyle/>
        <a:p>
          <a:pPr>
            <a:defRPr sz="1680" b="1"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endParaRPr lang="en-US"/>
        </a:p>
      </c:txPr>
    </c:title>
    <c:autoTitleDeleted val="0"/>
    <c:plotArea>
      <c:layout>
        <c:manualLayout>
          <c:layoutTarget val="inner"/>
          <c:xMode val="edge"/>
          <c:yMode val="edge"/>
          <c:x val="0.19747467481062153"/>
          <c:y val="0.29491850374381484"/>
          <c:w val="0.77174533557569702"/>
          <c:h val="0.55559674200148934"/>
        </c:manualLayout>
      </c:layout>
      <c:barChart>
        <c:barDir val="col"/>
        <c:grouping val="clustered"/>
        <c:varyColors val="0"/>
        <c:ser>
          <c:idx val="1"/>
          <c:order val="1"/>
          <c:tx>
            <c:strRef>
              <c:f>'KPI 7.4-10'!$D$6</c:f>
              <c:strCache>
                <c:ptCount val="1"/>
                <c:pt idx="0">
                  <c:v>2565</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TH Sarabun New" panose="020B0500040200020003" pitchFamily="34" charset="-34"/>
                    <a:ea typeface="+mn-ea"/>
                    <a:cs typeface="TH Sarabun New" panose="020B0500040200020003" pitchFamily="34" charset="-34"/>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ln>
              <a:effectLst/>
            </c:spPr>
            <c:trendlineType val="exp"/>
            <c:dispRSqr val="0"/>
            <c:dispEq val="0"/>
          </c:trendline>
          <c:cat>
            <c:strRef>
              <c:extLst>
                <c:ext xmlns:c15="http://schemas.microsoft.com/office/drawing/2012/chart" uri="{02D57815-91ED-43cb-92C2-25804820EDAC}">
                  <c15:fullRef>
                    <c15:sqref>'KPI 7.4-10'!$B$6:$B$11</c15:sqref>
                  </c15:fullRef>
                </c:ext>
              </c:extLst>
              <c:f>'KPI 7.4-10'!$B$11</c:f>
              <c:strCache>
                <c:ptCount val="1"/>
                <c:pt idx="0">
                  <c:v>รวม</c:v>
                </c:pt>
              </c:strCache>
            </c:strRef>
          </c:cat>
          <c:val>
            <c:numRef>
              <c:extLst>
                <c:ext xmlns:c15="http://schemas.microsoft.com/office/drawing/2012/chart" uri="{02D57815-91ED-43cb-92C2-25804820EDAC}">
                  <c15:fullRef>
                    <c15:sqref>'KPI 7.4-10'!$D$6:$D$11</c15:sqref>
                  </c15:fullRef>
                </c:ext>
              </c:extLst>
              <c:f>'KPI 7.4-10'!$D$11</c:f>
              <c:numCache>
                <c:formatCode>General</c:formatCode>
                <c:ptCount val="1"/>
                <c:pt idx="0">
                  <c:v>1640</c:v>
                </c:pt>
              </c:numCache>
            </c:numRef>
          </c:val>
          <c:extLst>
            <c:ext xmlns:c16="http://schemas.microsoft.com/office/drawing/2014/chart" uri="{C3380CC4-5D6E-409C-BE32-E72D297353CC}">
              <c16:uniqueId val="{00000001-7CFC-4A00-AC58-3C53B4425854}"/>
            </c:ext>
          </c:extLst>
        </c:ser>
        <c:ser>
          <c:idx val="2"/>
          <c:order val="2"/>
          <c:tx>
            <c:strRef>
              <c:f>'KPI 7.4-10'!$E$6</c:f>
              <c:strCache>
                <c:ptCount val="1"/>
                <c:pt idx="0">
                  <c:v>2566</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TH Sarabun New" panose="020B0500040200020003" pitchFamily="34" charset="-34"/>
                    <a:ea typeface="+mn-ea"/>
                    <a:cs typeface="TH Sarabun New" panose="020B0500040200020003" pitchFamily="34" charset="-34"/>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'KPI 7.4-10'!$B$6:$B$11</c15:sqref>
                  </c15:fullRef>
                </c:ext>
              </c:extLst>
              <c:f>'KPI 7.4-10'!$B$11</c:f>
              <c:strCache>
                <c:ptCount val="1"/>
                <c:pt idx="0">
                  <c:v>รวม</c:v>
                </c:pt>
              </c:strCache>
            </c:strRef>
          </c:cat>
          <c:val>
            <c:numRef>
              <c:extLst>
                <c:ext xmlns:c15="http://schemas.microsoft.com/office/drawing/2012/chart" uri="{02D57815-91ED-43cb-92C2-25804820EDAC}">
                  <c15:fullRef>
                    <c15:sqref>'KPI 7.4-10'!$E$6:$E$11</c15:sqref>
                  </c15:fullRef>
                </c:ext>
              </c:extLst>
              <c:f>'KPI 7.4-10'!$E$11</c:f>
              <c:numCache>
                <c:formatCode>General</c:formatCode>
                <c:ptCount val="1"/>
                <c:pt idx="0">
                  <c:v>2217</c:v>
                </c:pt>
              </c:numCache>
            </c:numRef>
          </c:val>
          <c:extLst>
            <c:ext xmlns:c16="http://schemas.microsoft.com/office/drawing/2014/chart" uri="{C3380CC4-5D6E-409C-BE32-E72D297353CC}">
              <c16:uniqueId val="{00000002-7CFC-4A00-AC58-3C53B4425854}"/>
            </c:ext>
          </c:extLst>
        </c:ser>
        <c:ser>
          <c:idx val="3"/>
          <c:order val="3"/>
          <c:tx>
            <c:strRef>
              <c:f>'KPI 7.4-10'!$F$6</c:f>
              <c:strCache>
                <c:ptCount val="1"/>
                <c:pt idx="0">
                  <c:v>2567</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TH Sarabun New" panose="020B0500040200020003" pitchFamily="34" charset="-34"/>
                    <a:ea typeface="+mn-ea"/>
                    <a:cs typeface="TH Sarabun New" panose="020B0500040200020003" pitchFamily="34" charset="-34"/>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'KPI 7.4-10'!$B$6:$B$11</c15:sqref>
                  </c15:fullRef>
                </c:ext>
              </c:extLst>
              <c:f>'KPI 7.4-10'!$B$11</c:f>
              <c:strCache>
                <c:ptCount val="1"/>
                <c:pt idx="0">
                  <c:v>รวม</c:v>
                </c:pt>
              </c:strCache>
            </c:strRef>
          </c:cat>
          <c:val>
            <c:numRef>
              <c:extLst>
                <c:ext xmlns:c15="http://schemas.microsoft.com/office/drawing/2012/chart" uri="{02D57815-91ED-43cb-92C2-25804820EDAC}">
                  <c15:fullRef>
                    <c15:sqref>'KPI 7.4-10'!$F$6:$F$11</c15:sqref>
                  </c15:fullRef>
                </c:ext>
              </c:extLst>
              <c:f>'KPI 7.4-10'!$F$11</c:f>
              <c:numCache>
                <c:formatCode>General</c:formatCode>
                <c:ptCount val="1"/>
                <c:pt idx="0">
                  <c:v>2274</c:v>
                </c:pt>
              </c:numCache>
            </c:numRef>
          </c:val>
          <c:extLst>
            <c:ext xmlns:c16="http://schemas.microsoft.com/office/drawing/2014/chart" uri="{C3380CC4-5D6E-409C-BE32-E72D297353CC}">
              <c16:uniqueId val="{00000003-7CFC-4A00-AC58-3C53B4425854}"/>
            </c:ext>
          </c:extLst>
        </c:ser>
        <c:ser>
          <c:idx val="4"/>
          <c:order val="4"/>
          <c:tx>
            <c:strRef>
              <c:f>'KPI 7.4-10'!$G$6</c:f>
              <c:strCache>
                <c:ptCount val="1"/>
                <c:pt idx="0">
                  <c:v>2568</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TH Sarabun New" panose="020B0500040200020003" pitchFamily="34" charset="-34"/>
                    <a:ea typeface="+mn-ea"/>
                    <a:cs typeface="TH Sarabun New" panose="020B0500040200020003" pitchFamily="34" charset="-34"/>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5"/>
                </a:solidFill>
              </a:ln>
              <a:effectLst/>
            </c:spPr>
            <c:trendlineType val="linear"/>
            <c:dispRSqr val="0"/>
            <c:dispEq val="0"/>
          </c:trendline>
          <c:trendline>
            <c:spPr>
              <a:ln w="19050" cap="rnd">
                <a:solidFill>
                  <a:schemeClr val="accent5"/>
                </a:solidFill>
              </a:ln>
              <a:effectLst/>
            </c:spPr>
            <c:trendlineType val="linear"/>
            <c:forward val="2"/>
            <c:dispRSqr val="0"/>
            <c:dispEq val="0"/>
          </c:trendline>
          <c:cat>
            <c:strRef>
              <c:extLst>
                <c:ext xmlns:c15="http://schemas.microsoft.com/office/drawing/2012/chart" uri="{02D57815-91ED-43cb-92C2-25804820EDAC}">
                  <c15:fullRef>
                    <c15:sqref>'KPI 7.4-10'!$B$6:$B$11</c15:sqref>
                  </c15:fullRef>
                </c:ext>
              </c:extLst>
              <c:f>'KPI 7.4-10'!$B$11</c:f>
              <c:strCache>
                <c:ptCount val="1"/>
                <c:pt idx="0">
                  <c:v>รวม</c:v>
                </c:pt>
              </c:strCache>
            </c:strRef>
          </c:cat>
          <c:val>
            <c:numRef>
              <c:extLst>
                <c:ext xmlns:c15="http://schemas.microsoft.com/office/drawing/2012/chart" uri="{02D57815-91ED-43cb-92C2-25804820EDAC}">
                  <c15:fullRef>
                    <c15:sqref>'KPI 7.4-10'!$G$6:$G$11</c15:sqref>
                  </c15:fullRef>
                </c:ext>
              </c:extLst>
              <c:f>'KPI 7.4-10'!$G$11</c:f>
              <c:numCache>
                <c:formatCode>General</c:formatCode>
                <c:ptCount val="1"/>
                <c:pt idx="0">
                  <c:v>2465</c:v>
                </c:pt>
              </c:numCache>
            </c:numRef>
          </c:val>
          <c:extLst>
            <c:ext xmlns:c16="http://schemas.microsoft.com/office/drawing/2014/chart" uri="{C3380CC4-5D6E-409C-BE32-E72D297353CC}">
              <c16:uniqueId val="{00000004-7CFC-4A00-AC58-3C53B4425854}"/>
            </c:ext>
          </c:extLst>
        </c:ser>
        <c:dLbls>
          <c:dLblPos val="outEnd"/>
          <c:showLegendKey val="0"/>
          <c:showVal val="1"/>
          <c:showCatName val="0"/>
          <c:showSerName val="0"/>
          <c:showPercent val="0"/>
          <c:showBubbleSize val="0"/>
        </c:dLbls>
        <c:gapWidth val="100"/>
        <c:overlap val="-24"/>
        <c:axId val="367423567"/>
        <c:axId val="367424527"/>
        <c:extLst>
          <c:ext xmlns:c15="http://schemas.microsoft.com/office/drawing/2012/chart" uri="{02D57815-91ED-43cb-92C2-25804820EDAC}">
            <c15:filteredBarSeries>
              <c15:ser>
                <c:idx val="0"/>
                <c:order val="0"/>
                <c:tx>
                  <c:strRef>
                    <c:extLst>
                      <c:ext uri="{02D57815-91ED-43cb-92C2-25804820EDAC}">
                        <c15:formulaRef>
                          <c15:sqref>'KPI 7.4-10'!$C$6</c15:sqref>
                        </c15:formulaRef>
                      </c:ext>
                    </c:extLst>
                    <c:strCache>
                      <c:ptCount val="1"/>
                      <c:pt idx="0">
                        <c:v>ชื่องานบริการที่ตรวจรับรอง</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H Sarabun New" panose="020B0500040200020003" pitchFamily="34" charset="-34"/>
                          <a:ea typeface="+mn-ea"/>
                          <a:cs typeface="TH Sarabun New" panose="020B0500040200020003" pitchFamily="34" charset="-34"/>
                        </a:defRPr>
                      </a:pPr>
                      <a:endParaRPr lang="th-TH"/>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'KPI 7.4-10'!$B$6:$B$11</c15:sqref>
                        </c15:fullRef>
                        <c15:formulaRef>
                          <c15:sqref>'KPI 7.4-10'!$B$11</c15:sqref>
                        </c15:formulaRef>
                      </c:ext>
                    </c:extLst>
                    <c:strCache>
                      <c:ptCount val="1"/>
                      <c:pt idx="0">
                        <c:v>รวม</c:v>
                      </c:pt>
                    </c:strCache>
                  </c:strRef>
                </c:cat>
                <c:val>
                  <c:numRef>
                    <c:extLst>
                      <c:ext uri="{02D57815-91ED-43cb-92C2-25804820EDAC}">
                        <c15:fullRef>
                          <c15:sqref>'KPI 7.4-10'!$C$6:$C$11</c15:sqref>
                        </c15:fullRef>
                        <c15:formulaRef>
                          <c15:sqref>'KPI 7.4-10'!$C$11</c15:sqref>
                        </c15:formulaRef>
                      </c:ext>
                    </c:extLst>
                    <c:numCache>
                      <c:formatCode>General</c:formatCode>
                      <c:ptCount val="1"/>
                    </c:numCache>
                  </c:numRef>
                </c:val>
                <c:extLst>
                  <c:ext xmlns:c16="http://schemas.microsoft.com/office/drawing/2014/chart" uri="{C3380CC4-5D6E-409C-BE32-E72D297353CC}">
                    <c16:uniqueId val="{00000000-7CFC-4A00-AC58-3C53B4425854}"/>
                  </c:ext>
                </c:extLst>
              </c15:ser>
            </c15:filteredBarSeries>
          </c:ext>
        </c:extLst>
      </c:barChart>
      <c:catAx>
        <c:axId val="367423567"/>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r>
                  <a:rPr lang="th-TH"/>
                  <a:t>ปีงบประมาณ</a:t>
                </a:r>
                <a:endParaRPr lang="en-US"/>
              </a:p>
            </c:rich>
          </c:tx>
          <c:layout>
            <c:manualLayout>
              <c:xMode val="edge"/>
              <c:yMode val="edge"/>
              <c:x val="0.81335075990440364"/>
              <c:y val="0.8883105150870249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endParaRPr lang="en-US"/>
          </a:p>
        </c:txPr>
        <c:crossAx val="367424527"/>
        <c:crosses val="autoZero"/>
        <c:auto val="1"/>
        <c:lblAlgn val="ctr"/>
        <c:lblOffset val="100"/>
        <c:noMultiLvlLbl val="0"/>
      </c:catAx>
      <c:valAx>
        <c:axId val="367424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r>
                  <a:rPr lang="th-TH"/>
                  <a:t>จำนวนการส่งตัวอย่าง</a:t>
                </a:r>
                <a:endParaRPr lang="en-US"/>
              </a:p>
            </c:rich>
          </c:tx>
          <c:layout>
            <c:manualLayout>
              <c:xMode val="edge"/>
              <c:yMode val="edge"/>
              <c:x val="7.574509437677919E-2"/>
              <c:y val="0.40676890377611807"/>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endParaRPr lang="th-TH"/>
          </a:p>
        </c:txPr>
        <c:crossAx val="36742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latin typeface="TH Sarabun New" panose="020B0500040200020003" pitchFamily="34" charset="-34"/>
          <a:cs typeface="TH Sarabun New" panose="020B0500040200020003" pitchFamily="34" charset="-34"/>
        </a:defRPr>
      </a:pPr>
      <a:endParaRPr lang="th-TH"/>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r>
              <a:rPr lang="en-US" sz="1400"/>
              <a:t>KPI 7.4</a:t>
            </a:r>
            <a:r>
              <a:rPr lang="th-TH" sz="1400"/>
              <a:t>.</a:t>
            </a:r>
            <a:r>
              <a:rPr lang="en-US" sz="1400"/>
              <a:t>11 </a:t>
            </a:r>
            <a:r>
              <a:rPr lang="th-TH" sz="1400"/>
              <a:t>มีผลการตรวจสอบภายใน และตรวจสอบจากมหาวิทยาลัย ในด้านการบริหารตามหลักธรรมาภิบาล</a:t>
            </a:r>
            <a:endParaRPr lang="en-US" sz="1400"/>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autoTitleDeleted val="0"/>
    <c:plotArea>
      <c:layout>
        <c:manualLayout>
          <c:layoutTarget val="inner"/>
          <c:xMode val="edge"/>
          <c:yMode val="edge"/>
          <c:x val="0.12081230329216869"/>
          <c:y val="0.28466129960695791"/>
          <c:w val="0.7831276336700943"/>
          <c:h val="0.51663516173698576"/>
        </c:manualLayout>
      </c:layout>
      <c:barChart>
        <c:barDir val="col"/>
        <c:grouping val="clustered"/>
        <c:varyColors val="0"/>
        <c:ser>
          <c:idx val="0"/>
          <c:order val="0"/>
          <c:tx>
            <c:strRef>
              <c:f>'KPI 7.4.11'!$C$5</c:f>
              <c:strCache>
                <c:ptCount val="1"/>
                <c:pt idx="0">
                  <c:v> คะแนนเฉลี่ยปี 2560-2563</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Angsana New" panose="02020603050405020304" pitchFamily="18" charset="-34"/>
                    <a:ea typeface="+mn-ea"/>
                    <a:cs typeface="Angsana New" panose="02020603050405020304" pitchFamily="18" charset="-34"/>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'KPI 7.4.11'!$B$6:$B$9</c15:sqref>
                  </c15:fullRef>
                </c:ext>
              </c:extLst>
              <c:f>'KPI 7.4.11'!$B$6:$B$8</c:f>
              <c:strCache>
                <c:ptCount val="3"/>
                <c:pt idx="0">
                  <c:v>หลักการตอบสนอง </c:v>
                </c:pt>
                <c:pt idx="1">
                  <c:v>หลักภาระความรับผิดชอบ </c:v>
                </c:pt>
                <c:pt idx="2">
                  <c:v>หลักความโปร่งใส</c:v>
                </c:pt>
              </c:strCache>
            </c:strRef>
          </c:cat>
          <c:val>
            <c:numRef>
              <c:extLst>
                <c:ext xmlns:c15="http://schemas.microsoft.com/office/drawing/2012/chart" uri="{02D57815-91ED-43cb-92C2-25804820EDAC}">
                  <c15:fullRef>
                    <c15:sqref>'KPI 7.4.11'!$C$6:$C$9</c15:sqref>
                  </c15:fullRef>
                </c:ext>
              </c:extLst>
              <c:f>'KPI 7.4.11'!$C$6:$C$8</c:f>
              <c:numCache>
                <c:formatCode>General</c:formatCode>
                <c:ptCount val="3"/>
                <c:pt idx="0">
                  <c:v>4.1399999999999997</c:v>
                </c:pt>
                <c:pt idx="1">
                  <c:v>4.2300000000000004</c:v>
                </c:pt>
                <c:pt idx="2">
                  <c:v>4.16</c:v>
                </c:pt>
              </c:numCache>
            </c:numRef>
          </c:val>
          <c:extLst>
            <c:ext xmlns:c16="http://schemas.microsoft.com/office/drawing/2014/chart" uri="{C3380CC4-5D6E-409C-BE32-E72D297353CC}">
              <c16:uniqueId val="{00000000-7B62-48EC-A89F-013B7FA5E6C2}"/>
            </c:ext>
          </c:extLst>
        </c:ser>
        <c:ser>
          <c:idx val="1"/>
          <c:order val="1"/>
          <c:tx>
            <c:strRef>
              <c:f>'KPI 7.4.11'!$D$5</c:f>
              <c:strCache>
                <c:ptCount val="1"/>
                <c:pt idx="0">
                  <c:v> คะแนนเฉลี่ยปี 2564-2566</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Angsana New" panose="02020603050405020304" pitchFamily="18" charset="-34"/>
                    <a:ea typeface="+mn-ea"/>
                    <a:cs typeface="Angsana New" panose="02020603050405020304" pitchFamily="18" charset="-34"/>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'KPI 7.4.11'!$B$6:$B$9</c15:sqref>
                  </c15:fullRef>
                </c:ext>
              </c:extLst>
              <c:f>'KPI 7.4.11'!$B$6:$B$8</c:f>
              <c:strCache>
                <c:ptCount val="3"/>
                <c:pt idx="0">
                  <c:v>หลักการตอบสนอง </c:v>
                </c:pt>
                <c:pt idx="1">
                  <c:v>หลักภาระความรับผิดชอบ </c:v>
                </c:pt>
                <c:pt idx="2">
                  <c:v>หลักความโปร่งใส</c:v>
                </c:pt>
              </c:strCache>
            </c:strRef>
          </c:cat>
          <c:val>
            <c:numRef>
              <c:extLst>
                <c:ext xmlns:c15="http://schemas.microsoft.com/office/drawing/2012/chart" uri="{02D57815-91ED-43cb-92C2-25804820EDAC}">
                  <c15:fullRef>
                    <c15:sqref>'KPI 7.4.11'!$D$6:$D$9</c15:sqref>
                  </c15:fullRef>
                </c:ext>
              </c:extLst>
              <c:f>'KPI 7.4.11'!$D$6:$D$8</c:f>
              <c:numCache>
                <c:formatCode>General</c:formatCode>
                <c:ptCount val="3"/>
                <c:pt idx="0">
                  <c:v>3.99</c:v>
                </c:pt>
                <c:pt idx="1">
                  <c:v>4.07</c:v>
                </c:pt>
                <c:pt idx="2">
                  <c:v>4.0199999999999996</c:v>
                </c:pt>
              </c:numCache>
            </c:numRef>
          </c:val>
          <c:extLst>
            <c:ext xmlns:c16="http://schemas.microsoft.com/office/drawing/2014/chart" uri="{C3380CC4-5D6E-409C-BE32-E72D297353CC}">
              <c16:uniqueId val="{00000001-7B62-48EC-A89F-013B7FA5E6C2}"/>
            </c:ext>
          </c:extLst>
        </c:ser>
        <c:ser>
          <c:idx val="2"/>
          <c:order val="2"/>
          <c:tx>
            <c:strRef>
              <c:f>'KPI 7.4.11'!$E$5</c:f>
              <c:strCache>
                <c:ptCount val="1"/>
                <c:pt idx="0">
                  <c:v> คะแนนเฉลี่ยปี 2564-2567</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Angsana New" panose="02020603050405020304" pitchFamily="18" charset="-34"/>
                    <a:ea typeface="+mn-ea"/>
                    <a:cs typeface="Angsana New" panose="02020603050405020304" pitchFamily="18" charset="-34"/>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'KPI 7.4.11'!$B$6:$B$9</c15:sqref>
                  </c15:fullRef>
                </c:ext>
              </c:extLst>
              <c:f>'KPI 7.4.11'!$B$6:$B$8</c:f>
              <c:strCache>
                <c:ptCount val="3"/>
                <c:pt idx="0">
                  <c:v>หลักการตอบสนอง </c:v>
                </c:pt>
                <c:pt idx="1">
                  <c:v>หลักภาระความรับผิดชอบ </c:v>
                </c:pt>
                <c:pt idx="2">
                  <c:v>หลักความโปร่งใส</c:v>
                </c:pt>
              </c:strCache>
            </c:strRef>
          </c:cat>
          <c:val>
            <c:numRef>
              <c:extLst>
                <c:ext xmlns:c15="http://schemas.microsoft.com/office/drawing/2012/chart" uri="{02D57815-91ED-43cb-92C2-25804820EDAC}">
                  <c15:fullRef>
                    <c15:sqref>'KPI 7.4.11'!$E$6:$E$9</c15:sqref>
                  </c15:fullRef>
                </c:ext>
              </c:extLst>
              <c:f>'KPI 7.4.11'!$E$6:$E$8</c:f>
              <c:numCache>
                <c:formatCode>General</c:formatCode>
                <c:ptCount val="3"/>
                <c:pt idx="0">
                  <c:v>3.49</c:v>
                </c:pt>
                <c:pt idx="1">
                  <c:v>3.57</c:v>
                </c:pt>
                <c:pt idx="2">
                  <c:v>3.53</c:v>
                </c:pt>
              </c:numCache>
            </c:numRef>
          </c:val>
          <c:extLst>
            <c:ext xmlns:c16="http://schemas.microsoft.com/office/drawing/2014/chart" uri="{C3380CC4-5D6E-409C-BE32-E72D297353CC}">
              <c16:uniqueId val="{00000002-7B62-48EC-A89F-013B7FA5E6C2}"/>
            </c:ext>
          </c:extLst>
        </c:ser>
        <c:dLbls>
          <c:dLblPos val="outEnd"/>
          <c:showLegendKey val="0"/>
          <c:showVal val="1"/>
          <c:showCatName val="0"/>
          <c:showSerName val="0"/>
          <c:showPercent val="0"/>
          <c:showBubbleSize val="0"/>
        </c:dLbls>
        <c:gapWidth val="109"/>
        <c:overlap val="-10"/>
        <c:axId val="638303631"/>
        <c:axId val="638304111"/>
      </c:barChart>
      <c:lineChart>
        <c:grouping val="standard"/>
        <c:varyColors val="0"/>
        <c:ser>
          <c:idx val="3"/>
          <c:order val="3"/>
          <c:spPr>
            <a:ln w="28575" cap="rnd">
              <a:solidFill>
                <a:srgbClr val="C00000"/>
              </a:solidFill>
              <a:prstDash val="sys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7-7B62-48EC-A89F-013B7FA5E6C2}"/>
                </c:ext>
              </c:extLst>
            </c:dLbl>
            <c:dLbl>
              <c:idx val="1"/>
              <c:delete val="1"/>
              <c:extLst>
                <c:ext xmlns:c15="http://schemas.microsoft.com/office/drawing/2012/chart" uri="{CE6537A1-D6FC-4f65-9D91-7224C49458BB}"/>
                <c:ext xmlns:c16="http://schemas.microsoft.com/office/drawing/2014/chart" uri="{C3380CC4-5D6E-409C-BE32-E72D297353CC}">
                  <c16:uniqueId val="{00000006-7B62-48EC-A89F-013B7FA5E6C2}"/>
                </c:ext>
              </c:extLst>
            </c:dLbl>
            <c:dLbl>
              <c:idx val="2"/>
              <c:numFmt formatCode="&quot;เป้าหมาย=&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showLegendKey val="0"/>
              <c:showVal val="1"/>
              <c:showCatName val="0"/>
              <c:showSerName val="0"/>
              <c:showPercent val="0"/>
              <c:showBubbleSize val="0"/>
              <c:extLst>
                <c:ext xmlns:c16="http://schemas.microsoft.com/office/drawing/2014/chart" uri="{C3380CC4-5D6E-409C-BE32-E72D297353CC}">
                  <c16:uniqueId val="{00000005-7B62-48EC-A89F-013B7FA5E6C2}"/>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'KPI 7.4.11'!$B$6:$B$9</c15:sqref>
                  </c15:fullRef>
                </c:ext>
              </c:extLst>
              <c:f>'KPI 7.4.11'!$B$6:$B$8</c:f>
              <c:strCache>
                <c:ptCount val="3"/>
                <c:pt idx="0">
                  <c:v>หลักการตอบสนอง </c:v>
                </c:pt>
                <c:pt idx="1">
                  <c:v>หลักภาระความรับผิดชอบ </c:v>
                </c:pt>
                <c:pt idx="2">
                  <c:v>หลักความโปร่งใส</c:v>
                </c:pt>
              </c:strCache>
            </c:strRef>
          </c:cat>
          <c:val>
            <c:numRef>
              <c:extLst>
                <c:ext xmlns:c15="http://schemas.microsoft.com/office/drawing/2012/chart" uri="{02D57815-91ED-43cb-92C2-25804820EDAC}">
                  <c15:fullRef>
                    <c15:sqref>'KPI 7.4.11'!$F$6:$F$9</c15:sqref>
                  </c15:fullRef>
                </c:ext>
              </c:extLst>
              <c:f>'KPI 7.4.11'!$F$6:$F$8</c:f>
              <c:numCache>
                <c:formatCode>General</c:formatCode>
                <c:ptCount val="3"/>
                <c:pt idx="0">
                  <c:v>5</c:v>
                </c:pt>
                <c:pt idx="1">
                  <c:v>5</c:v>
                </c:pt>
                <c:pt idx="2">
                  <c:v>5</c:v>
                </c:pt>
              </c:numCache>
            </c:numRef>
          </c:val>
          <c:smooth val="0"/>
          <c:extLst>
            <c:ext xmlns:c16="http://schemas.microsoft.com/office/drawing/2014/chart" uri="{C3380CC4-5D6E-409C-BE32-E72D297353CC}">
              <c16:uniqueId val="{00000004-7B62-48EC-A89F-013B7FA5E6C2}"/>
            </c:ext>
          </c:extLst>
        </c:ser>
        <c:dLbls>
          <c:showLegendKey val="0"/>
          <c:showVal val="0"/>
          <c:showCatName val="0"/>
          <c:showSerName val="0"/>
          <c:showPercent val="0"/>
          <c:showBubbleSize val="0"/>
        </c:dLbls>
        <c:marker val="1"/>
        <c:smooth val="0"/>
        <c:axId val="644160655"/>
        <c:axId val="644158255"/>
      </c:lineChart>
      <c:catAx>
        <c:axId val="6383036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r>
                  <a:rPr lang="th-TH"/>
                  <a:t>ประเภท</a:t>
                </a:r>
                <a:endParaRPr lang="en-US"/>
              </a:p>
            </c:rich>
          </c:tx>
          <c:layout>
            <c:manualLayout>
              <c:xMode val="edge"/>
              <c:yMode val="edge"/>
              <c:x val="0.92710911639899052"/>
              <c:y val="0.72542742030626206"/>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crossAx val="638304111"/>
        <c:crosses val="autoZero"/>
        <c:auto val="1"/>
        <c:lblAlgn val="ctr"/>
        <c:lblOffset val="100"/>
        <c:noMultiLvlLbl val="0"/>
      </c:catAx>
      <c:valAx>
        <c:axId val="638304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r>
                  <a:rPr lang="th-TH"/>
                  <a:t>(ร้อยละ)</a:t>
                </a:r>
                <a:endParaRPr lang="en-US"/>
              </a:p>
            </c:rich>
          </c:tx>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crossAx val="638303631"/>
        <c:crosses val="autoZero"/>
        <c:crossBetween val="between"/>
      </c:valAx>
      <c:valAx>
        <c:axId val="644158255"/>
        <c:scaling>
          <c:orientation val="minMax"/>
          <c:max val="5"/>
        </c:scaling>
        <c:delete val="1"/>
        <c:axPos val="r"/>
        <c:numFmt formatCode="General" sourceLinked="1"/>
        <c:majorTickMark val="out"/>
        <c:minorTickMark val="none"/>
        <c:tickLblPos val="nextTo"/>
        <c:crossAx val="644160655"/>
        <c:crosses val="max"/>
        <c:crossBetween val="midCat"/>
      </c:valAx>
      <c:catAx>
        <c:axId val="644160655"/>
        <c:scaling>
          <c:orientation val="minMax"/>
        </c:scaling>
        <c:delete val="0"/>
        <c:axPos val="t"/>
        <c:numFmt formatCode="General" sourceLinked="1"/>
        <c:majorTickMark val="out"/>
        <c:minorTickMark val="none"/>
        <c:tickLblPos val="none"/>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crossAx val="644158255"/>
        <c:crosses val="max"/>
        <c:auto val="1"/>
        <c:lblAlgn val="ctr"/>
        <c:lblOffset val="100"/>
        <c:noMultiLvlLbl val="0"/>
      </c:catAx>
      <c:spPr>
        <a:noFill/>
        <a:ln>
          <a:noFill/>
        </a:ln>
        <a:effectLst/>
      </c:spPr>
    </c:plotArea>
    <c:legend>
      <c:legendPos val="b"/>
      <c:legendEntry>
        <c:idx val="3"/>
        <c:delete val="1"/>
      </c:legendEntry>
      <c:layout>
        <c:manualLayout>
          <c:xMode val="edge"/>
          <c:yMode val="edge"/>
          <c:x val="0.10000009978385392"/>
          <c:y val="0.14760966603000361"/>
          <c:w val="0.75399131851961243"/>
          <c:h val="8.5174550971587548E-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400" b="1">
          <a:solidFill>
            <a:sysClr val="windowText" lastClr="000000"/>
          </a:solidFill>
          <a:latin typeface="Angsana New" panose="02020603050405020304" pitchFamily="18" charset="-34"/>
          <a:cs typeface="Angsana New" panose="02020603050405020304" pitchFamily="18" charset="-34"/>
        </a:defRPr>
      </a:pPr>
      <a:endParaRPr lang="th-TH"/>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r>
              <a:rPr lang="en-US" sz="1400"/>
              <a:t>KPI 7.4</a:t>
            </a:r>
            <a:r>
              <a:rPr lang="th-TH" sz="1400"/>
              <a:t>.</a:t>
            </a:r>
            <a:r>
              <a:rPr lang="en-US" sz="1400"/>
              <a:t>11 </a:t>
            </a:r>
            <a:r>
              <a:rPr lang="th-TH" sz="1400"/>
              <a:t>มีผลการตรวจสอบภายใน และตรวจสอบจากมหาวิทยาลัย ในด้านการบริหารตามหลักธรรมาภิบาล</a:t>
            </a:r>
            <a:endParaRPr lang="en-US" sz="1400"/>
          </a:p>
        </c:rich>
      </c:tx>
      <c:layout>
        <c:manualLayout>
          <c:xMode val="edge"/>
          <c:yMode val="edge"/>
          <c:x val="0.10526643054148145"/>
          <c:y val="0.0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autoTitleDeleted val="0"/>
    <c:plotArea>
      <c:layout>
        <c:manualLayout>
          <c:layoutTarget val="inner"/>
          <c:xMode val="edge"/>
          <c:yMode val="edge"/>
          <c:x val="0.12081230329216869"/>
          <c:y val="0.28466129960695791"/>
          <c:w val="0.7368848303844624"/>
          <c:h val="0.51663516173698576"/>
        </c:manualLayout>
      </c:layout>
      <c:barChart>
        <c:barDir val="col"/>
        <c:grouping val="clustered"/>
        <c:varyColors val="0"/>
        <c:ser>
          <c:idx val="0"/>
          <c:order val="0"/>
          <c:tx>
            <c:strRef>
              <c:f>'KPI 7.4.11'!$C$5</c:f>
              <c:strCache>
                <c:ptCount val="1"/>
                <c:pt idx="0">
                  <c:v> คะแนนเฉลี่ยปี 2560-2563</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Angsana New" panose="02020603050405020304" pitchFamily="18" charset="-34"/>
                    <a:ea typeface="+mn-ea"/>
                    <a:cs typeface="Angsana New" panose="02020603050405020304" pitchFamily="18" charset="-34"/>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'KPI 7.4.11'!$B$6:$B$9</c15:sqref>
                  </c15:fullRef>
                </c:ext>
              </c:extLst>
              <c:f>'KPI 7.4.11'!$B$9</c:f>
              <c:strCache>
                <c:ptCount val="1"/>
                <c:pt idx="0">
                  <c:v>คะแนนเฉลี่ยรวมทั้ง 3 ประเด็น</c:v>
                </c:pt>
              </c:strCache>
            </c:strRef>
          </c:cat>
          <c:val>
            <c:numRef>
              <c:extLst>
                <c:ext xmlns:c15="http://schemas.microsoft.com/office/drawing/2012/chart" uri="{02D57815-91ED-43cb-92C2-25804820EDAC}">
                  <c15:fullRef>
                    <c15:sqref>'KPI 7.4.11'!$C$6:$C$9</c15:sqref>
                  </c15:fullRef>
                </c:ext>
              </c:extLst>
              <c:f>'KPI 7.4.11'!$C$9</c:f>
              <c:numCache>
                <c:formatCode>General</c:formatCode>
                <c:ptCount val="1"/>
                <c:pt idx="0" formatCode="0.00">
                  <c:v>4.1766666666666667</c:v>
                </c:pt>
              </c:numCache>
            </c:numRef>
          </c:val>
          <c:extLst>
            <c:ext xmlns:c16="http://schemas.microsoft.com/office/drawing/2014/chart" uri="{C3380CC4-5D6E-409C-BE32-E72D297353CC}">
              <c16:uniqueId val="{00000000-94FD-4CDF-9AE0-7848935DE51A}"/>
            </c:ext>
          </c:extLst>
        </c:ser>
        <c:ser>
          <c:idx val="1"/>
          <c:order val="1"/>
          <c:tx>
            <c:strRef>
              <c:f>'KPI 7.4.11'!$D$5</c:f>
              <c:strCache>
                <c:ptCount val="1"/>
                <c:pt idx="0">
                  <c:v> คะแนนเฉลี่ยปี 2564-2566</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Angsana New" panose="02020603050405020304" pitchFamily="18" charset="-34"/>
                    <a:ea typeface="+mn-ea"/>
                    <a:cs typeface="Angsana New" panose="02020603050405020304" pitchFamily="18" charset="-34"/>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'KPI 7.4.11'!$B$6:$B$9</c15:sqref>
                  </c15:fullRef>
                </c:ext>
              </c:extLst>
              <c:f>'KPI 7.4.11'!$B$9</c:f>
              <c:strCache>
                <c:ptCount val="1"/>
                <c:pt idx="0">
                  <c:v>คะแนนเฉลี่ยรวมทั้ง 3 ประเด็น</c:v>
                </c:pt>
              </c:strCache>
            </c:strRef>
          </c:cat>
          <c:val>
            <c:numRef>
              <c:extLst>
                <c:ext xmlns:c15="http://schemas.microsoft.com/office/drawing/2012/chart" uri="{02D57815-91ED-43cb-92C2-25804820EDAC}">
                  <c15:fullRef>
                    <c15:sqref>'KPI 7.4.11'!$D$6:$D$9</c15:sqref>
                  </c15:fullRef>
                </c:ext>
              </c:extLst>
              <c:f>'KPI 7.4.11'!$D$9</c:f>
              <c:numCache>
                <c:formatCode>General</c:formatCode>
                <c:ptCount val="1"/>
                <c:pt idx="0" formatCode="0.00">
                  <c:v>4.0266666666666664</c:v>
                </c:pt>
              </c:numCache>
            </c:numRef>
          </c:val>
          <c:extLst>
            <c:ext xmlns:c16="http://schemas.microsoft.com/office/drawing/2014/chart" uri="{C3380CC4-5D6E-409C-BE32-E72D297353CC}">
              <c16:uniqueId val="{00000001-94FD-4CDF-9AE0-7848935DE51A}"/>
            </c:ext>
          </c:extLst>
        </c:ser>
        <c:ser>
          <c:idx val="2"/>
          <c:order val="2"/>
          <c:tx>
            <c:strRef>
              <c:f>'KPI 7.4.11'!$E$5</c:f>
              <c:strCache>
                <c:ptCount val="1"/>
                <c:pt idx="0">
                  <c:v> คะแนนเฉลี่ยปี 2564-2567</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Angsana New" panose="02020603050405020304" pitchFamily="18" charset="-34"/>
                    <a:ea typeface="+mn-ea"/>
                    <a:cs typeface="Angsana New" panose="02020603050405020304" pitchFamily="18" charset="-34"/>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'KPI 7.4.11'!$B$6:$B$9</c15:sqref>
                  </c15:fullRef>
                </c:ext>
              </c:extLst>
              <c:f>'KPI 7.4.11'!$B$9</c:f>
              <c:strCache>
                <c:ptCount val="1"/>
                <c:pt idx="0">
                  <c:v>คะแนนเฉลี่ยรวมทั้ง 3 ประเด็น</c:v>
                </c:pt>
              </c:strCache>
            </c:strRef>
          </c:cat>
          <c:val>
            <c:numRef>
              <c:extLst>
                <c:ext xmlns:c15="http://schemas.microsoft.com/office/drawing/2012/chart" uri="{02D57815-91ED-43cb-92C2-25804820EDAC}">
                  <c15:fullRef>
                    <c15:sqref>'KPI 7.4.11'!$E$6:$E$9</c15:sqref>
                  </c15:fullRef>
                </c:ext>
              </c:extLst>
              <c:f>'KPI 7.4.11'!$E$9</c:f>
              <c:numCache>
                <c:formatCode>General</c:formatCode>
                <c:ptCount val="1"/>
                <c:pt idx="0" formatCode="0.00">
                  <c:v>3.53</c:v>
                </c:pt>
              </c:numCache>
            </c:numRef>
          </c:val>
          <c:extLst>
            <c:ext xmlns:c16="http://schemas.microsoft.com/office/drawing/2014/chart" uri="{C3380CC4-5D6E-409C-BE32-E72D297353CC}">
              <c16:uniqueId val="{00000002-94FD-4CDF-9AE0-7848935DE51A}"/>
            </c:ext>
          </c:extLst>
        </c:ser>
        <c:dLbls>
          <c:dLblPos val="outEnd"/>
          <c:showLegendKey val="0"/>
          <c:showVal val="1"/>
          <c:showCatName val="0"/>
          <c:showSerName val="0"/>
          <c:showPercent val="0"/>
          <c:showBubbleSize val="0"/>
        </c:dLbls>
        <c:gapWidth val="198"/>
        <c:overlap val="-10"/>
        <c:axId val="638303631"/>
        <c:axId val="638304111"/>
      </c:barChart>
      <c:lineChart>
        <c:grouping val="standard"/>
        <c:varyColors val="0"/>
        <c:ser>
          <c:idx val="3"/>
          <c:order val="3"/>
          <c:spPr>
            <a:ln w="28575" cap="rnd">
              <a:solidFill>
                <a:srgbClr val="C00000"/>
              </a:solidFill>
              <a:prstDash val="sys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3-94FD-4CDF-9AE0-7848935DE51A}"/>
                </c:ext>
              </c:extLst>
            </c:dLbl>
            <c:dLbl>
              <c:idx val="1"/>
              <c:delete val="1"/>
              <c:extLst>
                <c:ext xmlns:c15="http://schemas.microsoft.com/office/drawing/2012/chart" uri="{CE6537A1-D6FC-4f65-9D91-7224C49458BB}"/>
                <c:ext xmlns:c16="http://schemas.microsoft.com/office/drawing/2014/chart" uri="{C3380CC4-5D6E-409C-BE32-E72D297353CC}">
                  <c16:uniqueId val="{00000004-94FD-4CDF-9AE0-7848935DE51A}"/>
                </c:ext>
              </c:extLst>
            </c:dLbl>
            <c:dLbl>
              <c:idx val="2"/>
              <c:numFmt formatCode="&quot;เป้าหมาย=&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showLegendKey val="0"/>
              <c:showVal val="1"/>
              <c:showCatName val="0"/>
              <c:showSerName val="0"/>
              <c:showPercent val="0"/>
              <c:showBubbleSize val="0"/>
              <c:extLst>
                <c:ext xmlns:c16="http://schemas.microsoft.com/office/drawing/2014/chart" uri="{C3380CC4-5D6E-409C-BE32-E72D297353CC}">
                  <c16:uniqueId val="{00000005-94FD-4CDF-9AE0-7848935DE51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'KPI 7.4.11'!$B$6:$B$9</c15:sqref>
                  </c15:fullRef>
                </c:ext>
              </c:extLst>
              <c:f>'KPI 7.4.11'!$B$6:$B$8</c:f>
              <c:strCache>
                <c:ptCount val="3"/>
                <c:pt idx="0">
                  <c:v>หลักการตอบสนอง </c:v>
                </c:pt>
                <c:pt idx="1">
                  <c:v>หลักภาระความรับผิดชอบ </c:v>
                </c:pt>
                <c:pt idx="2">
                  <c:v>หลักความโปร่งใส</c:v>
                </c:pt>
              </c:strCache>
            </c:strRef>
          </c:cat>
          <c:val>
            <c:numRef>
              <c:extLst>
                <c:ext xmlns:c15="http://schemas.microsoft.com/office/drawing/2012/chart" uri="{02D57815-91ED-43cb-92C2-25804820EDAC}">
                  <c15:fullRef>
                    <c15:sqref>'KPI 7.4.11'!$F$6:$F$9</c15:sqref>
                  </c15:fullRef>
                </c:ext>
              </c:extLst>
              <c:f>'KPI 7.4.11'!$F$6:$F$8</c:f>
              <c:numCache>
                <c:formatCode>General</c:formatCode>
                <c:ptCount val="3"/>
                <c:pt idx="0">
                  <c:v>5</c:v>
                </c:pt>
                <c:pt idx="1">
                  <c:v>5</c:v>
                </c:pt>
                <c:pt idx="2">
                  <c:v>5</c:v>
                </c:pt>
              </c:numCache>
            </c:numRef>
          </c:val>
          <c:smooth val="0"/>
          <c:extLst>
            <c:ext xmlns:c16="http://schemas.microsoft.com/office/drawing/2014/chart" uri="{C3380CC4-5D6E-409C-BE32-E72D297353CC}">
              <c16:uniqueId val="{00000006-94FD-4CDF-9AE0-7848935DE51A}"/>
            </c:ext>
          </c:extLst>
        </c:ser>
        <c:dLbls>
          <c:showLegendKey val="0"/>
          <c:showVal val="0"/>
          <c:showCatName val="0"/>
          <c:showSerName val="0"/>
          <c:showPercent val="0"/>
          <c:showBubbleSize val="0"/>
        </c:dLbls>
        <c:marker val="1"/>
        <c:smooth val="0"/>
        <c:axId val="644160655"/>
        <c:axId val="644158255"/>
      </c:lineChart>
      <c:catAx>
        <c:axId val="638303631"/>
        <c:scaling>
          <c:orientation val="minMax"/>
        </c:scaling>
        <c:delete val="0"/>
        <c:axPos val="b"/>
        <c:title>
          <c:tx>
            <c:rich>
              <a:bodyPr rot="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r>
                  <a:rPr lang="th-TH"/>
                  <a:t>ประเภท</a:t>
                </a:r>
                <a:endParaRPr lang="en-US"/>
              </a:p>
            </c:rich>
          </c:tx>
          <c:layout>
            <c:manualLayout>
              <c:xMode val="edge"/>
              <c:yMode val="edge"/>
              <c:x val="0.92710911639899052"/>
              <c:y val="0.72542742030626206"/>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crossAx val="638304111"/>
        <c:crosses val="autoZero"/>
        <c:auto val="1"/>
        <c:lblAlgn val="ctr"/>
        <c:lblOffset val="100"/>
        <c:noMultiLvlLbl val="0"/>
      </c:catAx>
      <c:valAx>
        <c:axId val="638304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r>
                  <a:rPr lang="th-TH"/>
                  <a:t>(ร้อยละ)</a:t>
                </a:r>
                <a:endParaRPr lang="en-US"/>
              </a:p>
            </c:rich>
          </c:tx>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crossAx val="638303631"/>
        <c:crosses val="autoZero"/>
        <c:crossBetween val="between"/>
      </c:valAx>
      <c:valAx>
        <c:axId val="644158255"/>
        <c:scaling>
          <c:orientation val="minMax"/>
          <c:max val="5"/>
        </c:scaling>
        <c:delete val="1"/>
        <c:axPos val="r"/>
        <c:numFmt formatCode="General" sourceLinked="1"/>
        <c:majorTickMark val="out"/>
        <c:minorTickMark val="none"/>
        <c:tickLblPos val="nextTo"/>
        <c:crossAx val="644160655"/>
        <c:crosses val="max"/>
        <c:crossBetween val="midCat"/>
      </c:valAx>
      <c:catAx>
        <c:axId val="644160655"/>
        <c:scaling>
          <c:orientation val="minMax"/>
        </c:scaling>
        <c:delete val="0"/>
        <c:axPos val="t"/>
        <c:numFmt formatCode="General" sourceLinked="1"/>
        <c:majorTickMark val="out"/>
        <c:minorTickMark val="none"/>
        <c:tickLblPos val="none"/>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crossAx val="644158255"/>
        <c:crosses val="max"/>
        <c:auto val="1"/>
        <c:lblAlgn val="ctr"/>
        <c:lblOffset val="100"/>
        <c:noMultiLvlLbl val="0"/>
      </c:catAx>
      <c:spPr>
        <a:noFill/>
        <a:ln>
          <a:noFill/>
        </a:ln>
        <a:effectLst/>
      </c:spPr>
    </c:plotArea>
    <c:legend>
      <c:legendPos val="b"/>
      <c:legendEntry>
        <c:idx val="3"/>
        <c:delete val="1"/>
      </c:legendEntry>
      <c:layout>
        <c:manualLayout>
          <c:xMode val="edge"/>
          <c:yMode val="edge"/>
          <c:x val="5.0214955864876086E-2"/>
          <c:y val="0.89792642297117864"/>
          <c:w val="0.91692414472027084"/>
          <c:h val="0.10207349081364829"/>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400" b="1">
          <a:solidFill>
            <a:sysClr val="windowText" lastClr="000000"/>
          </a:solidFill>
          <a:latin typeface="Angsana New" panose="02020603050405020304" pitchFamily="18" charset="-34"/>
          <a:cs typeface="Angsana New" panose="02020603050405020304" pitchFamily="18" charset="-34"/>
        </a:defRPr>
      </a:pPr>
      <a:endParaRPr lang="th-TH"/>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ngsana New" panose="02020603050405020304" pitchFamily="18" charset="-34"/>
                <a:ea typeface="+mn-ea"/>
                <a:cs typeface="Angsana New" panose="02020603050405020304" pitchFamily="18" charset="-34"/>
              </a:defRPr>
            </a:pPr>
            <a:r>
              <a:rPr lang="en-US" sz="1400" b="0"/>
              <a:t>KPI 7.4</a:t>
            </a:r>
            <a:r>
              <a:rPr lang="th-TH" sz="1400" b="0"/>
              <a:t>.</a:t>
            </a:r>
            <a:r>
              <a:rPr lang="en-US" sz="1400" b="0"/>
              <a:t>11 </a:t>
            </a:r>
            <a:r>
              <a:rPr lang="th-TH" sz="1400" b="0"/>
              <a:t>มีผลการตรวจสอบภายใน และตรวจสอบจากมหาวิทยาลัย ในด้านการบริหารตามหลักธรรมาภิบาล</a:t>
            </a:r>
            <a:endParaRPr lang="en-US" sz="1400" b="0"/>
          </a:p>
        </c:rich>
      </c:tx>
      <c:layout>
        <c:manualLayout>
          <c:xMode val="edge"/>
          <c:yMode val="edge"/>
          <c:x val="0.12996800057527058"/>
          <c:y val="1.62800141930958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ngsana New" panose="02020603050405020304" pitchFamily="18" charset="-34"/>
              <a:ea typeface="+mn-ea"/>
              <a:cs typeface="Angsana New" panose="02020603050405020304" pitchFamily="18" charset="-34"/>
            </a:defRPr>
          </a:pPr>
          <a:endParaRPr lang="en-US"/>
        </a:p>
      </c:txPr>
    </c:title>
    <c:autoTitleDeleted val="0"/>
    <c:plotArea>
      <c:layout>
        <c:manualLayout>
          <c:layoutTarget val="inner"/>
          <c:xMode val="edge"/>
          <c:yMode val="edge"/>
          <c:x val="0.10634936649631888"/>
          <c:y val="0.28859712960243084"/>
          <c:w val="0.76201446624890135"/>
          <c:h val="0.55355343371896981"/>
        </c:manualLayout>
      </c:layout>
      <c:barChart>
        <c:barDir val="col"/>
        <c:grouping val="clustered"/>
        <c:varyColors val="0"/>
        <c:ser>
          <c:idx val="0"/>
          <c:order val="0"/>
          <c:tx>
            <c:strRef>
              <c:f>'KPI 7.4.11'!$B$6</c:f>
              <c:strCache>
                <c:ptCount val="1"/>
                <c:pt idx="0">
                  <c:v>หลักการตอบสนอง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Angsana New" panose="02020603050405020304" pitchFamily="18" charset="-34"/>
                    <a:ea typeface="+mn-ea"/>
                    <a:cs typeface="Angsana New" panose="02020603050405020304" pitchFamily="18" charset="-34"/>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7.4.11'!$C$5:$E$5</c:f>
              <c:strCache>
                <c:ptCount val="3"/>
                <c:pt idx="0">
                  <c:v> คะแนนเฉลี่ยปี 2560-2563</c:v>
                </c:pt>
                <c:pt idx="1">
                  <c:v> คะแนนเฉลี่ยปี 2564-2566</c:v>
                </c:pt>
                <c:pt idx="2">
                  <c:v> คะแนนเฉลี่ยปี 2564-2567</c:v>
                </c:pt>
              </c:strCache>
            </c:strRef>
          </c:cat>
          <c:val>
            <c:numRef>
              <c:f>'KPI 7.4.11'!$C$6:$E$6</c:f>
              <c:numCache>
                <c:formatCode>General</c:formatCode>
                <c:ptCount val="3"/>
                <c:pt idx="0">
                  <c:v>4.1399999999999997</c:v>
                </c:pt>
                <c:pt idx="1">
                  <c:v>3.99</c:v>
                </c:pt>
                <c:pt idx="2">
                  <c:v>3.49</c:v>
                </c:pt>
              </c:numCache>
            </c:numRef>
          </c:val>
          <c:extLst>
            <c:ext xmlns:c16="http://schemas.microsoft.com/office/drawing/2014/chart" uri="{C3380CC4-5D6E-409C-BE32-E72D297353CC}">
              <c16:uniqueId val="{00000000-773A-4FEA-B816-23A95407D7FE}"/>
            </c:ext>
          </c:extLst>
        </c:ser>
        <c:ser>
          <c:idx val="1"/>
          <c:order val="1"/>
          <c:tx>
            <c:strRef>
              <c:f>'KPI 7.4.11'!$B$7</c:f>
              <c:strCache>
                <c:ptCount val="1"/>
                <c:pt idx="0">
                  <c:v>หลักภาระความรับผิดชอบ </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Angsana New" panose="02020603050405020304" pitchFamily="18" charset="-34"/>
                    <a:ea typeface="+mn-ea"/>
                    <a:cs typeface="Angsana New" panose="02020603050405020304" pitchFamily="18" charset="-34"/>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7.4.11'!$C$5:$E$5</c:f>
              <c:strCache>
                <c:ptCount val="3"/>
                <c:pt idx="0">
                  <c:v> คะแนนเฉลี่ยปี 2560-2563</c:v>
                </c:pt>
                <c:pt idx="1">
                  <c:v> คะแนนเฉลี่ยปี 2564-2566</c:v>
                </c:pt>
                <c:pt idx="2">
                  <c:v> คะแนนเฉลี่ยปี 2564-2567</c:v>
                </c:pt>
              </c:strCache>
            </c:strRef>
          </c:cat>
          <c:val>
            <c:numRef>
              <c:f>'KPI 7.4.11'!$C$7:$E$7</c:f>
              <c:numCache>
                <c:formatCode>General</c:formatCode>
                <c:ptCount val="3"/>
                <c:pt idx="0">
                  <c:v>4.2300000000000004</c:v>
                </c:pt>
                <c:pt idx="1">
                  <c:v>4.07</c:v>
                </c:pt>
                <c:pt idx="2">
                  <c:v>3.57</c:v>
                </c:pt>
              </c:numCache>
            </c:numRef>
          </c:val>
          <c:extLst>
            <c:ext xmlns:c16="http://schemas.microsoft.com/office/drawing/2014/chart" uri="{C3380CC4-5D6E-409C-BE32-E72D297353CC}">
              <c16:uniqueId val="{00000001-773A-4FEA-B816-23A95407D7FE}"/>
            </c:ext>
          </c:extLst>
        </c:ser>
        <c:ser>
          <c:idx val="2"/>
          <c:order val="2"/>
          <c:tx>
            <c:strRef>
              <c:f>'KPI 7.4.11'!$B$8</c:f>
              <c:strCache>
                <c:ptCount val="1"/>
                <c:pt idx="0">
                  <c:v>หลักความโปร่งใส</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Angsana New" panose="02020603050405020304" pitchFamily="18" charset="-34"/>
                    <a:ea typeface="+mn-ea"/>
                    <a:cs typeface="Angsana New" panose="02020603050405020304" pitchFamily="18" charset="-34"/>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7.4.11'!$C$5:$E$5</c:f>
              <c:strCache>
                <c:ptCount val="3"/>
                <c:pt idx="0">
                  <c:v> คะแนนเฉลี่ยปี 2560-2563</c:v>
                </c:pt>
                <c:pt idx="1">
                  <c:v> คะแนนเฉลี่ยปี 2564-2566</c:v>
                </c:pt>
                <c:pt idx="2">
                  <c:v> คะแนนเฉลี่ยปี 2564-2567</c:v>
                </c:pt>
              </c:strCache>
            </c:strRef>
          </c:cat>
          <c:val>
            <c:numRef>
              <c:f>'KPI 7.4.11'!$C$8:$E$8</c:f>
              <c:numCache>
                <c:formatCode>General</c:formatCode>
                <c:ptCount val="3"/>
                <c:pt idx="0">
                  <c:v>4.16</c:v>
                </c:pt>
                <c:pt idx="1">
                  <c:v>4.0199999999999996</c:v>
                </c:pt>
                <c:pt idx="2">
                  <c:v>3.53</c:v>
                </c:pt>
              </c:numCache>
            </c:numRef>
          </c:val>
          <c:extLst>
            <c:ext xmlns:c16="http://schemas.microsoft.com/office/drawing/2014/chart" uri="{C3380CC4-5D6E-409C-BE32-E72D297353CC}">
              <c16:uniqueId val="{00000002-773A-4FEA-B816-23A95407D7FE}"/>
            </c:ext>
          </c:extLst>
        </c:ser>
        <c:dLbls>
          <c:showLegendKey val="0"/>
          <c:showVal val="0"/>
          <c:showCatName val="0"/>
          <c:showSerName val="0"/>
          <c:showPercent val="0"/>
          <c:showBubbleSize val="0"/>
        </c:dLbls>
        <c:gapWidth val="186"/>
        <c:axId val="1596942191"/>
        <c:axId val="1596942671"/>
      </c:barChart>
      <c:lineChart>
        <c:grouping val="standard"/>
        <c:varyColors val="0"/>
        <c:ser>
          <c:idx val="3"/>
          <c:order val="3"/>
          <c:tx>
            <c:strRef>
              <c:f>'KPI 7.4.11'!$B$9</c:f>
              <c:strCache>
                <c:ptCount val="1"/>
                <c:pt idx="0">
                  <c:v>คะแนนเฉลี่ยรวมทั้ง 3 ประเด็น</c:v>
                </c:pt>
              </c:strCache>
            </c:strRef>
          </c:tx>
          <c:spPr>
            <a:ln w="28575" cap="rnd">
              <a:noFill/>
              <a:round/>
            </a:ln>
            <a:effectLst/>
          </c:spPr>
          <c:marker>
            <c:symbol val="none"/>
          </c:marker>
          <c:dLbls>
            <c:spPr>
              <a:solidFill>
                <a:srgbClr val="FFC000"/>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tx1"/>
                    </a:solidFill>
                    <a:latin typeface="Angsana New" panose="02020603050405020304" pitchFamily="18" charset="-34"/>
                    <a:ea typeface="+mn-ea"/>
                    <a:cs typeface="Angsana New" panose="02020603050405020304" pitchFamily="18" charset="-34"/>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'KPI 7.4.11'!$C$5:$E$5</c:f>
              <c:strCache>
                <c:ptCount val="3"/>
                <c:pt idx="0">
                  <c:v> คะแนนเฉลี่ยปี 2560-2563</c:v>
                </c:pt>
                <c:pt idx="1">
                  <c:v> คะแนนเฉลี่ยปี 2564-2566</c:v>
                </c:pt>
                <c:pt idx="2">
                  <c:v> คะแนนเฉลี่ยปี 2564-2567</c:v>
                </c:pt>
              </c:strCache>
            </c:strRef>
          </c:cat>
          <c:val>
            <c:numRef>
              <c:f>'KPI 7.4.11'!$C$9:$E$9</c:f>
              <c:numCache>
                <c:formatCode>0.00</c:formatCode>
                <c:ptCount val="3"/>
                <c:pt idx="0">
                  <c:v>4.1766666666666667</c:v>
                </c:pt>
                <c:pt idx="1">
                  <c:v>4.0266666666666664</c:v>
                </c:pt>
                <c:pt idx="2">
                  <c:v>3.53</c:v>
                </c:pt>
              </c:numCache>
            </c:numRef>
          </c:val>
          <c:smooth val="0"/>
          <c:extLst>
            <c:ext xmlns:c16="http://schemas.microsoft.com/office/drawing/2014/chart" uri="{C3380CC4-5D6E-409C-BE32-E72D297353CC}">
              <c16:uniqueId val="{00000003-773A-4FEA-B816-23A95407D7FE}"/>
            </c:ext>
          </c:extLst>
        </c:ser>
        <c:ser>
          <c:idx val="4"/>
          <c:order val="4"/>
          <c:tx>
            <c:strRef>
              <c:f>'KPI 7.4.11'!$B$10</c:f>
              <c:strCache>
                <c:ptCount val="1"/>
                <c:pt idx="0">
                  <c:v>รวม</c:v>
                </c:pt>
              </c:strCache>
            </c:strRef>
          </c:tx>
          <c:spPr>
            <a:ln w="28575" cap="rnd">
              <a:noFill/>
              <a:round/>
            </a:ln>
            <a:effectLst/>
          </c:spPr>
          <c:marker>
            <c:symbol val="none"/>
          </c:marker>
          <c:cat>
            <c:strRef>
              <c:f>'KPI 7.4.11'!$C$5:$E$5</c:f>
              <c:strCache>
                <c:ptCount val="3"/>
                <c:pt idx="0">
                  <c:v> คะแนนเฉลี่ยปี 2560-2563</c:v>
                </c:pt>
                <c:pt idx="1">
                  <c:v> คะแนนเฉลี่ยปี 2564-2566</c:v>
                </c:pt>
                <c:pt idx="2">
                  <c:v> คะแนนเฉลี่ยปี 2564-2567</c:v>
                </c:pt>
              </c:strCache>
            </c:strRef>
          </c:cat>
          <c:val>
            <c:numRef>
              <c:f>'KPI 7.4.11'!$C$10:$E$10</c:f>
              <c:numCache>
                <c:formatCode>General</c:formatCode>
                <c:ptCount val="3"/>
                <c:pt idx="0">
                  <c:v>0</c:v>
                </c:pt>
                <c:pt idx="1">
                  <c:v>0</c:v>
                </c:pt>
                <c:pt idx="2">
                  <c:v>0</c:v>
                </c:pt>
              </c:numCache>
            </c:numRef>
          </c:val>
          <c:smooth val="0"/>
          <c:extLst>
            <c:ext xmlns:c16="http://schemas.microsoft.com/office/drawing/2014/chart" uri="{C3380CC4-5D6E-409C-BE32-E72D297353CC}">
              <c16:uniqueId val="{00000005-773A-4FEA-B816-23A95407D7FE}"/>
            </c:ext>
          </c:extLst>
        </c:ser>
        <c:dLbls>
          <c:showLegendKey val="0"/>
          <c:showVal val="0"/>
          <c:showCatName val="0"/>
          <c:showSerName val="0"/>
          <c:showPercent val="0"/>
          <c:showBubbleSize val="0"/>
        </c:dLbls>
        <c:upDownBars>
          <c:gapWidth val="64"/>
          <c:upBars>
            <c:spPr>
              <a:solidFill>
                <a:schemeClr val="lt1"/>
              </a:solidFill>
              <a:ln w="9525">
                <a:solidFill>
                  <a:schemeClr val="tx1">
                    <a:lumMod val="15000"/>
                    <a:lumOff val="85000"/>
                  </a:schemeClr>
                </a:solidFill>
              </a:ln>
              <a:effectLst/>
            </c:spPr>
          </c:upBars>
          <c:downBars>
            <c:spPr>
              <a:gradFill>
                <a:gsLst>
                  <a:gs pos="0">
                    <a:srgbClr val="FFC000"/>
                  </a:gs>
                  <a:gs pos="15000">
                    <a:schemeClr val="bg1">
                      <a:alpha val="5000"/>
                    </a:schemeClr>
                  </a:gs>
                </a:gsLst>
                <a:lin ang="5400000" scaled="1"/>
              </a:gradFill>
              <a:ln w="9525">
                <a:gradFill>
                  <a:gsLst>
                    <a:gs pos="0">
                      <a:schemeClr val="bg1"/>
                    </a:gs>
                    <a:gs pos="100000">
                      <a:schemeClr val="bg1"/>
                    </a:gs>
                  </a:gsLst>
                  <a:lin ang="5400000" scaled="1"/>
                </a:gradFill>
              </a:ln>
              <a:effectLst/>
            </c:spPr>
          </c:downBars>
        </c:upDownBars>
        <c:marker val="1"/>
        <c:smooth val="0"/>
        <c:axId val="532687839"/>
        <c:axId val="532684959"/>
      </c:lineChart>
      <c:catAx>
        <c:axId val="1596942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Angsana New" panose="02020603050405020304" pitchFamily="18" charset="-34"/>
                <a:ea typeface="+mn-ea"/>
                <a:cs typeface="Angsana New" panose="02020603050405020304" pitchFamily="18" charset="-34"/>
              </a:defRPr>
            </a:pPr>
            <a:endParaRPr lang="th-TH"/>
          </a:p>
        </c:txPr>
        <c:crossAx val="1596942671"/>
        <c:crosses val="autoZero"/>
        <c:auto val="1"/>
        <c:lblAlgn val="ctr"/>
        <c:lblOffset val="100"/>
        <c:noMultiLvlLbl val="0"/>
      </c:catAx>
      <c:valAx>
        <c:axId val="1596942671"/>
        <c:scaling>
          <c:orientation val="minMax"/>
          <c:max val="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Angsana New" panose="02020603050405020304" pitchFamily="18" charset="-34"/>
                    <a:ea typeface="+mn-ea"/>
                    <a:cs typeface="Angsana New" panose="02020603050405020304" pitchFamily="18" charset="-34"/>
                  </a:defRPr>
                </a:pPr>
                <a:r>
                  <a:rPr lang="th-TH"/>
                  <a:t>ร้อยละ</a:t>
                </a:r>
                <a:endParaRPr lang="en-US"/>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Angsana New" panose="02020603050405020304" pitchFamily="18" charset="-34"/>
                  <a:ea typeface="+mn-ea"/>
                  <a:cs typeface="Angsana New" panose="02020603050405020304" pitchFamily="18" charset="-34"/>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Angsana New" panose="02020603050405020304" pitchFamily="18" charset="-34"/>
                <a:ea typeface="+mn-ea"/>
                <a:cs typeface="Angsana New" panose="02020603050405020304" pitchFamily="18" charset="-34"/>
              </a:defRPr>
            </a:pPr>
            <a:endParaRPr lang="th-TH"/>
          </a:p>
        </c:txPr>
        <c:crossAx val="1596942191"/>
        <c:crosses val="autoZero"/>
        <c:crossBetween val="between"/>
      </c:valAx>
      <c:valAx>
        <c:axId val="532684959"/>
        <c:scaling>
          <c:orientation val="minMax"/>
          <c:max val="5"/>
        </c:scaling>
        <c:delete val="0"/>
        <c:axPos val="r"/>
        <c:title>
          <c:tx>
            <c:rich>
              <a:bodyPr rot="-5400000" spcFirstLastPara="1" vertOverflow="ellipsis" vert="horz" wrap="square" anchor="ctr" anchorCtr="1"/>
              <a:lstStyle/>
              <a:p>
                <a:pPr>
                  <a:defRPr sz="1400" b="0" i="0" u="none" strike="noStrike" kern="1200" baseline="0">
                    <a:solidFill>
                      <a:schemeClr val="tx1"/>
                    </a:solidFill>
                    <a:latin typeface="Angsana New" panose="02020603050405020304" pitchFamily="18" charset="-34"/>
                    <a:ea typeface="+mn-ea"/>
                    <a:cs typeface="Angsana New" panose="02020603050405020304" pitchFamily="18" charset="-34"/>
                  </a:defRPr>
                </a:pPr>
                <a:r>
                  <a:rPr lang="th-TH"/>
                  <a:t>ร้อยละ</a:t>
                </a:r>
                <a:endParaRPr lang="en-US"/>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Angsana New" panose="02020603050405020304" pitchFamily="18" charset="-34"/>
                  <a:ea typeface="+mn-ea"/>
                  <a:cs typeface="Angsana New" panose="02020603050405020304" pitchFamily="18" charset="-34"/>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Angsana New" panose="02020603050405020304" pitchFamily="18" charset="-34"/>
                <a:ea typeface="+mn-ea"/>
                <a:cs typeface="Angsana New" panose="02020603050405020304" pitchFamily="18" charset="-34"/>
              </a:defRPr>
            </a:pPr>
            <a:endParaRPr lang="th-TH"/>
          </a:p>
        </c:txPr>
        <c:crossAx val="532687839"/>
        <c:crosses val="max"/>
        <c:crossBetween val="between"/>
      </c:valAx>
      <c:catAx>
        <c:axId val="532687839"/>
        <c:scaling>
          <c:orientation val="minMax"/>
        </c:scaling>
        <c:delete val="1"/>
        <c:axPos val="b"/>
        <c:numFmt formatCode="General" sourceLinked="1"/>
        <c:majorTickMark val="out"/>
        <c:minorTickMark val="none"/>
        <c:tickLblPos val="nextTo"/>
        <c:crossAx val="532684959"/>
        <c:crosses val="autoZero"/>
        <c:auto val="1"/>
        <c:lblAlgn val="ctr"/>
        <c:lblOffset val="100"/>
        <c:noMultiLvlLbl val="0"/>
      </c:catAx>
      <c:spPr>
        <a:noFill/>
        <a:ln>
          <a:noFill/>
        </a:ln>
        <a:effectLst/>
      </c:spPr>
    </c:plotArea>
    <c:legend>
      <c:legendPos val="r"/>
      <c:legendEntry>
        <c:idx val="3"/>
        <c:delete val="1"/>
      </c:legendEntry>
      <c:legendEntry>
        <c:idx val="4"/>
        <c:delete val="1"/>
      </c:legendEntry>
      <c:layout>
        <c:manualLayout>
          <c:xMode val="edge"/>
          <c:yMode val="edge"/>
          <c:x val="9.722091414511988E-2"/>
          <c:y val="0.13904991417068557"/>
          <c:w val="0.8312108900156604"/>
          <c:h val="9.2650978115423055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ngsana New" panose="02020603050405020304" pitchFamily="18" charset="-34"/>
              <a:ea typeface="+mn-ea"/>
              <a:cs typeface="Angsana New" panose="02020603050405020304" pitchFamily="18" charset="-34"/>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400">
          <a:solidFill>
            <a:schemeClr val="tx1"/>
          </a:solidFill>
          <a:latin typeface="Angsana New" panose="02020603050405020304" pitchFamily="18" charset="-34"/>
          <a:cs typeface="Angsana New" panose="02020603050405020304" pitchFamily="18" charset="-34"/>
        </a:defRPr>
      </a:pPr>
      <a:endParaRPr lang="th-TH"/>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r>
              <a:rPr lang="en-US"/>
              <a:t>KPI 7.4</a:t>
            </a:r>
            <a:r>
              <a:rPr lang="th-TH"/>
              <a:t>.</a:t>
            </a:r>
            <a:r>
              <a:rPr lang="en-US"/>
              <a:t>12 </a:t>
            </a:r>
            <a:r>
              <a:rPr lang="th-TH"/>
              <a:t>สถานที่และบุคลากรได้รับการรับรองมาตรฐานการใช้สัตว์ทดลอง/จำนวนโครงการที่ได้รับการรับรอง</a:t>
            </a:r>
            <a:endParaRPr lang="en-US"/>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autoTitleDeleted val="0"/>
    <c:plotArea>
      <c:layout>
        <c:manualLayout>
          <c:layoutTarget val="inner"/>
          <c:xMode val="edge"/>
          <c:yMode val="edge"/>
          <c:x val="0.12653719430734006"/>
          <c:y val="0.25418725945020904"/>
          <c:w val="0.7591783187494362"/>
          <c:h val="0.50540117968740816"/>
        </c:manualLayout>
      </c:layout>
      <c:barChart>
        <c:barDir val="col"/>
        <c:grouping val="stacked"/>
        <c:varyColors val="0"/>
        <c:ser>
          <c:idx val="1"/>
          <c:order val="1"/>
          <c:tx>
            <c:strRef>
              <c:f>'KPI 7.4.12'!$B$6</c:f>
              <c:strCache>
                <c:ptCount val="1"/>
                <c:pt idx="0">
                  <c:v>งานการเรียนการสอน</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'KPI 7.4.12'!$A$7:$A$14</c:f>
              <c:numCache>
                <c:formatCode>General</c:formatCode>
                <c:ptCount val="8"/>
                <c:pt idx="0">
                  <c:v>2561</c:v>
                </c:pt>
                <c:pt idx="1">
                  <c:v>2562</c:v>
                </c:pt>
                <c:pt idx="2">
                  <c:v>2563</c:v>
                </c:pt>
                <c:pt idx="3">
                  <c:v>2564</c:v>
                </c:pt>
                <c:pt idx="4">
                  <c:v>2565</c:v>
                </c:pt>
                <c:pt idx="5">
                  <c:v>2566</c:v>
                </c:pt>
                <c:pt idx="6">
                  <c:v>2567</c:v>
                </c:pt>
                <c:pt idx="7">
                  <c:v>2568</c:v>
                </c:pt>
              </c:numCache>
            </c:numRef>
          </c:cat>
          <c:val>
            <c:numRef>
              <c:f>'KPI 7.4.12'!$B$7:$B$14</c:f>
              <c:numCache>
                <c:formatCode>General</c:formatCode>
                <c:ptCount val="8"/>
                <c:pt idx="0">
                  <c:v>3</c:v>
                </c:pt>
                <c:pt idx="1">
                  <c:v>8</c:v>
                </c:pt>
                <c:pt idx="2">
                  <c:v>7</c:v>
                </c:pt>
                <c:pt idx="3">
                  <c:v>7</c:v>
                </c:pt>
                <c:pt idx="4">
                  <c:v>10</c:v>
                </c:pt>
                <c:pt idx="5">
                  <c:v>8</c:v>
                </c:pt>
                <c:pt idx="6">
                  <c:v>7</c:v>
                </c:pt>
                <c:pt idx="7">
                  <c:v>6</c:v>
                </c:pt>
              </c:numCache>
            </c:numRef>
          </c:val>
          <c:extLst>
            <c:ext xmlns:c16="http://schemas.microsoft.com/office/drawing/2014/chart" uri="{C3380CC4-5D6E-409C-BE32-E72D297353CC}">
              <c16:uniqueId val="{00000001-E5D9-4F9A-B07B-0ABF9FDDBDC1}"/>
            </c:ext>
          </c:extLst>
        </c:ser>
        <c:ser>
          <c:idx val="2"/>
          <c:order val="2"/>
          <c:tx>
            <c:strRef>
              <c:f>'KPI 7.4.12'!$C$6</c:f>
              <c:strCache>
                <c:ptCount val="1"/>
                <c:pt idx="0">
                  <c:v>งานวิจัย</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'KPI 7.4.12'!$A$7:$A$14</c:f>
              <c:numCache>
                <c:formatCode>General</c:formatCode>
                <c:ptCount val="8"/>
                <c:pt idx="0">
                  <c:v>2561</c:v>
                </c:pt>
                <c:pt idx="1">
                  <c:v>2562</c:v>
                </c:pt>
                <c:pt idx="2">
                  <c:v>2563</c:v>
                </c:pt>
                <c:pt idx="3">
                  <c:v>2564</c:v>
                </c:pt>
                <c:pt idx="4">
                  <c:v>2565</c:v>
                </c:pt>
                <c:pt idx="5">
                  <c:v>2566</c:v>
                </c:pt>
                <c:pt idx="6">
                  <c:v>2567</c:v>
                </c:pt>
                <c:pt idx="7">
                  <c:v>2568</c:v>
                </c:pt>
              </c:numCache>
            </c:numRef>
          </c:cat>
          <c:val>
            <c:numRef>
              <c:f>'KPI 7.4.12'!$C$7:$C$14</c:f>
              <c:numCache>
                <c:formatCode>General</c:formatCode>
                <c:ptCount val="8"/>
                <c:pt idx="0">
                  <c:v>103</c:v>
                </c:pt>
                <c:pt idx="1">
                  <c:v>54</c:v>
                </c:pt>
                <c:pt idx="2">
                  <c:v>60</c:v>
                </c:pt>
                <c:pt idx="3">
                  <c:v>69</c:v>
                </c:pt>
                <c:pt idx="4">
                  <c:v>93</c:v>
                </c:pt>
                <c:pt idx="5">
                  <c:v>86</c:v>
                </c:pt>
                <c:pt idx="6">
                  <c:v>137</c:v>
                </c:pt>
                <c:pt idx="7">
                  <c:v>55</c:v>
                </c:pt>
              </c:numCache>
            </c:numRef>
          </c:val>
          <c:extLst>
            <c:ext xmlns:c16="http://schemas.microsoft.com/office/drawing/2014/chart" uri="{C3380CC4-5D6E-409C-BE32-E72D297353CC}">
              <c16:uniqueId val="{00000002-E5D9-4F9A-B07B-0ABF9FDDBDC1}"/>
            </c:ext>
          </c:extLst>
        </c:ser>
        <c:ser>
          <c:idx val="3"/>
          <c:order val="3"/>
          <c:tx>
            <c:strRef>
              <c:f>'KPI 7.4.12'!$D$6</c:f>
              <c:strCache>
                <c:ptCount val="1"/>
                <c:pt idx="0">
                  <c:v>งานใช้ซากสัตว์และชีววัตถุจากสัตว์</c:v>
                </c:pt>
              </c:strCache>
            </c:strRef>
          </c:tx>
          <c:spPr>
            <a:solidFill>
              <a:schemeClr val="accent4"/>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6-E5D9-4F9A-B07B-0ABF9FDDBDC1}"/>
                </c:ext>
              </c:extLst>
            </c:dLbl>
            <c:dLbl>
              <c:idx val="1"/>
              <c:delete val="1"/>
              <c:extLst>
                <c:ext xmlns:c15="http://schemas.microsoft.com/office/drawing/2012/chart" uri="{CE6537A1-D6FC-4f65-9D91-7224C49458BB}"/>
                <c:ext xmlns:c16="http://schemas.microsoft.com/office/drawing/2014/chart" uri="{C3380CC4-5D6E-409C-BE32-E72D297353CC}">
                  <c16:uniqueId val="{00000005-E5D9-4F9A-B07B-0ABF9FDDBDC1}"/>
                </c:ext>
              </c:extLst>
            </c:dLbl>
            <c:dLbl>
              <c:idx val="3"/>
              <c:delete val="1"/>
              <c:extLst>
                <c:ext xmlns:c15="http://schemas.microsoft.com/office/drawing/2012/chart" uri="{CE6537A1-D6FC-4f65-9D91-7224C49458BB}"/>
                <c:ext xmlns:c16="http://schemas.microsoft.com/office/drawing/2014/chart" uri="{C3380CC4-5D6E-409C-BE32-E72D297353CC}">
                  <c16:uniqueId val="{00000007-E5D9-4F9A-B07B-0ABF9FDDBDC1}"/>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'KPI 7.4.12'!$A$7:$A$14</c:f>
              <c:numCache>
                <c:formatCode>General</c:formatCode>
                <c:ptCount val="8"/>
                <c:pt idx="0">
                  <c:v>2561</c:v>
                </c:pt>
                <c:pt idx="1">
                  <c:v>2562</c:v>
                </c:pt>
                <c:pt idx="2">
                  <c:v>2563</c:v>
                </c:pt>
                <c:pt idx="3">
                  <c:v>2564</c:v>
                </c:pt>
                <c:pt idx="4">
                  <c:v>2565</c:v>
                </c:pt>
                <c:pt idx="5">
                  <c:v>2566</c:v>
                </c:pt>
                <c:pt idx="6">
                  <c:v>2567</c:v>
                </c:pt>
                <c:pt idx="7">
                  <c:v>2568</c:v>
                </c:pt>
              </c:numCache>
            </c:numRef>
          </c:cat>
          <c:val>
            <c:numRef>
              <c:f>'KPI 7.4.12'!$D$7:$D$14</c:f>
              <c:numCache>
                <c:formatCode>General</c:formatCode>
                <c:ptCount val="8"/>
                <c:pt idx="0">
                  <c:v>0</c:v>
                </c:pt>
                <c:pt idx="1">
                  <c:v>0</c:v>
                </c:pt>
                <c:pt idx="2">
                  <c:v>1</c:v>
                </c:pt>
                <c:pt idx="3">
                  <c:v>0</c:v>
                </c:pt>
                <c:pt idx="4">
                  <c:v>1</c:v>
                </c:pt>
                <c:pt idx="5">
                  <c:v>2</c:v>
                </c:pt>
                <c:pt idx="6">
                  <c:v>1</c:v>
                </c:pt>
                <c:pt idx="7">
                  <c:v>2</c:v>
                </c:pt>
              </c:numCache>
            </c:numRef>
          </c:val>
          <c:extLst>
            <c:ext xmlns:c16="http://schemas.microsoft.com/office/drawing/2014/chart" uri="{C3380CC4-5D6E-409C-BE32-E72D297353CC}">
              <c16:uniqueId val="{00000003-E5D9-4F9A-B07B-0ABF9FDDBDC1}"/>
            </c:ext>
          </c:extLst>
        </c:ser>
        <c:dLbls>
          <c:dLblPos val="ctr"/>
          <c:showLegendKey val="0"/>
          <c:showVal val="1"/>
          <c:showCatName val="0"/>
          <c:showSerName val="0"/>
          <c:showPercent val="0"/>
          <c:showBubbleSize val="0"/>
        </c:dLbls>
        <c:gapWidth val="69"/>
        <c:overlap val="100"/>
        <c:axId val="417244191"/>
        <c:axId val="417245631"/>
        <c:extLst>
          <c:ext xmlns:c15="http://schemas.microsoft.com/office/drawing/2012/chart" uri="{02D57815-91ED-43cb-92C2-25804820EDAC}">
            <c15:filteredBarSeries>
              <c15:ser>
                <c:idx val="0"/>
                <c:order val="0"/>
                <c:tx>
                  <c:strRef>
                    <c:extLst>
                      <c:ext uri="{02D57815-91ED-43cb-92C2-25804820EDAC}">
                        <c15:formulaRef>
                          <c15:sqref>'KPI 7.4.12'!$A$6</c15:sqref>
                        </c15:formulaRef>
                      </c:ext>
                    </c:extLst>
                    <c:strCache>
                      <c:ptCount val="1"/>
                      <c:pt idx="0">
                        <c:v>ปีงบประมาณ</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'KPI 7.4.12'!$A$7:$A$14</c15:sqref>
                        </c15:formulaRef>
                      </c:ext>
                    </c:extLst>
                    <c:numCache>
                      <c:formatCode>General</c:formatCode>
                      <c:ptCount val="8"/>
                      <c:pt idx="0">
                        <c:v>2561</c:v>
                      </c:pt>
                      <c:pt idx="1">
                        <c:v>2562</c:v>
                      </c:pt>
                      <c:pt idx="2">
                        <c:v>2563</c:v>
                      </c:pt>
                      <c:pt idx="3">
                        <c:v>2564</c:v>
                      </c:pt>
                      <c:pt idx="4">
                        <c:v>2565</c:v>
                      </c:pt>
                      <c:pt idx="5">
                        <c:v>2566</c:v>
                      </c:pt>
                      <c:pt idx="6">
                        <c:v>2567</c:v>
                      </c:pt>
                      <c:pt idx="7">
                        <c:v>2568</c:v>
                      </c:pt>
                    </c:numCache>
                  </c:numRef>
                </c:cat>
                <c:val>
                  <c:numRef>
                    <c:extLst>
                      <c:ext uri="{02D57815-91ED-43cb-92C2-25804820EDAC}">
                        <c15:formulaRef>
                          <c15:sqref>'KPI 7.4.12'!$A$7:$A$14</c15:sqref>
                        </c15:formulaRef>
                      </c:ext>
                    </c:extLst>
                    <c:numCache>
                      <c:formatCode>General</c:formatCode>
                      <c:ptCount val="8"/>
                      <c:pt idx="0">
                        <c:v>2561</c:v>
                      </c:pt>
                      <c:pt idx="1">
                        <c:v>2562</c:v>
                      </c:pt>
                      <c:pt idx="2">
                        <c:v>2563</c:v>
                      </c:pt>
                      <c:pt idx="3">
                        <c:v>2564</c:v>
                      </c:pt>
                      <c:pt idx="4">
                        <c:v>2565</c:v>
                      </c:pt>
                      <c:pt idx="5">
                        <c:v>2566</c:v>
                      </c:pt>
                      <c:pt idx="6">
                        <c:v>2567</c:v>
                      </c:pt>
                      <c:pt idx="7">
                        <c:v>2568</c:v>
                      </c:pt>
                    </c:numCache>
                  </c:numRef>
                </c:val>
                <c:extLst>
                  <c:ext xmlns:c16="http://schemas.microsoft.com/office/drawing/2014/chart" uri="{C3380CC4-5D6E-409C-BE32-E72D297353CC}">
                    <c16:uniqueId val="{00000000-E5D9-4F9A-B07B-0ABF9FDDBDC1}"/>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'KPI 7.4.12'!$E$6</c15:sqref>
                        </c15:formulaRef>
                      </c:ext>
                    </c:extLst>
                    <c:strCache>
                      <c:ptCount val="1"/>
                      <c:pt idx="0">
                        <c:v>รวม</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'KPI 7.4.12'!$A$7:$A$14</c15:sqref>
                        </c15:formulaRef>
                      </c:ext>
                    </c:extLst>
                    <c:numCache>
                      <c:formatCode>General</c:formatCode>
                      <c:ptCount val="8"/>
                      <c:pt idx="0">
                        <c:v>2561</c:v>
                      </c:pt>
                      <c:pt idx="1">
                        <c:v>2562</c:v>
                      </c:pt>
                      <c:pt idx="2">
                        <c:v>2563</c:v>
                      </c:pt>
                      <c:pt idx="3">
                        <c:v>2564</c:v>
                      </c:pt>
                      <c:pt idx="4">
                        <c:v>2565</c:v>
                      </c:pt>
                      <c:pt idx="5">
                        <c:v>2566</c:v>
                      </c:pt>
                      <c:pt idx="6">
                        <c:v>2567</c:v>
                      </c:pt>
                      <c:pt idx="7">
                        <c:v>2568</c:v>
                      </c:pt>
                    </c:numCache>
                  </c:numRef>
                </c:cat>
                <c:val>
                  <c:numRef>
                    <c:extLst xmlns:c15="http://schemas.microsoft.com/office/drawing/2012/chart">
                      <c:ext xmlns:c15="http://schemas.microsoft.com/office/drawing/2012/chart" uri="{02D57815-91ED-43cb-92C2-25804820EDAC}">
                        <c15:formulaRef>
                          <c15:sqref>'KPI 7.4.12'!$E$7:$E$14</c15:sqref>
                        </c15:formulaRef>
                      </c:ext>
                    </c:extLst>
                    <c:numCache>
                      <c:formatCode>General</c:formatCode>
                      <c:ptCount val="8"/>
                      <c:pt idx="0">
                        <c:v>106</c:v>
                      </c:pt>
                      <c:pt idx="1">
                        <c:v>62</c:v>
                      </c:pt>
                      <c:pt idx="2">
                        <c:v>68</c:v>
                      </c:pt>
                      <c:pt idx="3">
                        <c:v>76</c:v>
                      </c:pt>
                      <c:pt idx="4">
                        <c:v>104</c:v>
                      </c:pt>
                      <c:pt idx="5">
                        <c:v>96</c:v>
                      </c:pt>
                      <c:pt idx="6">
                        <c:v>145</c:v>
                      </c:pt>
                      <c:pt idx="7">
                        <c:v>63</c:v>
                      </c:pt>
                    </c:numCache>
                  </c:numRef>
                </c:val>
                <c:extLst xmlns:c15="http://schemas.microsoft.com/office/drawing/2012/chart">
                  <c:ext xmlns:c16="http://schemas.microsoft.com/office/drawing/2014/chart" uri="{C3380CC4-5D6E-409C-BE32-E72D297353CC}">
                    <c16:uniqueId val="{00000004-E5D9-4F9A-B07B-0ABF9FDDBDC1}"/>
                  </c:ext>
                </c:extLst>
              </c15:ser>
            </c15:filteredBarSeries>
          </c:ext>
        </c:extLst>
      </c:barChart>
      <c:catAx>
        <c:axId val="4172441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r>
                  <a:rPr lang="th-TH"/>
                  <a:t>ปีงบประมาณ</a:t>
                </a:r>
                <a:endParaRPr lang="en-US"/>
              </a:p>
            </c:rich>
          </c:tx>
          <c:layout>
            <c:manualLayout>
              <c:xMode val="edge"/>
              <c:yMode val="edge"/>
              <c:x val="0.87542851742550187"/>
              <c:y val="0.76884985734775046"/>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crossAx val="417245631"/>
        <c:crosses val="autoZero"/>
        <c:auto val="1"/>
        <c:lblAlgn val="ctr"/>
        <c:lblOffset val="100"/>
        <c:noMultiLvlLbl val="0"/>
      </c:catAx>
      <c:valAx>
        <c:axId val="417245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r>
                  <a:rPr lang="th-TH"/>
                  <a:t>จำนวนครั้ง</a:t>
                </a:r>
                <a:endParaRPr lang="en-US"/>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crossAx val="417244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400">
          <a:solidFill>
            <a:sysClr val="windowText" lastClr="000000"/>
          </a:solidFill>
          <a:latin typeface="Angsana New" panose="02020603050405020304" pitchFamily="18" charset="-34"/>
          <a:cs typeface="Angsana New" panose="02020603050405020304" pitchFamily="18" charset="-34"/>
        </a:defRPr>
      </a:pPr>
      <a:endParaRPr lang="th-TH"/>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r>
              <a:rPr lang="en-US"/>
              <a:t>KPI 7.4</a:t>
            </a:r>
            <a:r>
              <a:rPr lang="th-TH"/>
              <a:t>.</a:t>
            </a:r>
            <a:r>
              <a:rPr lang="en-US"/>
              <a:t>12 </a:t>
            </a:r>
            <a:r>
              <a:rPr lang="th-TH"/>
              <a:t>สถานที่และบุคลากรได้รับการรับรองมาตรฐานการใช้สัตว์ทดลอง/จำนวนโครงการที่ได้รับการรับรอง</a:t>
            </a:r>
            <a:endParaRPr lang="en-US"/>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autoTitleDeleted val="0"/>
    <c:plotArea>
      <c:layout>
        <c:manualLayout>
          <c:layoutTarget val="inner"/>
          <c:xMode val="edge"/>
          <c:yMode val="edge"/>
          <c:x val="0.10922119583536904"/>
          <c:y val="0.28167866413420017"/>
          <c:w val="0.78611431146864219"/>
          <c:h val="0.47790977500341708"/>
        </c:manualLayout>
      </c:layout>
      <c:barChart>
        <c:barDir val="col"/>
        <c:grouping val="clustered"/>
        <c:varyColors val="0"/>
        <c:ser>
          <c:idx val="1"/>
          <c:order val="1"/>
          <c:tx>
            <c:strRef>
              <c:f>'KPI 7.4.12'!$B$6</c:f>
              <c:strCache>
                <c:ptCount val="1"/>
                <c:pt idx="0">
                  <c:v>งานการเรียนการสอน</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'KPI 7.4.12'!$A$7:$A$14</c:f>
              <c:numCache>
                <c:formatCode>General</c:formatCode>
                <c:ptCount val="8"/>
                <c:pt idx="0">
                  <c:v>2561</c:v>
                </c:pt>
                <c:pt idx="1">
                  <c:v>2562</c:v>
                </c:pt>
                <c:pt idx="2">
                  <c:v>2563</c:v>
                </c:pt>
                <c:pt idx="3">
                  <c:v>2564</c:v>
                </c:pt>
                <c:pt idx="4">
                  <c:v>2565</c:v>
                </c:pt>
                <c:pt idx="5">
                  <c:v>2566</c:v>
                </c:pt>
                <c:pt idx="6">
                  <c:v>2567</c:v>
                </c:pt>
                <c:pt idx="7">
                  <c:v>2568</c:v>
                </c:pt>
              </c:numCache>
            </c:numRef>
          </c:cat>
          <c:val>
            <c:numRef>
              <c:f>'KPI 7.4.12'!$B$7:$B$14</c:f>
              <c:numCache>
                <c:formatCode>General</c:formatCode>
                <c:ptCount val="8"/>
                <c:pt idx="0">
                  <c:v>3</c:v>
                </c:pt>
                <c:pt idx="1">
                  <c:v>8</c:v>
                </c:pt>
                <c:pt idx="2">
                  <c:v>7</c:v>
                </c:pt>
                <c:pt idx="3">
                  <c:v>7</c:v>
                </c:pt>
                <c:pt idx="4">
                  <c:v>10</c:v>
                </c:pt>
                <c:pt idx="5">
                  <c:v>8</c:v>
                </c:pt>
                <c:pt idx="6">
                  <c:v>7</c:v>
                </c:pt>
                <c:pt idx="7">
                  <c:v>6</c:v>
                </c:pt>
              </c:numCache>
            </c:numRef>
          </c:val>
          <c:extLst>
            <c:ext xmlns:c16="http://schemas.microsoft.com/office/drawing/2014/chart" uri="{C3380CC4-5D6E-409C-BE32-E72D297353CC}">
              <c16:uniqueId val="{00000000-D28D-40FE-9A10-CA1019BA88D7}"/>
            </c:ext>
          </c:extLst>
        </c:ser>
        <c:ser>
          <c:idx val="2"/>
          <c:order val="2"/>
          <c:tx>
            <c:strRef>
              <c:f>'KPI 7.4.12'!$C$6</c:f>
              <c:strCache>
                <c:ptCount val="1"/>
                <c:pt idx="0">
                  <c:v>งานวิจัย</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'KPI 7.4.12'!$A$7:$A$14</c:f>
              <c:numCache>
                <c:formatCode>General</c:formatCode>
                <c:ptCount val="8"/>
                <c:pt idx="0">
                  <c:v>2561</c:v>
                </c:pt>
                <c:pt idx="1">
                  <c:v>2562</c:v>
                </c:pt>
                <c:pt idx="2">
                  <c:v>2563</c:v>
                </c:pt>
                <c:pt idx="3">
                  <c:v>2564</c:v>
                </c:pt>
                <c:pt idx="4">
                  <c:v>2565</c:v>
                </c:pt>
                <c:pt idx="5">
                  <c:v>2566</c:v>
                </c:pt>
                <c:pt idx="6">
                  <c:v>2567</c:v>
                </c:pt>
                <c:pt idx="7">
                  <c:v>2568</c:v>
                </c:pt>
              </c:numCache>
            </c:numRef>
          </c:cat>
          <c:val>
            <c:numRef>
              <c:f>'KPI 7.4.12'!$C$7:$C$14</c:f>
              <c:numCache>
                <c:formatCode>General</c:formatCode>
                <c:ptCount val="8"/>
                <c:pt idx="0">
                  <c:v>103</c:v>
                </c:pt>
                <c:pt idx="1">
                  <c:v>54</c:v>
                </c:pt>
                <c:pt idx="2">
                  <c:v>60</c:v>
                </c:pt>
                <c:pt idx="3">
                  <c:v>69</c:v>
                </c:pt>
                <c:pt idx="4">
                  <c:v>93</c:v>
                </c:pt>
                <c:pt idx="5">
                  <c:v>86</c:v>
                </c:pt>
                <c:pt idx="6">
                  <c:v>137</c:v>
                </c:pt>
                <c:pt idx="7">
                  <c:v>55</c:v>
                </c:pt>
              </c:numCache>
            </c:numRef>
          </c:val>
          <c:extLst>
            <c:ext xmlns:c16="http://schemas.microsoft.com/office/drawing/2014/chart" uri="{C3380CC4-5D6E-409C-BE32-E72D297353CC}">
              <c16:uniqueId val="{00000001-D28D-40FE-9A10-CA1019BA88D7}"/>
            </c:ext>
          </c:extLst>
        </c:ser>
        <c:ser>
          <c:idx val="3"/>
          <c:order val="3"/>
          <c:tx>
            <c:strRef>
              <c:f>'KPI 7.4.12'!$D$6</c:f>
              <c:strCache>
                <c:ptCount val="1"/>
                <c:pt idx="0">
                  <c:v>งานใช้ซากสัตว์และชีววัตถุจากสัตว์</c:v>
                </c:pt>
              </c:strCache>
            </c:strRef>
          </c:tx>
          <c:spPr>
            <a:solidFill>
              <a:schemeClr val="accent4"/>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2-D28D-40FE-9A10-CA1019BA88D7}"/>
                </c:ext>
              </c:extLst>
            </c:dLbl>
            <c:dLbl>
              <c:idx val="1"/>
              <c:delete val="1"/>
              <c:extLst>
                <c:ext xmlns:c15="http://schemas.microsoft.com/office/drawing/2012/chart" uri="{CE6537A1-D6FC-4f65-9D91-7224C49458BB}"/>
                <c:ext xmlns:c16="http://schemas.microsoft.com/office/drawing/2014/chart" uri="{C3380CC4-5D6E-409C-BE32-E72D297353CC}">
                  <c16:uniqueId val="{00000003-D28D-40FE-9A10-CA1019BA88D7}"/>
                </c:ext>
              </c:extLst>
            </c:dLbl>
            <c:dLbl>
              <c:idx val="3"/>
              <c:delete val="1"/>
              <c:extLst>
                <c:ext xmlns:c15="http://schemas.microsoft.com/office/drawing/2012/chart" uri="{CE6537A1-D6FC-4f65-9D91-7224C49458BB}"/>
                <c:ext xmlns:c16="http://schemas.microsoft.com/office/drawing/2014/chart" uri="{C3380CC4-5D6E-409C-BE32-E72D297353CC}">
                  <c16:uniqueId val="{00000004-D28D-40FE-9A10-CA1019BA88D7}"/>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'KPI 7.4.12'!$A$7:$A$14</c:f>
              <c:numCache>
                <c:formatCode>General</c:formatCode>
                <c:ptCount val="8"/>
                <c:pt idx="0">
                  <c:v>2561</c:v>
                </c:pt>
                <c:pt idx="1">
                  <c:v>2562</c:v>
                </c:pt>
                <c:pt idx="2">
                  <c:v>2563</c:v>
                </c:pt>
                <c:pt idx="3">
                  <c:v>2564</c:v>
                </c:pt>
                <c:pt idx="4">
                  <c:v>2565</c:v>
                </c:pt>
                <c:pt idx="5">
                  <c:v>2566</c:v>
                </c:pt>
                <c:pt idx="6">
                  <c:v>2567</c:v>
                </c:pt>
                <c:pt idx="7">
                  <c:v>2568</c:v>
                </c:pt>
              </c:numCache>
            </c:numRef>
          </c:cat>
          <c:val>
            <c:numRef>
              <c:f>'KPI 7.4.12'!$D$7:$D$14</c:f>
              <c:numCache>
                <c:formatCode>General</c:formatCode>
                <c:ptCount val="8"/>
                <c:pt idx="0">
                  <c:v>0</c:v>
                </c:pt>
                <c:pt idx="1">
                  <c:v>0</c:v>
                </c:pt>
                <c:pt idx="2">
                  <c:v>1</c:v>
                </c:pt>
                <c:pt idx="3">
                  <c:v>0</c:v>
                </c:pt>
                <c:pt idx="4">
                  <c:v>1</c:v>
                </c:pt>
                <c:pt idx="5">
                  <c:v>2</c:v>
                </c:pt>
                <c:pt idx="6">
                  <c:v>1</c:v>
                </c:pt>
                <c:pt idx="7">
                  <c:v>2</c:v>
                </c:pt>
              </c:numCache>
            </c:numRef>
          </c:val>
          <c:extLst>
            <c:ext xmlns:c16="http://schemas.microsoft.com/office/drawing/2014/chart" uri="{C3380CC4-5D6E-409C-BE32-E72D297353CC}">
              <c16:uniqueId val="{00000005-D28D-40FE-9A10-CA1019BA88D7}"/>
            </c:ext>
          </c:extLst>
        </c:ser>
        <c:dLbls>
          <c:dLblPos val="ctr"/>
          <c:showLegendKey val="0"/>
          <c:showVal val="1"/>
          <c:showCatName val="0"/>
          <c:showSerName val="0"/>
          <c:showPercent val="0"/>
          <c:showBubbleSize val="0"/>
        </c:dLbls>
        <c:gapWidth val="69"/>
        <c:axId val="417244191"/>
        <c:axId val="417245631"/>
        <c:extLst>
          <c:ext xmlns:c15="http://schemas.microsoft.com/office/drawing/2012/chart" uri="{02D57815-91ED-43cb-92C2-25804820EDAC}">
            <c15:filteredBarSeries>
              <c15:ser>
                <c:idx val="0"/>
                <c:order val="0"/>
                <c:tx>
                  <c:strRef>
                    <c:extLst>
                      <c:ext uri="{02D57815-91ED-43cb-92C2-25804820EDAC}">
                        <c15:formulaRef>
                          <c15:sqref>'KPI 7.4.12'!$A$6</c15:sqref>
                        </c15:formulaRef>
                      </c:ext>
                    </c:extLst>
                    <c:strCache>
                      <c:ptCount val="1"/>
                      <c:pt idx="0">
                        <c:v>ปีงบประมาณ</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'KPI 7.4.12'!$A$7:$A$14</c15:sqref>
                        </c15:formulaRef>
                      </c:ext>
                    </c:extLst>
                    <c:numCache>
                      <c:formatCode>General</c:formatCode>
                      <c:ptCount val="8"/>
                      <c:pt idx="0">
                        <c:v>2561</c:v>
                      </c:pt>
                      <c:pt idx="1">
                        <c:v>2562</c:v>
                      </c:pt>
                      <c:pt idx="2">
                        <c:v>2563</c:v>
                      </c:pt>
                      <c:pt idx="3">
                        <c:v>2564</c:v>
                      </c:pt>
                      <c:pt idx="4">
                        <c:v>2565</c:v>
                      </c:pt>
                      <c:pt idx="5">
                        <c:v>2566</c:v>
                      </c:pt>
                      <c:pt idx="6">
                        <c:v>2567</c:v>
                      </c:pt>
                      <c:pt idx="7">
                        <c:v>2568</c:v>
                      </c:pt>
                    </c:numCache>
                  </c:numRef>
                </c:cat>
                <c:val>
                  <c:numRef>
                    <c:extLst>
                      <c:ext uri="{02D57815-91ED-43cb-92C2-25804820EDAC}">
                        <c15:formulaRef>
                          <c15:sqref>'KPI 7.4.12'!$A$7:$A$14</c15:sqref>
                        </c15:formulaRef>
                      </c:ext>
                    </c:extLst>
                    <c:numCache>
                      <c:formatCode>General</c:formatCode>
                      <c:ptCount val="8"/>
                      <c:pt idx="0">
                        <c:v>2561</c:v>
                      </c:pt>
                      <c:pt idx="1">
                        <c:v>2562</c:v>
                      </c:pt>
                      <c:pt idx="2">
                        <c:v>2563</c:v>
                      </c:pt>
                      <c:pt idx="3">
                        <c:v>2564</c:v>
                      </c:pt>
                      <c:pt idx="4">
                        <c:v>2565</c:v>
                      </c:pt>
                      <c:pt idx="5">
                        <c:v>2566</c:v>
                      </c:pt>
                      <c:pt idx="6">
                        <c:v>2567</c:v>
                      </c:pt>
                      <c:pt idx="7">
                        <c:v>2568</c:v>
                      </c:pt>
                    </c:numCache>
                  </c:numRef>
                </c:val>
                <c:extLst>
                  <c:ext xmlns:c16="http://schemas.microsoft.com/office/drawing/2014/chart" uri="{C3380CC4-5D6E-409C-BE32-E72D297353CC}">
                    <c16:uniqueId val="{00000006-D28D-40FE-9A10-CA1019BA88D7}"/>
                  </c:ext>
                </c:extLst>
              </c15:ser>
            </c15:filteredBarSeries>
          </c:ext>
        </c:extLst>
      </c:barChart>
      <c:lineChart>
        <c:grouping val="standard"/>
        <c:varyColors val="0"/>
        <c:ser>
          <c:idx val="4"/>
          <c:order val="4"/>
          <c:tx>
            <c:strRef>
              <c:f>'KPI 7.4.12'!$E$6</c:f>
              <c:strCache>
                <c:ptCount val="1"/>
                <c:pt idx="0">
                  <c:v>รวม</c:v>
                </c:pt>
              </c:strCache>
            </c:strRef>
          </c:tx>
          <c:spPr>
            <a:ln w="28575" cap="rnd">
              <a:noFill/>
              <a:round/>
            </a:ln>
            <a:effectLst/>
          </c:spPr>
          <c:marker>
            <c:symbol val="none"/>
          </c:marker>
          <c:dLbls>
            <c:spPr>
              <a:solidFill>
                <a:srgbClr val="7030A0"/>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bg1"/>
                    </a:solidFill>
                    <a:latin typeface="Angsana New" panose="02020603050405020304" pitchFamily="18" charset="-34"/>
                    <a:ea typeface="+mn-ea"/>
                    <a:cs typeface="Angsana New" panose="02020603050405020304" pitchFamily="18" charset="-34"/>
                  </a:defRPr>
                </a:pPr>
                <a:endParaRPr lang="th-TH"/>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'KPI 7.4.12'!$A$7:$A$14</c:f>
              <c:numCache>
                <c:formatCode>General</c:formatCode>
                <c:ptCount val="8"/>
                <c:pt idx="0">
                  <c:v>2561</c:v>
                </c:pt>
                <c:pt idx="1">
                  <c:v>2562</c:v>
                </c:pt>
                <c:pt idx="2">
                  <c:v>2563</c:v>
                </c:pt>
                <c:pt idx="3">
                  <c:v>2564</c:v>
                </c:pt>
                <c:pt idx="4">
                  <c:v>2565</c:v>
                </c:pt>
                <c:pt idx="5">
                  <c:v>2566</c:v>
                </c:pt>
                <c:pt idx="6">
                  <c:v>2567</c:v>
                </c:pt>
                <c:pt idx="7">
                  <c:v>2568</c:v>
                </c:pt>
              </c:numCache>
            </c:numRef>
          </c:cat>
          <c:val>
            <c:numRef>
              <c:f>'KPI 7.4.12'!$E$7:$E$14</c:f>
              <c:numCache>
                <c:formatCode>General</c:formatCode>
                <c:ptCount val="8"/>
                <c:pt idx="0">
                  <c:v>106</c:v>
                </c:pt>
                <c:pt idx="1">
                  <c:v>62</c:v>
                </c:pt>
                <c:pt idx="2">
                  <c:v>68</c:v>
                </c:pt>
                <c:pt idx="3">
                  <c:v>76</c:v>
                </c:pt>
                <c:pt idx="4">
                  <c:v>104</c:v>
                </c:pt>
                <c:pt idx="5">
                  <c:v>96</c:v>
                </c:pt>
                <c:pt idx="6">
                  <c:v>145</c:v>
                </c:pt>
                <c:pt idx="7">
                  <c:v>63</c:v>
                </c:pt>
              </c:numCache>
            </c:numRef>
          </c:val>
          <c:smooth val="0"/>
          <c:extLst>
            <c:ext xmlns:c16="http://schemas.microsoft.com/office/drawing/2014/chart" uri="{C3380CC4-5D6E-409C-BE32-E72D297353CC}">
              <c16:uniqueId val="{00000007-D28D-40FE-9A10-CA1019BA88D7}"/>
            </c:ext>
          </c:extLst>
        </c:ser>
        <c:ser>
          <c:idx val="5"/>
          <c:order val="5"/>
          <c:tx>
            <c:strRef>
              <c:f>'KPI 7.4.12'!$F$6</c:f>
              <c:strCache>
                <c:ptCount val="1"/>
                <c:pt idx="0">
                  <c:v>STD</c:v>
                </c:pt>
              </c:strCache>
            </c:strRef>
          </c:tx>
          <c:spPr>
            <a:ln w="28575" cap="rnd">
              <a:solidFill>
                <a:schemeClr val="accent6"/>
              </a:solidFill>
              <a:round/>
            </a:ln>
            <a:effectLst/>
          </c:spPr>
          <c:marker>
            <c:symbol val="none"/>
          </c:marker>
          <c:cat>
            <c:numRef>
              <c:f>'KPI 7.4.12'!$A$7:$A$14</c:f>
              <c:numCache>
                <c:formatCode>General</c:formatCode>
                <c:ptCount val="8"/>
                <c:pt idx="0">
                  <c:v>2561</c:v>
                </c:pt>
                <c:pt idx="1">
                  <c:v>2562</c:v>
                </c:pt>
                <c:pt idx="2">
                  <c:v>2563</c:v>
                </c:pt>
                <c:pt idx="3">
                  <c:v>2564</c:v>
                </c:pt>
                <c:pt idx="4">
                  <c:v>2565</c:v>
                </c:pt>
                <c:pt idx="5">
                  <c:v>2566</c:v>
                </c:pt>
                <c:pt idx="6">
                  <c:v>2567</c:v>
                </c:pt>
                <c:pt idx="7">
                  <c:v>2568</c:v>
                </c:pt>
              </c:numCache>
            </c:numRef>
          </c:cat>
          <c:val>
            <c:numRef>
              <c:f>'KPI 7.4.12'!$F$7:$F$14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8-D28D-40FE-9A10-CA1019BA88D7}"/>
            </c:ext>
          </c:extLst>
        </c:ser>
        <c:dLbls>
          <c:showLegendKey val="0"/>
          <c:showVal val="0"/>
          <c:showCatName val="0"/>
          <c:showSerName val="0"/>
          <c:showPercent val="0"/>
          <c:showBubbleSize val="0"/>
        </c:dLbls>
        <c:upDownBars>
          <c:gapWidth val="28"/>
          <c:upBars>
            <c:spPr>
              <a:solidFill>
                <a:schemeClr val="lt1"/>
              </a:solidFill>
              <a:ln w="9525">
                <a:solidFill>
                  <a:schemeClr val="tx1">
                    <a:lumMod val="15000"/>
                    <a:lumOff val="85000"/>
                  </a:schemeClr>
                </a:solidFill>
              </a:ln>
              <a:effectLst/>
            </c:spPr>
          </c:upBars>
          <c:downBars>
            <c:spPr>
              <a:gradFill>
                <a:gsLst>
                  <a:gs pos="0">
                    <a:srgbClr val="7030A0"/>
                  </a:gs>
                  <a:gs pos="40000">
                    <a:srgbClr val="D7E9F5">
                      <a:alpha val="0"/>
                    </a:srgbClr>
                  </a:gs>
                  <a:gs pos="98000">
                    <a:schemeClr val="bg1">
                      <a:alpha val="0"/>
                    </a:schemeClr>
                  </a:gs>
                </a:gsLst>
                <a:lin ang="5400000" scaled="1"/>
              </a:gradFill>
              <a:ln w="9525">
                <a:gradFill>
                  <a:gsLst>
                    <a:gs pos="0">
                      <a:schemeClr val="bg1"/>
                    </a:gs>
                    <a:gs pos="100000">
                      <a:schemeClr val="bg1"/>
                    </a:gs>
                  </a:gsLst>
                  <a:lin ang="5400000" scaled="1"/>
                </a:gradFill>
              </a:ln>
              <a:effectLst/>
            </c:spPr>
          </c:downBars>
        </c:upDownBars>
        <c:marker val="1"/>
        <c:smooth val="0"/>
        <c:axId val="526195327"/>
        <c:axId val="526199167"/>
      </c:lineChart>
      <c:catAx>
        <c:axId val="4172441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r>
                  <a:rPr lang="th-TH"/>
                  <a:t>ปีงบประมาณ</a:t>
                </a:r>
                <a:endParaRPr lang="en-US"/>
              </a:p>
            </c:rich>
          </c:tx>
          <c:layout>
            <c:manualLayout>
              <c:xMode val="edge"/>
              <c:yMode val="edge"/>
              <c:x val="0.87542851742550187"/>
              <c:y val="0.76884985734775046"/>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crossAx val="417245631"/>
        <c:crosses val="autoZero"/>
        <c:auto val="1"/>
        <c:lblAlgn val="ctr"/>
        <c:lblOffset val="100"/>
        <c:noMultiLvlLbl val="0"/>
      </c:catAx>
      <c:valAx>
        <c:axId val="417245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r>
                  <a:rPr lang="th-TH"/>
                  <a:t>จำนวนครั้ง</a:t>
                </a:r>
                <a:endParaRPr lang="en-US"/>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crossAx val="417244191"/>
        <c:crosses val="autoZero"/>
        <c:crossBetween val="between"/>
      </c:valAx>
      <c:valAx>
        <c:axId val="526199167"/>
        <c:scaling>
          <c:orientation val="minMax"/>
          <c:max val="15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crossAx val="526195327"/>
        <c:crosses val="max"/>
        <c:crossBetween val="between"/>
      </c:valAx>
      <c:catAx>
        <c:axId val="526195327"/>
        <c:scaling>
          <c:orientation val="minMax"/>
        </c:scaling>
        <c:delete val="1"/>
        <c:axPos val="b"/>
        <c:numFmt formatCode="General" sourceLinked="1"/>
        <c:majorTickMark val="out"/>
        <c:minorTickMark val="none"/>
        <c:tickLblPos val="nextTo"/>
        <c:crossAx val="526199167"/>
        <c:crosses val="autoZero"/>
        <c:auto val="1"/>
        <c:lblAlgn val="ctr"/>
        <c:lblOffset val="100"/>
        <c:noMultiLvlLbl val="0"/>
      </c:cat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400">
          <a:solidFill>
            <a:sysClr val="windowText" lastClr="000000"/>
          </a:solidFill>
          <a:latin typeface="Angsana New" panose="02020603050405020304" pitchFamily="18" charset="-34"/>
          <a:cs typeface="Angsana New" panose="02020603050405020304" pitchFamily="18" charset="-34"/>
        </a:defRPr>
      </a:pPr>
      <a:endParaRPr lang="th-TH"/>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r>
              <a:rPr lang="en-US"/>
              <a:t>KPI 7.4.14-1 </a:t>
            </a:r>
            <a:r>
              <a:rPr lang="th-TH"/>
              <a:t>จำนวนครั้งของการดำเนินการโครงการสัตว์ปลอดโรค ป้องการโรคพิษสุนัขบ้า 2566-2568</a:t>
            </a:r>
            <a:endParaRPr lang="en-US"/>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autoTitleDeleted val="0"/>
    <c:plotArea>
      <c:layout>
        <c:manualLayout>
          <c:layoutTarget val="inner"/>
          <c:xMode val="edge"/>
          <c:yMode val="edge"/>
          <c:x val="0.16068992444585004"/>
          <c:y val="0.19239600999697692"/>
          <c:w val="0.72647178269320123"/>
          <c:h val="0.63197110865746331"/>
        </c:manualLayout>
      </c:layout>
      <c:barChart>
        <c:barDir val="col"/>
        <c:grouping val="clustered"/>
        <c:varyColors val="0"/>
        <c:ser>
          <c:idx val="0"/>
          <c:order val="0"/>
          <c:tx>
            <c:strRef>
              <c:f>'KPI 7.4.14'!$B$5</c:f>
              <c:strCache>
                <c:ptCount val="1"/>
                <c:pt idx="0">
                  <c:v>จำนวนครั้งของการดำเนินโครงการสัตว์ปลอดโรคฯ</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D38E-4659-91C1-3780DBAF22B4}"/>
              </c:ext>
            </c:extLst>
          </c:dPt>
          <c:dPt>
            <c:idx val="1"/>
            <c:invertIfNegative val="0"/>
            <c:bubble3D val="0"/>
            <c:spPr>
              <a:solidFill>
                <a:srgbClr val="FFC000"/>
              </a:solidFill>
              <a:ln>
                <a:noFill/>
              </a:ln>
              <a:effectLst/>
            </c:spPr>
            <c:extLst>
              <c:ext xmlns:c16="http://schemas.microsoft.com/office/drawing/2014/chart" uri="{C3380CC4-5D6E-409C-BE32-E72D297353CC}">
                <c16:uniqueId val="{00000003-D38E-4659-91C1-3780DBAF22B4}"/>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5-D38E-4659-91C1-3780DBAF22B4}"/>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7-D38E-4659-91C1-3780DBAF22B4}"/>
              </c:ext>
            </c:extLst>
          </c:dPt>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'KPI 7.4.14'!$A$6:$A$9</c:f>
              <c:strCache>
                <c:ptCount val="4"/>
                <c:pt idx="0">
                  <c:v>ปี 2565</c:v>
                </c:pt>
                <c:pt idx="1">
                  <c:v>ปี 2566</c:v>
                </c:pt>
                <c:pt idx="2">
                  <c:v>ปี 2567</c:v>
                </c:pt>
                <c:pt idx="3">
                  <c:v>ปี 2568</c:v>
                </c:pt>
              </c:strCache>
            </c:strRef>
          </c:cat>
          <c:val>
            <c:numRef>
              <c:f>'KPI 7.4.14'!$B$6:$B$9</c:f>
              <c:numCache>
                <c:formatCode>General</c:formatCode>
                <c:ptCount val="4"/>
                <c:pt idx="0">
                  <c:v>20</c:v>
                </c:pt>
                <c:pt idx="1">
                  <c:v>20</c:v>
                </c:pt>
                <c:pt idx="2">
                  <c:v>13</c:v>
                </c:pt>
                <c:pt idx="3">
                  <c:v>8</c:v>
                </c:pt>
              </c:numCache>
            </c:numRef>
          </c:val>
          <c:extLst>
            <c:ext xmlns:c16="http://schemas.microsoft.com/office/drawing/2014/chart" uri="{C3380CC4-5D6E-409C-BE32-E72D297353CC}">
              <c16:uniqueId val="{00000008-D38E-4659-91C1-3780DBAF22B4}"/>
            </c:ext>
          </c:extLst>
        </c:ser>
        <c:dLbls>
          <c:showLegendKey val="0"/>
          <c:showVal val="0"/>
          <c:showCatName val="0"/>
          <c:showSerName val="0"/>
          <c:showPercent val="0"/>
          <c:showBubbleSize val="0"/>
        </c:dLbls>
        <c:gapWidth val="107"/>
        <c:overlap val="-27"/>
        <c:axId val="223922847"/>
        <c:axId val="216632287"/>
      </c:barChart>
      <c:catAx>
        <c:axId val="223922847"/>
        <c:scaling>
          <c:orientation val="minMax"/>
        </c:scaling>
        <c:delete val="0"/>
        <c:axPos val="b"/>
        <c:title>
          <c:tx>
            <c:rich>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r>
                  <a:rPr lang="th-TH"/>
                  <a:t>ปีงบประมาณ</a:t>
                </a:r>
                <a:endParaRPr lang="en-US"/>
              </a:p>
            </c:rich>
          </c:tx>
          <c:layout>
            <c:manualLayout>
              <c:xMode val="edge"/>
              <c:yMode val="edge"/>
              <c:x val="0.85014080279645021"/>
              <c:y val="0.86308402279155483"/>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crossAx val="216632287"/>
        <c:crosses val="autoZero"/>
        <c:auto val="1"/>
        <c:lblAlgn val="ctr"/>
        <c:lblOffset val="100"/>
        <c:noMultiLvlLbl val="0"/>
      </c:catAx>
      <c:valAx>
        <c:axId val="216632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r>
                  <a:rPr lang="th-TH"/>
                  <a:t>จำนวนครั้งที่ดำเนินโครงการ</a:t>
                </a:r>
              </a:p>
            </c:rich>
          </c:tx>
          <c:layout>
            <c:manualLayout>
              <c:xMode val="edge"/>
              <c:yMode val="edge"/>
              <c:x val="2.8420573657743763E-2"/>
              <c:y val="0.2972814566889152"/>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crossAx val="22392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400">
          <a:solidFill>
            <a:sysClr val="windowText" lastClr="000000"/>
          </a:solidFill>
          <a:latin typeface="Angsana New" panose="02020603050405020304" pitchFamily="18" charset="-34"/>
          <a:cs typeface="Angsana New" panose="02020603050405020304" pitchFamily="18" charset="-34"/>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r>
              <a:rPr lang="en-US"/>
              <a:t>KPI 7.4.14-2 </a:t>
            </a:r>
            <a:r>
              <a:rPr lang="th-TH"/>
              <a:t>จำนวนคนผู้เข้าร่วมอบรมในโครงการสัตว์ปลอดโรค ป้องการโรคพิษสุนัขบ้า 2566-2568</a:t>
            </a:r>
            <a:endParaRPr lang="en-US"/>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autoTitleDeleted val="0"/>
    <c:plotArea>
      <c:layout>
        <c:manualLayout>
          <c:layoutTarget val="inner"/>
          <c:xMode val="edge"/>
          <c:yMode val="edge"/>
          <c:x val="0.18192582442216301"/>
          <c:y val="0.19239600999697692"/>
          <c:w val="0.70523588256798053"/>
          <c:h val="0.63197110865746331"/>
        </c:manualLayout>
      </c:layout>
      <c:barChart>
        <c:barDir val="col"/>
        <c:grouping val="clustered"/>
        <c:varyColors val="0"/>
        <c:ser>
          <c:idx val="0"/>
          <c:order val="0"/>
          <c:tx>
            <c:strRef>
              <c:f>'KPI 7.4.14'!$B$12</c:f>
              <c:strCache>
                <c:ptCount val="1"/>
                <c:pt idx="0">
                  <c:v>จำนวนผู้เข้ารบการอบรม (คน)</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FE34-43E3-B497-59233340D1EF}"/>
              </c:ext>
            </c:extLst>
          </c:dPt>
          <c:dPt>
            <c:idx val="1"/>
            <c:invertIfNegative val="0"/>
            <c:bubble3D val="0"/>
            <c:spPr>
              <a:solidFill>
                <a:srgbClr val="FFC000"/>
              </a:solidFill>
              <a:ln>
                <a:noFill/>
              </a:ln>
              <a:effectLst/>
            </c:spPr>
            <c:extLst>
              <c:ext xmlns:c16="http://schemas.microsoft.com/office/drawing/2014/chart" uri="{C3380CC4-5D6E-409C-BE32-E72D297353CC}">
                <c16:uniqueId val="{00000003-FE34-43E3-B497-59233340D1EF}"/>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5-FE34-43E3-B497-59233340D1EF}"/>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7-FE34-43E3-B497-59233340D1EF}"/>
              </c:ext>
            </c:extLst>
          </c:dPt>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'KPI 7.4.14'!$A$13:$A$16</c:f>
              <c:strCache>
                <c:ptCount val="4"/>
                <c:pt idx="0">
                  <c:v>ปี 2565</c:v>
                </c:pt>
                <c:pt idx="1">
                  <c:v>ปี 2566</c:v>
                </c:pt>
                <c:pt idx="2">
                  <c:v>ปี 2567</c:v>
                </c:pt>
                <c:pt idx="3">
                  <c:v>ปี 2568</c:v>
                </c:pt>
              </c:strCache>
            </c:strRef>
          </c:cat>
          <c:val>
            <c:numRef>
              <c:f>'KPI 7.4.14'!$B$13:$B$16</c:f>
              <c:numCache>
                <c:formatCode>#,##0</c:formatCode>
                <c:ptCount val="4"/>
                <c:pt idx="0" formatCode="General">
                  <c:v>965</c:v>
                </c:pt>
                <c:pt idx="1">
                  <c:v>1721</c:v>
                </c:pt>
                <c:pt idx="2">
                  <c:v>1411</c:v>
                </c:pt>
                <c:pt idx="3" formatCode="General">
                  <c:v>742</c:v>
                </c:pt>
              </c:numCache>
            </c:numRef>
          </c:val>
          <c:extLst>
            <c:ext xmlns:c16="http://schemas.microsoft.com/office/drawing/2014/chart" uri="{C3380CC4-5D6E-409C-BE32-E72D297353CC}">
              <c16:uniqueId val="{00000009-FE34-43E3-B497-59233340D1EF}"/>
            </c:ext>
          </c:extLst>
        </c:ser>
        <c:dLbls>
          <c:showLegendKey val="0"/>
          <c:showVal val="0"/>
          <c:showCatName val="0"/>
          <c:showSerName val="0"/>
          <c:showPercent val="0"/>
          <c:showBubbleSize val="0"/>
        </c:dLbls>
        <c:gapWidth val="107"/>
        <c:overlap val="-27"/>
        <c:axId val="223922847"/>
        <c:axId val="216632287"/>
      </c:barChart>
      <c:catAx>
        <c:axId val="223922847"/>
        <c:scaling>
          <c:orientation val="minMax"/>
        </c:scaling>
        <c:delete val="0"/>
        <c:axPos val="b"/>
        <c:title>
          <c:tx>
            <c:rich>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r>
                  <a:rPr lang="th-TH"/>
                  <a:t>ปีงบประมาณ</a:t>
                </a:r>
                <a:endParaRPr lang="en-US"/>
              </a:p>
            </c:rich>
          </c:tx>
          <c:layout>
            <c:manualLayout>
              <c:xMode val="edge"/>
              <c:yMode val="edge"/>
              <c:x val="0.85014080279645021"/>
              <c:y val="0.86308402279155483"/>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crossAx val="216632287"/>
        <c:crosses val="autoZero"/>
        <c:auto val="1"/>
        <c:lblAlgn val="ctr"/>
        <c:lblOffset val="100"/>
        <c:noMultiLvlLbl val="0"/>
      </c:catAx>
      <c:valAx>
        <c:axId val="216632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r>
                  <a:rPr lang="th-TH"/>
                  <a:t>จำนวน (คน)</a:t>
                </a:r>
              </a:p>
            </c:rich>
          </c:tx>
          <c:layout>
            <c:manualLayout>
              <c:xMode val="edge"/>
              <c:yMode val="edge"/>
              <c:x val="1.7802623595133387E-2"/>
              <c:y val="0.43105867939490455"/>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crossAx val="22392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400">
          <a:solidFill>
            <a:sysClr val="windowText" lastClr="000000"/>
          </a:solidFill>
          <a:latin typeface="Angsana New" panose="02020603050405020304" pitchFamily="18" charset="-34"/>
          <a:cs typeface="Angsana New" panose="02020603050405020304" pitchFamily="18" charset="-34"/>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r>
              <a:rPr lang="en-US"/>
              <a:t>KPI 7.4.15 </a:t>
            </a:r>
            <a:r>
              <a:rPr lang="th-TH"/>
              <a:t>จำนวนสัตว์ที่ได้รับการทำหมัน 2566-2568</a:t>
            </a:r>
            <a:endParaRPr lang="en-US"/>
          </a:p>
        </c:rich>
      </c:tx>
      <c:overlay val="0"/>
      <c:spPr>
        <a:noFill/>
        <a:ln>
          <a:noFill/>
        </a:ln>
        <a:effectLst/>
      </c:spPr>
      <c:txPr>
        <a:bodyPr rot="0" spcFirstLastPara="1" vertOverflow="ellipsis" vert="horz" wrap="square" anchor="ctr" anchorCtr="1"/>
        <a:lstStyle/>
        <a:p>
          <a:pPr>
            <a:defRPr sz="1440" b="1" i="0" u="none" strike="noStrike" kern="1200" spc="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autoTitleDeleted val="0"/>
    <c:plotArea>
      <c:layout>
        <c:manualLayout>
          <c:layoutTarget val="inner"/>
          <c:xMode val="edge"/>
          <c:yMode val="edge"/>
          <c:x val="0.15475467784268904"/>
          <c:y val="0.24558175380432018"/>
          <c:w val="0.78503851998257312"/>
          <c:h val="0.5414859569146655"/>
        </c:manualLayout>
      </c:layout>
      <c:barChart>
        <c:barDir val="col"/>
        <c:grouping val="clustered"/>
        <c:varyColors val="0"/>
        <c:ser>
          <c:idx val="0"/>
          <c:order val="0"/>
          <c:tx>
            <c:strRef>
              <c:f>'KPI 7.4.15'!$B$5</c:f>
              <c:strCache>
                <c:ptCount val="1"/>
                <c:pt idx="0">
                  <c:v>จำนวนสัตว์การทำหมัน (ตัว)</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'KPI 7.4.15'!$A$6:$A$9</c:f>
              <c:strCache>
                <c:ptCount val="4"/>
                <c:pt idx="0">
                  <c:v>ปี 2565</c:v>
                </c:pt>
                <c:pt idx="1">
                  <c:v>ปี 2566</c:v>
                </c:pt>
                <c:pt idx="2">
                  <c:v>ปี 2567</c:v>
                </c:pt>
                <c:pt idx="3">
                  <c:v>ปี 2568</c:v>
                </c:pt>
              </c:strCache>
            </c:strRef>
          </c:cat>
          <c:val>
            <c:numRef>
              <c:f>'KPI 7.4.15'!$B$6:$B$9</c:f>
              <c:numCache>
                <c:formatCode>#,##0</c:formatCode>
                <c:ptCount val="4"/>
                <c:pt idx="0">
                  <c:v>3321</c:v>
                </c:pt>
                <c:pt idx="1">
                  <c:v>2492</c:v>
                </c:pt>
                <c:pt idx="2" formatCode="General">
                  <c:v>167</c:v>
                </c:pt>
                <c:pt idx="3" formatCode="General">
                  <c:v>222</c:v>
                </c:pt>
              </c:numCache>
            </c:numRef>
          </c:val>
          <c:extLst>
            <c:ext xmlns:c16="http://schemas.microsoft.com/office/drawing/2014/chart" uri="{C3380CC4-5D6E-409C-BE32-E72D297353CC}">
              <c16:uniqueId val="{00000000-B524-474E-AB7F-2D2D465B6586}"/>
            </c:ext>
          </c:extLst>
        </c:ser>
        <c:ser>
          <c:idx val="1"/>
          <c:order val="1"/>
          <c:tx>
            <c:strRef>
              <c:f>'KPI 7.4.15'!$C$5</c:f>
              <c:strCache>
                <c:ptCount val="1"/>
                <c:pt idx="0">
                  <c:v>จำนวนสัตว์การฉีดวัคซีน (ตัว)</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7.4.15'!$A$6:$A$9</c:f>
              <c:strCache>
                <c:ptCount val="4"/>
                <c:pt idx="0">
                  <c:v>ปี 2565</c:v>
                </c:pt>
                <c:pt idx="1">
                  <c:v>ปี 2566</c:v>
                </c:pt>
                <c:pt idx="2">
                  <c:v>ปี 2567</c:v>
                </c:pt>
                <c:pt idx="3">
                  <c:v>ปี 2568</c:v>
                </c:pt>
              </c:strCache>
            </c:strRef>
          </c:cat>
          <c:val>
            <c:numRef>
              <c:f>'KPI 7.4.15'!$C$6:$C$9</c:f>
              <c:numCache>
                <c:formatCode>#,##0</c:formatCode>
                <c:ptCount val="4"/>
                <c:pt idx="0">
                  <c:v>2355</c:v>
                </c:pt>
                <c:pt idx="1">
                  <c:v>1963</c:v>
                </c:pt>
                <c:pt idx="2" formatCode="General">
                  <c:v>0</c:v>
                </c:pt>
                <c:pt idx="3" formatCode="General">
                  <c:v>32</c:v>
                </c:pt>
              </c:numCache>
            </c:numRef>
          </c:val>
          <c:extLst>
            <c:ext xmlns:c16="http://schemas.microsoft.com/office/drawing/2014/chart" uri="{C3380CC4-5D6E-409C-BE32-E72D297353CC}">
              <c16:uniqueId val="{00000001-B524-474E-AB7F-2D2D465B6586}"/>
            </c:ext>
          </c:extLst>
        </c:ser>
        <c:dLbls>
          <c:showLegendKey val="0"/>
          <c:showVal val="0"/>
          <c:showCatName val="0"/>
          <c:showSerName val="0"/>
          <c:showPercent val="0"/>
          <c:showBubbleSize val="0"/>
        </c:dLbls>
        <c:gapWidth val="35"/>
        <c:overlap val="-27"/>
        <c:axId val="392016239"/>
        <c:axId val="392021999"/>
      </c:barChart>
      <c:catAx>
        <c:axId val="3920162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r>
                  <a:rPr lang="th-TH"/>
                  <a:t>ปีงบประมาณ</a:t>
                </a:r>
                <a:endParaRPr lang="en-US"/>
              </a:p>
            </c:rich>
          </c:tx>
          <c:layout>
            <c:manualLayout>
              <c:xMode val="edge"/>
              <c:yMode val="edge"/>
              <c:x val="0.87805668016194327"/>
              <c:y val="0.81379574090634788"/>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crossAx val="392021999"/>
        <c:crosses val="autoZero"/>
        <c:auto val="1"/>
        <c:lblAlgn val="ctr"/>
        <c:lblOffset val="100"/>
        <c:noMultiLvlLbl val="0"/>
      </c:catAx>
      <c:valAx>
        <c:axId val="392021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r>
                  <a:rPr lang="th-TH"/>
                  <a:t>จำนวน (ตัว)</a:t>
                </a:r>
                <a:endParaRPr lang="en-US"/>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en-US"/>
          </a:p>
        </c:txPr>
        <c:crossAx val="392016239"/>
        <c:crosses val="autoZero"/>
        <c:crossBetween val="between"/>
      </c:valAx>
      <c:spPr>
        <a:noFill/>
        <a:ln>
          <a:noFill/>
        </a:ln>
        <a:effectLst/>
      </c:spPr>
    </c:plotArea>
    <c:legend>
      <c:legendPos val="r"/>
      <c:legendEntry>
        <c:idx val="2"/>
        <c:delete val="1"/>
      </c:legendEntry>
      <c:layout>
        <c:manualLayout>
          <c:xMode val="edge"/>
          <c:yMode val="edge"/>
          <c:x val="0.16820512820512817"/>
          <c:y val="0.82163951112759104"/>
          <c:w val="0.6239676113360324"/>
          <c:h val="0.16286518201845268"/>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Angsana New" panose="02020603050405020304" pitchFamily="18" charset="-34"/>
              <a:ea typeface="+mn-ea"/>
              <a:cs typeface="Angsana New" panose="02020603050405020304" pitchFamily="18" charset="-34"/>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200" b="1">
          <a:solidFill>
            <a:sysClr val="windowText" lastClr="000000"/>
          </a:solidFill>
          <a:latin typeface="Angsana New" panose="02020603050405020304" pitchFamily="18" charset="-34"/>
          <a:cs typeface="Angsana New" panose="02020603050405020304" pitchFamily="18" charset="-34"/>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oneCellAnchor>
    <xdr:from>
      <xdr:col>1</xdr:col>
      <xdr:colOff>152400</xdr:colOff>
      <xdr:row>25</xdr:row>
      <xdr:rowOff>285750</xdr:rowOff>
    </xdr:from>
    <xdr:ext cx="3781425" cy="5810250"/>
    <xdr:pic>
      <xdr:nvPicPr>
        <xdr:cNvPr id="3" name="image1.jpg" title="รูปภาพ">
          <a:extLst>
            <a:ext uri="{FF2B5EF4-FFF2-40B4-BE49-F238E27FC236}">
              <a16:creationId xmlns:a16="http://schemas.microsoft.com/office/drawing/2014/main" id="{BB3EA28B-E324-4B90-AFE8-AAC5A771EE31}"/>
            </a:ext>
          </a:extLst>
        </xdr:cNvPr>
        <xdr:cNvPicPr preferRelativeResize="0"/>
      </xdr:nvPicPr>
      <xdr:blipFill>
        <a:blip xmlns:r="http://schemas.openxmlformats.org/officeDocument/2006/relationships" r:embed="rId1" cstate="print"/>
        <a:stretch>
          <a:fillRect/>
        </a:stretch>
      </xdr:blipFill>
      <xdr:spPr>
        <a:xfrm>
          <a:off x="514350" y="30870525"/>
          <a:ext cx="3781425" cy="5810250"/>
        </a:xfrm>
        <a:prstGeom prst="rect">
          <a:avLst/>
        </a:prstGeom>
        <a:noFill/>
      </xdr:spPr>
    </xdr:pic>
    <xdr:clientData fLocksWithSheet="0"/>
  </xdr:oneCellAnchor>
  <xdr:oneCellAnchor>
    <xdr:from>
      <xdr:col>3</xdr:col>
      <xdr:colOff>19050</xdr:colOff>
      <xdr:row>25</xdr:row>
      <xdr:rowOff>285750</xdr:rowOff>
    </xdr:from>
    <xdr:ext cx="4067175" cy="5876925"/>
    <xdr:pic>
      <xdr:nvPicPr>
        <xdr:cNvPr id="4" name="image2.jpg" title="รูปภาพ">
          <a:extLst>
            <a:ext uri="{FF2B5EF4-FFF2-40B4-BE49-F238E27FC236}">
              <a16:creationId xmlns:a16="http://schemas.microsoft.com/office/drawing/2014/main" id="{1B76B0CB-ABE3-48D4-826C-68D0FC627C69}"/>
            </a:ext>
          </a:extLst>
        </xdr:cNvPr>
        <xdr:cNvPicPr preferRelativeResize="0"/>
      </xdr:nvPicPr>
      <xdr:blipFill>
        <a:blip xmlns:r="http://schemas.openxmlformats.org/officeDocument/2006/relationships" r:embed="rId2" cstate="print"/>
        <a:stretch>
          <a:fillRect/>
        </a:stretch>
      </xdr:blipFill>
      <xdr:spPr>
        <a:xfrm>
          <a:off x="4143375" y="30870525"/>
          <a:ext cx="4067175" cy="5876925"/>
        </a:xfrm>
        <a:prstGeom prst="rect">
          <a:avLst/>
        </a:prstGeom>
        <a:noFill/>
      </xdr:spPr>
    </xdr:pic>
    <xdr:clientData fLocksWithSheet="0"/>
  </xdr:oneCellAnchor>
  <xdr:oneCellAnchor>
    <xdr:from>
      <xdr:col>5</xdr:col>
      <xdr:colOff>361950</xdr:colOff>
      <xdr:row>25</xdr:row>
      <xdr:rowOff>285750</xdr:rowOff>
    </xdr:from>
    <xdr:ext cx="4210050" cy="5810250"/>
    <xdr:pic>
      <xdr:nvPicPr>
        <xdr:cNvPr id="5" name="image3.jpg" title="รูปภาพ">
          <a:extLst>
            <a:ext uri="{FF2B5EF4-FFF2-40B4-BE49-F238E27FC236}">
              <a16:creationId xmlns:a16="http://schemas.microsoft.com/office/drawing/2014/main" id="{E7B34B35-E127-4950-86FF-C0A8FCA0B3F7}"/>
            </a:ext>
          </a:extLst>
        </xdr:cNvPr>
        <xdr:cNvPicPr preferRelativeResize="0"/>
      </xdr:nvPicPr>
      <xdr:blipFill>
        <a:blip xmlns:r="http://schemas.openxmlformats.org/officeDocument/2006/relationships" r:embed="rId3" cstate="print"/>
        <a:stretch>
          <a:fillRect/>
        </a:stretch>
      </xdr:blipFill>
      <xdr:spPr>
        <a:xfrm>
          <a:off x="8077200" y="30870525"/>
          <a:ext cx="4210050" cy="58102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xdr:col>
      <xdr:colOff>586315</xdr:colOff>
      <xdr:row>4</xdr:row>
      <xdr:rowOff>105834</xdr:rowOff>
    </xdr:from>
    <xdr:to>
      <xdr:col>12</xdr:col>
      <xdr:colOff>169333</xdr:colOff>
      <xdr:row>15</xdr:row>
      <xdr:rowOff>2217964</xdr:rowOff>
    </xdr:to>
    <xdr:graphicFrame macro="">
      <xdr:nvGraphicFramePr>
        <xdr:cNvPr id="2" name="Chart 1">
          <a:extLst>
            <a:ext uri="{FF2B5EF4-FFF2-40B4-BE49-F238E27FC236}">
              <a16:creationId xmlns:a16="http://schemas.microsoft.com/office/drawing/2014/main" id="{1AF3DAF2-E4A4-81C0-5D95-46DF8A44C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238125</xdr:colOff>
      <xdr:row>3</xdr:row>
      <xdr:rowOff>280987</xdr:rowOff>
    </xdr:from>
    <xdr:to>
      <xdr:col>11</xdr:col>
      <xdr:colOff>542925</xdr:colOff>
      <xdr:row>11</xdr:row>
      <xdr:rowOff>33337</xdr:rowOff>
    </xdr:to>
    <xdr:graphicFrame macro="">
      <xdr:nvGraphicFramePr>
        <xdr:cNvPr id="2" name="Chart 1">
          <a:extLst>
            <a:ext uri="{FF2B5EF4-FFF2-40B4-BE49-F238E27FC236}">
              <a16:creationId xmlns:a16="http://schemas.microsoft.com/office/drawing/2014/main" id="{0C6803E2-D5E0-677D-755A-43DDCDA33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161924</xdr:colOff>
      <xdr:row>3</xdr:row>
      <xdr:rowOff>271462</xdr:rowOff>
    </xdr:from>
    <xdr:to>
      <xdr:col>12</xdr:col>
      <xdr:colOff>419099</xdr:colOff>
      <xdr:row>12</xdr:row>
      <xdr:rowOff>95250</xdr:rowOff>
    </xdr:to>
    <xdr:graphicFrame macro="">
      <xdr:nvGraphicFramePr>
        <xdr:cNvPr id="2" name="Chart 1">
          <a:extLst>
            <a:ext uri="{FF2B5EF4-FFF2-40B4-BE49-F238E27FC236}">
              <a16:creationId xmlns:a16="http://schemas.microsoft.com/office/drawing/2014/main" id="{226D697D-4B5B-4D69-B589-FD247A3BB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219075</xdr:colOff>
      <xdr:row>2</xdr:row>
      <xdr:rowOff>280986</xdr:rowOff>
    </xdr:from>
    <xdr:to>
      <xdr:col>10</xdr:col>
      <xdr:colOff>552450</xdr:colOff>
      <xdr:row>14</xdr:row>
      <xdr:rowOff>228599</xdr:rowOff>
    </xdr:to>
    <xdr:graphicFrame macro="">
      <xdr:nvGraphicFramePr>
        <xdr:cNvPr id="2" name="Chart 1">
          <a:extLst>
            <a:ext uri="{FF2B5EF4-FFF2-40B4-BE49-F238E27FC236}">
              <a16:creationId xmlns:a16="http://schemas.microsoft.com/office/drawing/2014/main" id="{2710C119-ADE5-C2AE-C241-D7767D761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169860</xdr:colOff>
      <xdr:row>13</xdr:row>
      <xdr:rowOff>25399</xdr:rowOff>
    </xdr:from>
    <xdr:to>
      <xdr:col>7</xdr:col>
      <xdr:colOff>638174</xdr:colOff>
      <xdr:row>27</xdr:row>
      <xdr:rowOff>23812</xdr:rowOff>
    </xdr:to>
    <xdr:graphicFrame macro="">
      <xdr:nvGraphicFramePr>
        <xdr:cNvPr id="2" name="Chart 1">
          <a:extLst>
            <a:ext uri="{FF2B5EF4-FFF2-40B4-BE49-F238E27FC236}">
              <a16:creationId xmlns:a16="http://schemas.microsoft.com/office/drawing/2014/main" id="{35636DDE-E680-9036-1B2B-E38951BC0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128587</xdr:colOff>
      <xdr:row>3</xdr:row>
      <xdr:rowOff>290512</xdr:rowOff>
    </xdr:from>
    <xdr:to>
      <xdr:col>15</xdr:col>
      <xdr:colOff>504824</xdr:colOff>
      <xdr:row>10</xdr:row>
      <xdr:rowOff>209550</xdr:rowOff>
    </xdr:to>
    <xdr:graphicFrame macro="">
      <xdr:nvGraphicFramePr>
        <xdr:cNvPr id="4" name="Chart 3">
          <a:extLst>
            <a:ext uri="{FF2B5EF4-FFF2-40B4-BE49-F238E27FC236}">
              <a16:creationId xmlns:a16="http://schemas.microsoft.com/office/drawing/2014/main" id="{0F92657E-0168-5998-226F-633E9F3E7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0.87834</cdr:x>
      <cdr:y>0.17072</cdr:y>
    </cdr:from>
    <cdr:to>
      <cdr:x>0.94162</cdr:x>
      <cdr:y>0.2693</cdr:y>
    </cdr:to>
    <cdr:sp macro="" textlink="">
      <cdr:nvSpPr>
        <cdr:cNvPr id="2" name="Arrow: Up 1">
          <a:extLst xmlns:a="http://schemas.openxmlformats.org/drawingml/2006/main">
            <a:ext uri="{FF2B5EF4-FFF2-40B4-BE49-F238E27FC236}">
              <a16:creationId xmlns:a16="http://schemas.microsoft.com/office/drawing/2014/main" id="{C516F242-8EF1-33CC-18A7-8B1511A3215B}"/>
            </a:ext>
          </a:extLst>
        </cdr:cNvPr>
        <cdr:cNvSpPr/>
      </cdr:nvSpPr>
      <cdr:spPr>
        <a:xfrm xmlns:a="http://schemas.openxmlformats.org/drawingml/2006/main">
          <a:off x="4848225" y="646113"/>
          <a:ext cx="349250" cy="373063"/>
        </a:xfrm>
        <a:prstGeom xmlns:a="http://schemas.openxmlformats.org/drawingml/2006/main" prst="upArrow">
          <a:avLst/>
        </a:prstGeom>
        <a:solidFill xmlns:a="http://schemas.openxmlformats.org/drawingml/2006/main">
          <a:srgbClr val="FF0000"/>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8.xml><?xml version="1.0" encoding="utf-8"?>
<xdr:wsDr xmlns:xdr="http://schemas.openxmlformats.org/drawingml/2006/spreadsheetDrawing" xmlns:a="http://schemas.openxmlformats.org/drawingml/2006/main">
  <xdr:twoCellAnchor>
    <xdr:from>
      <xdr:col>1</xdr:col>
      <xdr:colOff>138112</xdr:colOff>
      <xdr:row>10</xdr:row>
      <xdr:rowOff>80961</xdr:rowOff>
    </xdr:from>
    <xdr:to>
      <xdr:col>4</xdr:col>
      <xdr:colOff>304800</xdr:colOff>
      <xdr:row>22</xdr:row>
      <xdr:rowOff>295274</xdr:rowOff>
    </xdr:to>
    <xdr:graphicFrame macro="">
      <xdr:nvGraphicFramePr>
        <xdr:cNvPr id="3" name="Chart 2">
          <a:extLst>
            <a:ext uri="{FF2B5EF4-FFF2-40B4-BE49-F238E27FC236}">
              <a16:creationId xmlns:a16="http://schemas.microsoft.com/office/drawing/2014/main" id="{331BA5B9-1E71-31CC-2856-E0161E03E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485776</xdr:colOff>
      <xdr:row>10</xdr:row>
      <xdr:rowOff>85725</xdr:rowOff>
    </xdr:from>
    <xdr:to>
      <xdr:col>10</xdr:col>
      <xdr:colOff>590550</xdr:colOff>
      <xdr:row>23</xdr:row>
      <xdr:rowOff>57150</xdr:rowOff>
    </xdr:to>
    <xdr:graphicFrame macro="">
      <xdr:nvGraphicFramePr>
        <xdr:cNvPr id="4" name="Chart 3">
          <a:extLst>
            <a:ext uri="{FF2B5EF4-FFF2-40B4-BE49-F238E27FC236}">
              <a16:creationId xmlns:a16="http://schemas.microsoft.com/office/drawing/2014/main" id="{8CAA64BF-AB9B-447A-9DD2-A5677B11C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1419226</xdr:colOff>
      <xdr:row>23</xdr:row>
      <xdr:rowOff>290513</xdr:rowOff>
    </xdr:from>
    <xdr:to>
      <xdr:col>11</xdr:col>
      <xdr:colOff>571500</xdr:colOff>
      <xdr:row>35</xdr:row>
      <xdr:rowOff>66675</xdr:rowOff>
    </xdr:to>
    <xdr:graphicFrame macro="">
      <xdr:nvGraphicFramePr>
        <xdr:cNvPr id="7" name="Chart 6">
          <a:extLst>
            <a:ext uri="{FF2B5EF4-FFF2-40B4-BE49-F238E27FC236}">
              <a16:creationId xmlns:a16="http://schemas.microsoft.com/office/drawing/2014/main" id="{15BD32AD-E1C4-F672-E760-C841F105E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542924</xdr:colOff>
      <xdr:row>5</xdr:row>
      <xdr:rowOff>4762</xdr:rowOff>
    </xdr:from>
    <xdr:to>
      <xdr:col>17</xdr:col>
      <xdr:colOff>266699</xdr:colOff>
      <xdr:row>14</xdr:row>
      <xdr:rowOff>285750</xdr:rowOff>
    </xdr:to>
    <xdr:graphicFrame macro="">
      <xdr:nvGraphicFramePr>
        <xdr:cNvPr id="3" name="Chart 2">
          <a:extLst>
            <a:ext uri="{FF2B5EF4-FFF2-40B4-BE49-F238E27FC236}">
              <a16:creationId xmlns:a16="http://schemas.microsoft.com/office/drawing/2014/main" id="{EE8B10C6-4D87-658C-15FB-1D6B55213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16</xdr:row>
      <xdr:rowOff>47625</xdr:rowOff>
    </xdr:from>
    <xdr:to>
      <xdr:col>5</xdr:col>
      <xdr:colOff>190500</xdr:colOff>
      <xdr:row>28</xdr:row>
      <xdr:rowOff>66675</xdr:rowOff>
    </xdr:to>
    <xdr:graphicFrame macro="">
      <xdr:nvGraphicFramePr>
        <xdr:cNvPr id="6" name="Chart 5">
          <a:extLst>
            <a:ext uri="{FF2B5EF4-FFF2-40B4-BE49-F238E27FC236}">
              <a16:creationId xmlns:a16="http://schemas.microsoft.com/office/drawing/2014/main" id="{755AA9D6-490D-4BAD-8BCD-6EBA16E25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200025</xdr:colOff>
      <xdr:row>3</xdr:row>
      <xdr:rowOff>257175</xdr:rowOff>
    </xdr:from>
    <xdr:to>
      <xdr:col>10</xdr:col>
      <xdr:colOff>21851</xdr:colOff>
      <xdr:row>15</xdr:row>
      <xdr:rowOff>130549</xdr:rowOff>
    </xdr:to>
    <xdr:graphicFrame macro="">
      <xdr:nvGraphicFramePr>
        <xdr:cNvPr id="2" name="Chart 1">
          <a:extLst>
            <a:ext uri="{FF2B5EF4-FFF2-40B4-BE49-F238E27FC236}">
              <a16:creationId xmlns:a16="http://schemas.microsoft.com/office/drawing/2014/main" id="{78B3B209-BB3F-46F0-A42A-53A48B7FA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542925</xdr:colOff>
      <xdr:row>3</xdr:row>
      <xdr:rowOff>228600</xdr:rowOff>
    </xdr:from>
    <xdr:to>
      <xdr:col>18</xdr:col>
      <xdr:colOff>450476</xdr:colOff>
      <xdr:row>15</xdr:row>
      <xdr:rowOff>101974</xdr:rowOff>
    </xdr:to>
    <xdr:graphicFrame macro="">
      <xdr:nvGraphicFramePr>
        <xdr:cNvPr id="3" name="Chart 2">
          <a:extLst>
            <a:ext uri="{FF2B5EF4-FFF2-40B4-BE49-F238E27FC236}">
              <a16:creationId xmlns:a16="http://schemas.microsoft.com/office/drawing/2014/main" id="{96E1F89B-6520-46F3-828D-3552385AD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409575</xdr:colOff>
      <xdr:row>9</xdr:row>
      <xdr:rowOff>228599</xdr:rowOff>
    </xdr:from>
    <xdr:to>
      <xdr:col>3</xdr:col>
      <xdr:colOff>209550</xdr:colOff>
      <xdr:row>21</xdr:row>
      <xdr:rowOff>47624</xdr:rowOff>
    </xdr:to>
    <xdr:graphicFrame macro="">
      <xdr:nvGraphicFramePr>
        <xdr:cNvPr id="4" name="Chart 3">
          <a:extLst>
            <a:ext uri="{FF2B5EF4-FFF2-40B4-BE49-F238E27FC236}">
              <a16:creationId xmlns:a16="http://schemas.microsoft.com/office/drawing/2014/main" id="{4607B2B3-9A17-4EC4-9C68-FC176C1C1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5D72C-4021-422F-9F54-49353CA925EF}">
  <sheetPr>
    <tabColor rgb="FF8ED873"/>
  </sheetPr>
  <dimension ref="A1:AB52"/>
  <sheetViews>
    <sheetView topLeftCell="A5" zoomScale="120" zoomScaleNormal="120" workbookViewId="0">
      <selection activeCell="D9" sqref="D9"/>
    </sheetView>
  </sheetViews>
  <sheetFormatPr defaultColWidth="9.1796875" defaultRowHeight="23"/>
  <cols>
    <col min="1" max="1" width="9.1796875" style="40"/>
    <col min="2" max="2" width="27.81640625" style="40" customWidth="1"/>
    <col min="3" max="3" width="10.54296875" style="40" customWidth="1"/>
    <col min="4" max="5" width="11.54296875" style="40" customWidth="1"/>
    <col min="6" max="6" width="11.81640625" style="40" customWidth="1"/>
    <col min="7" max="7" width="23.1796875" style="40" customWidth="1"/>
    <col min="8" max="8" width="29" style="40" customWidth="1"/>
    <col min="9" max="9" width="31.81640625" style="40" customWidth="1"/>
    <col min="10" max="16384" width="9.1796875" style="40"/>
  </cols>
  <sheetData>
    <row r="1" spans="1:8">
      <c r="A1" s="40" t="s">
        <v>351</v>
      </c>
    </row>
    <row r="2" spans="1:8">
      <c r="A2" s="40" t="s">
        <v>352</v>
      </c>
    </row>
    <row r="3" spans="1:8">
      <c r="A3" s="40" t="s">
        <v>560</v>
      </c>
    </row>
    <row r="5" spans="1:8">
      <c r="A5" s="229" t="s">
        <v>559</v>
      </c>
      <c r="B5" s="230"/>
      <c r="C5" s="230"/>
      <c r="D5" s="230"/>
      <c r="E5" s="230"/>
      <c r="F5" s="230"/>
      <c r="G5" s="230"/>
    </row>
    <row r="6" spans="1:8" ht="42">
      <c r="A6" s="212" t="s">
        <v>5</v>
      </c>
      <c r="B6" s="213" t="s">
        <v>353</v>
      </c>
      <c r="C6" s="213" t="s">
        <v>354</v>
      </c>
      <c r="D6" s="213" t="s">
        <v>11</v>
      </c>
      <c r="E6" s="213" t="s">
        <v>12</v>
      </c>
      <c r="F6" s="213" t="s">
        <v>13</v>
      </c>
      <c r="G6" s="213" t="s">
        <v>14</v>
      </c>
    </row>
    <row r="7" spans="1:8" ht="63">
      <c r="A7" s="214" t="s">
        <v>355</v>
      </c>
      <c r="B7" s="215" t="s">
        <v>356</v>
      </c>
      <c r="C7" s="215" t="s">
        <v>15</v>
      </c>
      <c r="D7" s="215" t="s">
        <v>15</v>
      </c>
      <c r="E7" s="215" t="s">
        <v>15</v>
      </c>
      <c r="F7" s="215" t="s">
        <v>15</v>
      </c>
      <c r="G7" s="215" t="s">
        <v>357</v>
      </c>
    </row>
    <row r="8" spans="1:8">
      <c r="A8" s="214" t="s">
        <v>358</v>
      </c>
      <c r="B8" s="215" t="s">
        <v>359</v>
      </c>
      <c r="C8" s="215" t="s">
        <v>360</v>
      </c>
      <c r="D8" s="215" t="s">
        <v>361</v>
      </c>
      <c r="E8" s="215" t="s">
        <v>362</v>
      </c>
      <c r="F8" s="215" t="s">
        <v>363</v>
      </c>
      <c r="G8" s="215" t="s">
        <v>363</v>
      </c>
    </row>
    <row r="9" spans="1:8">
      <c r="A9" s="214" t="s">
        <v>364</v>
      </c>
      <c r="B9" s="215" t="s">
        <v>365</v>
      </c>
      <c r="C9" s="215" t="s">
        <v>360</v>
      </c>
      <c r="D9" s="215" t="s">
        <v>360</v>
      </c>
      <c r="E9" s="215" t="s">
        <v>360</v>
      </c>
      <c r="F9" s="215" t="s">
        <v>360</v>
      </c>
      <c r="G9" s="215" t="s">
        <v>366</v>
      </c>
    </row>
    <row r="10" spans="1:8" ht="78" customHeight="1">
      <c r="A10" s="214" t="s">
        <v>367</v>
      </c>
      <c r="B10" s="215" t="s">
        <v>368</v>
      </c>
      <c r="C10" s="216"/>
      <c r="D10" s="216"/>
      <c r="E10" s="216"/>
      <c r="F10" s="216"/>
      <c r="G10" s="215" t="s">
        <v>369</v>
      </c>
      <c r="H10" s="42"/>
    </row>
    <row r="11" spans="1:8" ht="93.75" customHeight="1">
      <c r="A11" s="214" t="s">
        <v>370</v>
      </c>
      <c r="B11" s="215" t="s">
        <v>371</v>
      </c>
      <c r="C11" s="216"/>
      <c r="D11" s="216"/>
      <c r="E11" s="216"/>
      <c r="F11" s="216"/>
      <c r="G11" s="215" t="s">
        <v>372</v>
      </c>
      <c r="H11" s="42"/>
    </row>
    <row r="12" spans="1:8" ht="42">
      <c r="A12" s="214" t="s">
        <v>373</v>
      </c>
      <c r="B12" s="216" t="s">
        <v>563</v>
      </c>
      <c r="C12" s="215" t="s">
        <v>15</v>
      </c>
      <c r="D12" s="215" t="s">
        <v>15</v>
      </c>
      <c r="E12" s="215" t="s">
        <v>15</v>
      </c>
      <c r="F12" s="215" t="s">
        <v>374</v>
      </c>
      <c r="G12" s="215" t="s">
        <v>375</v>
      </c>
    </row>
    <row r="13" spans="1:8" ht="42">
      <c r="A13" s="214" t="s">
        <v>376</v>
      </c>
      <c r="B13" s="216" t="s">
        <v>564</v>
      </c>
      <c r="C13" s="215" t="s">
        <v>375</v>
      </c>
      <c r="D13" s="215" t="s">
        <v>377</v>
      </c>
      <c r="E13" s="215" t="s">
        <v>378</v>
      </c>
      <c r="F13" s="215" t="s">
        <v>378</v>
      </c>
      <c r="G13" s="215"/>
    </row>
    <row r="14" spans="1:8">
      <c r="A14" s="41"/>
      <c r="B14" s="41"/>
      <c r="C14" s="41"/>
      <c r="D14" s="41"/>
      <c r="E14" s="41"/>
      <c r="F14" s="41"/>
      <c r="G14" s="41"/>
    </row>
    <row r="15" spans="1:8">
      <c r="A15" s="41"/>
      <c r="B15" s="41"/>
      <c r="C15" s="41"/>
      <c r="D15" s="41"/>
      <c r="E15" s="41"/>
      <c r="F15" s="41"/>
      <c r="G15" s="41"/>
    </row>
    <row r="16" spans="1:8">
      <c r="A16" s="41"/>
      <c r="B16" s="41"/>
      <c r="C16" s="41"/>
      <c r="D16" s="41"/>
      <c r="E16" s="41"/>
      <c r="F16" s="41"/>
      <c r="G16" s="41"/>
    </row>
    <row r="17" spans="1:28" customFormat="1" ht="44.25" customHeight="1">
      <c r="A17" s="43" t="s">
        <v>5</v>
      </c>
      <c r="B17" s="44" t="s">
        <v>353</v>
      </c>
      <c r="C17" s="44" t="s">
        <v>354</v>
      </c>
      <c r="D17" s="44" t="s">
        <v>11</v>
      </c>
      <c r="E17" s="44" t="s">
        <v>12</v>
      </c>
      <c r="F17" s="44" t="s">
        <v>13</v>
      </c>
      <c r="G17" s="44" t="s">
        <v>14</v>
      </c>
      <c r="H17" s="39" t="s">
        <v>16</v>
      </c>
      <c r="I17" s="45"/>
      <c r="J17" s="45"/>
      <c r="K17" s="45"/>
      <c r="L17" s="45"/>
      <c r="M17" s="45"/>
      <c r="N17" s="45"/>
      <c r="O17" s="45"/>
      <c r="P17" s="45"/>
      <c r="Q17" s="45"/>
      <c r="R17" s="45"/>
      <c r="S17" s="45"/>
      <c r="T17" s="45"/>
      <c r="U17" s="45"/>
      <c r="V17" s="45"/>
      <c r="W17" s="45"/>
      <c r="X17" s="45"/>
      <c r="Y17" s="45"/>
      <c r="Z17" s="45"/>
      <c r="AA17" s="45"/>
      <c r="AB17" s="45"/>
    </row>
    <row r="18" spans="1:28" customFormat="1" ht="44.25" customHeight="1">
      <c r="A18" s="60">
        <v>1</v>
      </c>
      <c r="B18" s="60" t="s">
        <v>381</v>
      </c>
      <c r="C18" s="46"/>
      <c r="D18" s="46" t="s">
        <v>382</v>
      </c>
      <c r="E18" s="46" t="s">
        <v>383</v>
      </c>
      <c r="F18" s="46" t="s">
        <v>383</v>
      </c>
      <c r="G18" s="46" t="s">
        <v>384</v>
      </c>
      <c r="H18" s="46" t="s">
        <v>385</v>
      </c>
      <c r="I18" s="47"/>
      <c r="J18" s="47"/>
      <c r="K18" s="47"/>
      <c r="L18" s="47"/>
      <c r="M18" s="47"/>
      <c r="N18" s="47"/>
      <c r="O18" s="47"/>
      <c r="P18" s="47"/>
      <c r="Q18" s="47"/>
      <c r="R18" s="47"/>
      <c r="S18" s="47"/>
      <c r="T18" s="47"/>
      <c r="U18" s="47"/>
      <c r="V18" s="47"/>
      <c r="W18" s="47"/>
      <c r="X18" s="47"/>
      <c r="Y18" s="47"/>
      <c r="Z18" s="47"/>
      <c r="AA18" s="47"/>
      <c r="AB18" s="47"/>
    </row>
    <row r="19" spans="1:28" customFormat="1" ht="69.75" customHeight="1">
      <c r="A19" s="60">
        <v>2</v>
      </c>
      <c r="B19" s="60" t="s">
        <v>359</v>
      </c>
      <c r="C19" s="46" t="s">
        <v>396</v>
      </c>
      <c r="D19" s="46" t="s">
        <v>397</v>
      </c>
      <c r="E19" s="46" t="s">
        <v>398</v>
      </c>
      <c r="F19" s="46" t="s">
        <v>399</v>
      </c>
      <c r="G19" s="46" t="s">
        <v>400</v>
      </c>
      <c r="H19" s="46"/>
      <c r="I19" s="47"/>
      <c r="J19" s="47"/>
      <c r="K19" s="47"/>
      <c r="L19" s="47"/>
      <c r="M19" s="47"/>
      <c r="N19" s="47"/>
      <c r="O19" s="47"/>
      <c r="P19" s="47"/>
      <c r="Q19" s="47"/>
      <c r="R19" s="47"/>
      <c r="S19" s="47"/>
      <c r="T19" s="47"/>
      <c r="U19" s="47"/>
      <c r="V19" s="47"/>
      <c r="W19" s="47"/>
      <c r="X19" s="47"/>
      <c r="Y19" s="47"/>
      <c r="Z19" s="47"/>
      <c r="AA19" s="47"/>
      <c r="AB19" s="47"/>
    </row>
    <row r="20" spans="1:28" customFormat="1" ht="42.75" customHeight="1">
      <c r="A20" s="60">
        <v>3</v>
      </c>
      <c r="B20" s="60" t="s">
        <v>365</v>
      </c>
      <c r="C20" s="46"/>
      <c r="D20" s="46" t="s">
        <v>401</v>
      </c>
      <c r="E20" s="46" t="s">
        <v>401</v>
      </c>
      <c r="F20" s="46" t="s">
        <v>401</v>
      </c>
      <c r="G20" s="46" t="s">
        <v>402</v>
      </c>
      <c r="H20" s="46"/>
      <c r="I20" s="47"/>
      <c r="J20" s="47"/>
      <c r="K20" s="47"/>
      <c r="L20" s="47"/>
      <c r="M20" s="47"/>
      <c r="N20" s="47"/>
      <c r="O20" s="47"/>
      <c r="P20" s="47"/>
      <c r="Q20" s="47"/>
      <c r="R20" s="47"/>
      <c r="S20" s="47"/>
      <c r="T20" s="47"/>
      <c r="U20" s="47"/>
      <c r="V20" s="47"/>
      <c r="W20" s="47"/>
      <c r="X20" s="47"/>
      <c r="Y20" s="47"/>
      <c r="Z20" s="47"/>
      <c r="AA20" s="47"/>
      <c r="AB20" s="47"/>
    </row>
    <row r="21" spans="1:28" customFormat="1" ht="44.25" customHeight="1">
      <c r="A21" s="61" t="s">
        <v>367</v>
      </c>
      <c r="B21" s="60" t="s">
        <v>386</v>
      </c>
      <c r="C21" s="37"/>
      <c r="D21" s="37"/>
      <c r="E21" s="37"/>
      <c r="F21" s="37"/>
      <c r="G21" s="48" t="s">
        <v>387</v>
      </c>
      <c r="H21" s="38" t="s">
        <v>388</v>
      </c>
      <c r="I21" s="42" t="s">
        <v>379</v>
      </c>
      <c r="J21" s="45"/>
      <c r="K21" s="45"/>
      <c r="L21" s="45"/>
      <c r="M21" s="45"/>
      <c r="N21" s="45"/>
      <c r="O21" s="45"/>
      <c r="P21" s="45"/>
      <c r="Q21" s="45"/>
      <c r="R21" s="45"/>
      <c r="S21" s="45"/>
      <c r="T21" s="45"/>
      <c r="U21" s="45"/>
      <c r="V21" s="45"/>
      <c r="W21" s="45"/>
      <c r="X21" s="45"/>
      <c r="Y21" s="45"/>
      <c r="Z21" s="45"/>
      <c r="AA21" s="45"/>
      <c r="AB21" s="45"/>
    </row>
    <row r="22" spans="1:28" customFormat="1" ht="44.25" customHeight="1">
      <c r="A22" s="61" t="s">
        <v>370</v>
      </c>
      <c r="B22" s="60" t="s">
        <v>371</v>
      </c>
      <c r="C22" s="62"/>
      <c r="D22" s="62"/>
      <c r="E22" s="62"/>
      <c r="F22" s="62"/>
      <c r="G22" s="49" t="s">
        <v>389</v>
      </c>
      <c r="H22" s="49" t="s">
        <v>390</v>
      </c>
      <c r="I22" s="42" t="s">
        <v>380</v>
      </c>
      <c r="J22" s="47"/>
      <c r="K22" s="47"/>
      <c r="L22" s="47"/>
      <c r="M22" s="47"/>
      <c r="N22" s="47"/>
      <c r="O22" s="47"/>
      <c r="P22" s="47"/>
      <c r="Q22" s="47"/>
      <c r="R22" s="47"/>
      <c r="S22" s="47"/>
      <c r="T22" s="47"/>
      <c r="U22" s="47"/>
      <c r="V22" s="47"/>
      <c r="W22" s="47"/>
      <c r="X22" s="47"/>
      <c r="Y22" s="47"/>
      <c r="Z22" s="47"/>
      <c r="AA22" s="47"/>
      <c r="AB22" s="47"/>
    </row>
    <row r="23" spans="1:28" customFormat="1" ht="44.25" customHeight="1">
      <c r="A23" s="50"/>
      <c r="B23" s="50"/>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row>
    <row r="24" spans="1:28" customFormat="1" ht="44.25" customHeight="1">
      <c r="A24" s="51" t="s">
        <v>5</v>
      </c>
      <c r="B24" s="52" t="s">
        <v>353</v>
      </c>
      <c r="C24" s="52" t="s">
        <v>350</v>
      </c>
      <c r="D24" s="52" t="s">
        <v>391</v>
      </c>
      <c r="E24" s="52" t="s">
        <v>392</v>
      </c>
      <c r="F24" s="52" t="s">
        <v>393</v>
      </c>
      <c r="G24" s="52" t="s">
        <v>394</v>
      </c>
      <c r="H24" s="39" t="s">
        <v>16</v>
      </c>
      <c r="I24" s="53"/>
      <c r="J24" s="53"/>
      <c r="K24" s="53"/>
      <c r="L24" s="53"/>
      <c r="M24" s="53"/>
      <c r="N24" s="53"/>
      <c r="O24" s="53"/>
      <c r="P24" s="53"/>
      <c r="Q24" s="53"/>
      <c r="R24" s="53"/>
      <c r="S24" s="53"/>
      <c r="T24" s="53"/>
      <c r="U24" s="53"/>
      <c r="V24" s="53"/>
      <c r="W24" s="53"/>
      <c r="X24" s="53"/>
      <c r="Y24" s="53"/>
      <c r="Z24" s="53"/>
      <c r="AA24" s="53"/>
      <c r="AB24" s="53"/>
    </row>
    <row r="25" spans="1:28" customFormat="1" ht="148.5" customHeight="1">
      <c r="A25" s="63">
        <v>1</v>
      </c>
      <c r="B25" s="63" t="s">
        <v>395</v>
      </c>
      <c r="C25" s="54" t="s">
        <v>403</v>
      </c>
      <c r="D25" s="54" t="s">
        <v>404</v>
      </c>
      <c r="E25" s="54" t="s">
        <v>405</v>
      </c>
      <c r="F25" s="54" t="s">
        <v>406</v>
      </c>
      <c r="G25" s="54"/>
      <c r="H25" s="55" t="s">
        <v>407</v>
      </c>
      <c r="I25" s="47"/>
      <c r="J25" s="47"/>
      <c r="K25" s="47"/>
      <c r="L25" s="47"/>
      <c r="M25" s="47"/>
      <c r="N25" s="47"/>
      <c r="O25" s="47"/>
      <c r="P25" s="47"/>
      <c r="Q25" s="47"/>
      <c r="R25" s="47"/>
      <c r="S25" s="47"/>
      <c r="T25" s="47"/>
      <c r="U25" s="47"/>
      <c r="V25" s="47"/>
      <c r="W25" s="47"/>
      <c r="X25" s="47"/>
      <c r="Y25" s="47"/>
      <c r="Z25" s="47"/>
      <c r="AA25" s="47"/>
      <c r="AB25" s="47"/>
    </row>
    <row r="26" spans="1:28" customFormat="1" ht="44.25" customHeight="1">
      <c r="A26" s="56"/>
      <c r="B26" s="57"/>
      <c r="C26" s="57"/>
      <c r="D26" s="57"/>
      <c r="E26" s="57"/>
      <c r="F26" s="57"/>
      <c r="G26" s="57"/>
      <c r="H26" s="57"/>
      <c r="I26" s="57"/>
      <c r="J26" s="57"/>
      <c r="K26" s="57"/>
      <c r="L26" s="57"/>
      <c r="M26" s="57"/>
      <c r="N26" s="57"/>
      <c r="O26" s="57"/>
      <c r="P26" s="57"/>
      <c r="Q26" s="57"/>
      <c r="R26" s="57"/>
      <c r="S26" s="57"/>
      <c r="T26" s="57"/>
      <c r="U26" s="57"/>
      <c r="V26" s="57"/>
      <c r="W26" s="57"/>
      <c r="X26" s="57"/>
      <c r="Y26" s="57"/>
      <c r="Z26" s="57"/>
      <c r="AA26" s="57"/>
      <c r="AB26" s="57"/>
    </row>
    <row r="27" spans="1:28" customFormat="1" ht="44.25" customHeight="1">
      <c r="A27" s="58"/>
      <c r="B27" s="59"/>
      <c r="C27" s="59"/>
      <c r="D27" s="59"/>
      <c r="E27" s="59"/>
      <c r="F27" s="59"/>
      <c r="G27" s="59"/>
      <c r="H27" s="59"/>
      <c r="I27" s="59"/>
      <c r="J27" s="59"/>
      <c r="K27" s="59"/>
      <c r="L27" s="59"/>
      <c r="M27" s="59"/>
      <c r="N27" s="59"/>
      <c r="O27" s="59"/>
      <c r="P27" s="59"/>
      <c r="Q27" s="59"/>
      <c r="R27" s="59"/>
      <c r="S27" s="59"/>
      <c r="T27" s="59"/>
      <c r="U27" s="59"/>
      <c r="V27" s="59"/>
      <c r="W27" s="59"/>
      <c r="X27" s="59"/>
      <c r="Y27" s="59"/>
      <c r="Z27" s="59"/>
      <c r="AA27" s="59"/>
      <c r="AB27" s="59"/>
    </row>
    <row r="28" spans="1:28" customFormat="1" ht="44.25" customHeight="1">
      <c r="A28" s="58"/>
      <c r="B28" s="59"/>
      <c r="C28" s="59"/>
      <c r="D28" s="59"/>
      <c r="E28" s="59"/>
      <c r="F28" s="59"/>
      <c r="G28" s="59"/>
      <c r="H28" s="59"/>
      <c r="I28" s="59"/>
      <c r="J28" s="59"/>
      <c r="K28" s="59"/>
      <c r="L28" s="59"/>
      <c r="M28" s="59"/>
      <c r="N28" s="59"/>
      <c r="O28" s="59"/>
      <c r="P28" s="59"/>
      <c r="Q28" s="59"/>
      <c r="R28" s="59"/>
      <c r="S28" s="59"/>
      <c r="T28" s="59"/>
      <c r="U28" s="59"/>
      <c r="V28" s="59"/>
      <c r="W28" s="59"/>
      <c r="X28" s="59"/>
      <c r="Y28" s="59"/>
      <c r="Z28" s="59"/>
      <c r="AA28" s="59"/>
      <c r="AB28" s="59"/>
    </row>
    <row r="29" spans="1:28" customFormat="1" ht="44.25" customHeight="1">
      <c r="A29" s="58"/>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row>
    <row r="30" spans="1:28" customFormat="1" ht="44.25" customHeight="1">
      <c r="A30" s="58"/>
      <c r="B30" s="59"/>
      <c r="C30" s="59"/>
      <c r="D30" s="59"/>
      <c r="E30" s="59"/>
      <c r="F30" s="59"/>
      <c r="G30" s="59"/>
      <c r="H30" s="59"/>
      <c r="I30" s="59"/>
      <c r="J30" s="59"/>
      <c r="K30" s="59"/>
      <c r="L30" s="59"/>
      <c r="M30" s="59"/>
      <c r="N30" s="59"/>
      <c r="O30" s="59"/>
      <c r="P30" s="59"/>
      <c r="Q30" s="59"/>
      <c r="R30" s="59"/>
      <c r="S30" s="59"/>
      <c r="T30" s="59"/>
      <c r="U30" s="59"/>
      <c r="V30" s="59"/>
      <c r="W30" s="59"/>
      <c r="X30" s="59"/>
      <c r="Y30" s="59"/>
      <c r="Z30" s="59"/>
      <c r="AA30" s="59"/>
      <c r="AB30" s="59"/>
    </row>
    <row r="31" spans="1:28" customFormat="1" ht="44.25" customHeight="1">
      <c r="A31" s="58"/>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c r="AB31" s="59"/>
    </row>
    <row r="32" spans="1:28" customFormat="1" ht="44.25" customHeight="1">
      <c r="A32" s="58"/>
      <c r="B32" s="59"/>
      <c r="C32" s="59"/>
      <c r="D32" s="59"/>
      <c r="E32" s="59"/>
      <c r="F32" s="59"/>
      <c r="G32" s="59"/>
      <c r="H32" s="59"/>
      <c r="I32" s="59"/>
      <c r="J32" s="59"/>
      <c r="K32" s="59"/>
      <c r="L32" s="59"/>
      <c r="M32" s="59"/>
      <c r="N32" s="59"/>
      <c r="O32" s="59"/>
      <c r="P32" s="59"/>
      <c r="Q32" s="59"/>
      <c r="R32" s="59"/>
      <c r="S32" s="59"/>
      <c r="T32" s="59"/>
      <c r="U32" s="59"/>
      <c r="V32" s="59"/>
      <c r="W32" s="59"/>
      <c r="X32" s="59"/>
      <c r="Y32" s="59"/>
      <c r="Z32" s="59"/>
      <c r="AA32" s="59"/>
      <c r="AB32" s="59"/>
    </row>
    <row r="33" spans="1:28" customFormat="1" ht="44.25" customHeight="1">
      <c r="A33" s="58"/>
      <c r="B33" s="59"/>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row>
    <row r="34" spans="1:28" customFormat="1" ht="44.25" customHeight="1">
      <c r="A34" s="58"/>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row>
    <row r="35" spans="1:28" customFormat="1" ht="44.25" customHeight="1">
      <c r="A35" s="58"/>
      <c r="B35" s="59"/>
      <c r="C35" s="59"/>
      <c r="D35" s="59"/>
      <c r="E35" s="59"/>
      <c r="F35" s="59"/>
      <c r="G35" s="59"/>
      <c r="H35" s="59"/>
      <c r="I35" s="59"/>
      <c r="J35" s="59"/>
      <c r="K35" s="59"/>
      <c r="L35" s="59"/>
      <c r="M35" s="59"/>
      <c r="N35" s="59"/>
      <c r="O35" s="59"/>
      <c r="P35" s="59"/>
      <c r="Q35" s="59"/>
      <c r="R35" s="59"/>
      <c r="S35" s="59"/>
      <c r="T35" s="59"/>
      <c r="U35" s="59"/>
      <c r="V35" s="59"/>
      <c r="W35" s="59"/>
      <c r="X35" s="59"/>
      <c r="Y35" s="59"/>
      <c r="Z35" s="59"/>
      <c r="AA35" s="59"/>
      <c r="AB35" s="59"/>
    </row>
    <row r="36" spans="1:28" customFormat="1" ht="44.25" customHeight="1">
      <c r="A36" s="58"/>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row>
    <row r="37" spans="1:28" customFormat="1" ht="44.25" customHeight="1">
      <c r="A37" s="58"/>
      <c r="B37" s="59"/>
      <c r="C37" s="59"/>
      <c r="D37" s="59"/>
      <c r="E37" s="59"/>
      <c r="F37" s="59"/>
      <c r="G37" s="59"/>
      <c r="H37" s="59"/>
      <c r="I37" s="59"/>
      <c r="J37" s="59"/>
      <c r="K37" s="59"/>
      <c r="L37" s="59"/>
      <c r="M37" s="59"/>
      <c r="N37" s="59"/>
      <c r="O37" s="59"/>
      <c r="P37" s="59"/>
      <c r="Q37" s="59"/>
      <c r="R37" s="59"/>
      <c r="S37" s="59"/>
      <c r="T37" s="59"/>
      <c r="U37" s="59"/>
      <c r="V37" s="59"/>
      <c r="W37" s="59"/>
      <c r="X37" s="59"/>
      <c r="Y37" s="59"/>
      <c r="Z37" s="59"/>
      <c r="AA37" s="59"/>
      <c r="AB37" s="59"/>
    </row>
    <row r="38" spans="1:28" customFormat="1" ht="44.25" customHeight="1">
      <c r="A38" s="58"/>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row>
    <row r="39" spans="1:28" customFormat="1" ht="44.25" customHeight="1">
      <c r="A39" s="58"/>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row>
    <row r="40" spans="1:28" customFormat="1" ht="44.25" customHeight="1">
      <c r="A40" s="58"/>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row>
    <row r="41" spans="1:28" customFormat="1" ht="44.25" customHeight="1">
      <c r="A41" s="58"/>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row>
    <row r="42" spans="1:28" customFormat="1" ht="44.25" customHeight="1">
      <c r="A42" s="58"/>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row>
    <row r="43" spans="1:28" customFormat="1" ht="44.25" customHeight="1">
      <c r="A43" s="58"/>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row>
    <row r="44" spans="1:28" customFormat="1" ht="44.25" customHeight="1">
      <c r="A44" s="58"/>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row>
    <row r="45" spans="1:28" customFormat="1" ht="44.25" customHeight="1">
      <c r="A45" s="58"/>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row>
    <row r="46" spans="1:28" customFormat="1" ht="44.25" customHeight="1">
      <c r="A46" s="58"/>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row>
    <row r="47" spans="1:28" customFormat="1" ht="44.25" customHeight="1">
      <c r="A47" s="58"/>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row>
    <row r="48" spans="1:28" customFormat="1" ht="44.25" customHeight="1">
      <c r="A48" s="58"/>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row>
    <row r="49" spans="1:28" customFormat="1" ht="44.25" customHeight="1">
      <c r="A49" s="58"/>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row>
    <row r="50" spans="1:28" customFormat="1" ht="44.25" customHeight="1">
      <c r="A50" s="58"/>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row>
    <row r="51" spans="1:28" customFormat="1" ht="44.25" customHeight="1">
      <c r="A51" s="58"/>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row>
    <row r="52" spans="1:28" customFormat="1" ht="44.25" customHeight="1">
      <c r="A52" s="58"/>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row>
  </sheetData>
  <mergeCells count="1">
    <mergeCell ref="A5:G5"/>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09238-534B-4BB6-A25B-C7FA8BAF9E20}">
  <sheetPr>
    <tabColor rgb="FF8ED873"/>
  </sheetPr>
  <dimension ref="A1:AB32"/>
  <sheetViews>
    <sheetView zoomScale="120" zoomScaleNormal="120" workbookViewId="0">
      <selection activeCell="B7" sqref="B7"/>
    </sheetView>
  </sheetViews>
  <sheetFormatPr defaultColWidth="9.1796875" defaultRowHeight="23"/>
  <cols>
    <col min="1" max="1" width="9.1796875" style="40"/>
    <col min="2" max="2" width="100.1796875" style="40" customWidth="1"/>
    <col min="3" max="3" width="95.7265625" style="40" customWidth="1"/>
    <col min="4" max="5" width="11.54296875" style="40" customWidth="1"/>
    <col min="6" max="6" width="11.81640625" style="40" customWidth="1"/>
    <col min="7" max="7" width="23.1796875" style="40" customWidth="1"/>
    <col min="8" max="8" width="29" style="40" customWidth="1"/>
    <col min="9" max="9" width="31.81640625" style="40" customWidth="1"/>
    <col min="10" max="16384" width="9.1796875" style="40"/>
  </cols>
  <sheetData>
    <row r="1" spans="1:26">
      <c r="A1" s="40" t="s">
        <v>351</v>
      </c>
    </row>
    <row r="2" spans="1:26">
      <c r="A2" s="40" t="s">
        <v>352</v>
      </c>
    </row>
    <row r="3" spans="1:26">
      <c r="A3" s="40" t="s">
        <v>561</v>
      </c>
    </row>
    <row r="5" spans="1:26" s="31" customFormat="1" ht="62.25" customHeight="1">
      <c r="A5" s="231" t="s">
        <v>422</v>
      </c>
      <c r="B5" s="231"/>
      <c r="C5" s="77"/>
      <c r="D5" s="36"/>
      <c r="E5" s="36"/>
      <c r="F5" s="36"/>
      <c r="G5" s="36"/>
      <c r="H5" s="36"/>
      <c r="I5" s="36"/>
      <c r="J5" s="36"/>
      <c r="K5" s="36"/>
      <c r="L5" s="36"/>
      <c r="M5" s="36"/>
      <c r="N5" s="36"/>
      <c r="O5" s="36"/>
      <c r="P5" s="36"/>
      <c r="Q5" s="36"/>
      <c r="R5" s="36"/>
      <c r="S5" s="36"/>
      <c r="T5" s="36"/>
      <c r="U5" s="36"/>
      <c r="V5" s="36"/>
      <c r="W5" s="36"/>
      <c r="X5" s="36"/>
      <c r="Y5" s="36"/>
      <c r="Z5" s="36"/>
    </row>
    <row r="6" spans="1:26" s="33" customFormat="1" ht="30.75" customHeight="1">
      <c r="A6" s="80" t="s">
        <v>5</v>
      </c>
      <c r="B6" s="80" t="s">
        <v>353</v>
      </c>
      <c r="C6" s="79"/>
      <c r="D6" s="35"/>
      <c r="E6" s="35"/>
      <c r="F6" s="35"/>
      <c r="G6" s="35"/>
      <c r="H6" s="35"/>
      <c r="I6" s="35"/>
      <c r="J6" s="35"/>
      <c r="K6" s="35"/>
      <c r="L6" s="35"/>
      <c r="M6" s="35"/>
      <c r="N6" s="35"/>
      <c r="O6" s="35"/>
      <c r="P6" s="35"/>
      <c r="Q6" s="35"/>
      <c r="R6" s="35"/>
      <c r="S6" s="35"/>
      <c r="T6" s="35"/>
      <c r="U6" s="35"/>
      <c r="V6" s="35"/>
      <c r="W6" s="35"/>
      <c r="X6" s="35"/>
      <c r="Y6" s="35"/>
      <c r="Z6" s="35"/>
    </row>
    <row r="7" spans="1:26" s="31" customFormat="1" ht="30.75" customHeight="1">
      <c r="A7" s="80">
        <v>1</v>
      </c>
      <c r="B7" s="81" t="s">
        <v>408</v>
      </c>
      <c r="C7" s="77"/>
      <c r="D7" s="36"/>
      <c r="E7" s="36"/>
      <c r="F7" s="36"/>
      <c r="G7" s="36"/>
      <c r="H7" s="36"/>
      <c r="I7" s="36"/>
      <c r="J7" s="36"/>
      <c r="K7" s="36"/>
      <c r="L7" s="36"/>
      <c r="M7" s="36"/>
      <c r="N7" s="36"/>
      <c r="O7" s="36"/>
      <c r="P7" s="36"/>
      <c r="Q7" s="36"/>
      <c r="R7" s="36"/>
      <c r="S7" s="36"/>
      <c r="T7" s="36"/>
      <c r="U7" s="36"/>
      <c r="V7" s="36"/>
      <c r="W7" s="36"/>
      <c r="X7" s="36"/>
      <c r="Y7" s="36"/>
      <c r="Z7" s="36"/>
    </row>
    <row r="8" spans="1:26" s="31" customFormat="1" ht="42.75" customHeight="1">
      <c r="A8" s="80">
        <v>2</v>
      </c>
      <c r="B8" s="82" t="s">
        <v>420</v>
      </c>
      <c r="C8" s="77"/>
      <c r="D8" s="36"/>
      <c r="E8" s="36"/>
      <c r="F8" s="36"/>
      <c r="G8" s="36"/>
      <c r="H8" s="36"/>
      <c r="I8" s="36"/>
      <c r="J8" s="36"/>
      <c r="K8" s="36"/>
      <c r="L8" s="36"/>
      <c r="M8" s="36"/>
      <c r="N8" s="36"/>
      <c r="O8" s="36"/>
      <c r="P8" s="36"/>
      <c r="Q8" s="36"/>
      <c r="R8" s="36"/>
      <c r="S8" s="36"/>
      <c r="T8" s="36"/>
      <c r="U8" s="36"/>
      <c r="V8" s="36"/>
      <c r="W8" s="36"/>
      <c r="X8" s="36"/>
      <c r="Y8" s="36"/>
      <c r="Z8" s="36"/>
    </row>
    <row r="9" spans="1:26" s="31" customFormat="1" ht="31.5" customHeight="1">
      <c r="A9" s="80">
        <v>3</v>
      </c>
      <c r="B9" s="81" t="s">
        <v>410</v>
      </c>
      <c r="C9" s="77"/>
      <c r="D9" s="36"/>
      <c r="E9" s="36"/>
      <c r="F9" s="36"/>
      <c r="G9" s="36"/>
      <c r="H9" s="36"/>
      <c r="I9" s="36"/>
      <c r="J9" s="36"/>
      <c r="K9" s="36"/>
      <c r="L9" s="36"/>
      <c r="M9" s="36"/>
      <c r="N9" s="36"/>
      <c r="O9" s="36"/>
      <c r="P9" s="36"/>
      <c r="Q9" s="36"/>
      <c r="R9" s="36"/>
      <c r="S9" s="36"/>
      <c r="T9" s="36"/>
      <c r="U9" s="36"/>
      <c r="V9" s="36"/>
      <c r="W9" s="36"/>
      <c r="X9" s="36"/>
      <c r="Y9" s="36"/>
      <c r="Z9" s="36"/>
    </row>
    <row r="10" spans="1:26" s="31" customFormat="1" ht="30.75" customHeight="1">
      <c r="A10" s="80">
        <v>4</v>
      </c>
      <c r="B10" s="81" t="s">
        <v>410</v>
      </c>
      <c r="C10" s="77"/>
      <c r="D10" s="36"/>
      <c r="E10" s="36"/>
      <c r="F10" s="36"/>
      <c r="G10" s="36"/>
      <c r="H10" s="36"/>
      <c r="I10" s="36"/>
      <c r="J10" s="36"/>
      <c r="K10" s="36"/>
      <c r="L10" s="36"/>
      <c r="M10" s="36"/>
      <c r="N10" s="36"/>
      <c r="O10" s="36"/>
      <c r="P10" s="36"/>
      <c r="Q10" s="36"/>
      <c r="R10" s="36"/>
      <c r="S10" s="36"/>
      <c r="T10" s="36"/>
      <c r="U10" s="36"/>
      <c r="V10" s="36"/>
      <c r="W10" s="36"/>
      <c r="X10" s="36"/>
      <c r="Y10" s="36"/>
      <c r="Z10" s="36"/>
    </row>
    <row r="11" spans="1:26" s="31" customFormat="1" ht="30.75" customHeight="1">
      <c r="A11" s="80">
        <v>5</v>
      </c>
      <c r="B11" s="81" t="s">
        <v>413</v>
      </c>
      <c r="C11" s="77"/>
      <c r="D11" s="36"/>
      <c r="E11" s="36"/>
      <c r="F11" s="36"/>
      <c r="G11" s="36"/>
      <c r="H11" s="36"/>
      <c r="I11" s="36"/>
      <c r="J11" s="36"/>
      <c r="K11" s="36"/>
      <c r="L11" s="36"/>
      <c r="M11" s="36"/>
      <c r="N11" s="36"/>
      <c r="O11" s="36"/>
      <c r="P11" s="36"/>
      <c r="Q11" s="36"/>
      <c r="R11" s="36"/>
      <c r="S11" s="36"/>
      <c r="T11" s="36"/>
      <c r="U11" s="36"/>
      <c r="V11" s="36"/>
      <c r="W11" s="36"/>
      <c r="X11" s="36"/>
      <c r="Y11" s="36"/>
      <c r="Z11" s="36"/>
    </row>
    <row r="12" spans="1:26" s="31" customFormat="1" ht="30.75" customHeight="1">
      <c r="A12" s="80">
        <v>6</v>
      </c>
      <c r="B12" s="81" t="s">
        <v>421</v>
      </c>
      <c r="C12" s="77"/>
      <c r="D12" s="36"/>
      <c r="E12" s="36"/>
      <c r="F12" s="36"/>
      <c r="G12" s="36"/>
      <c r="H12" s="36"/>
      <c r="I12" s="36"/>
      <c r="J12" s="36"/>
      <c r="K12" s="36"/>
      <c r="L12" s="36"/>
      <c r="M12" s="36"/>
      <c r="N12" s="36"/>
      <c r="O12" s="36"/>
      <c r="P12" s="36"/>
      <c r="Q12" s="36"/>
      <c r="R12" s="36"/>
      <c r="S12" s="36"/>
      <c r="T12" s="36"/>
      <c r="U12" s="36"/>
      <c r="V12" s="36"/>
      <c r="W12" s="36"/>
      <c r="X12" s="36"/>
      <c r="Y12" s="36"/>
      <c r="Z12" s="36"/>
    </row>
    <row r="13" spans="1:26" s="31" customFormat="1" ht="30.75" customHeight="1">
      <c r="A13" s="64"/>
      <c r="B13" s="76"/>
      <c r="C13" s="77"/>
      <c r="D13" s="36"/>
      <c r="E13" s="36"/>
      <c r="F13" s="36"/>
      <c r="G13" s="36"/>
      <c r="H13" s="36"/>
      <c r="I13" s="36"/>
      <c r="J13" s="36"/>
      <c r="K13" s="36"/>
      <c r="L13" s="36"/>
      <c r="M13" s="36"/>
      <c r="N13" s="36"/>
      <c r="O13" s="36"/>
      <c r="P13" s="36"/>
      <c r="Q13" s="36"/>
      <c r="R13" s="36"/>
      <c r="S13" s="36"/>
      <c r="T13" s="36"/>
      <c r="U13" s="36"/>
      <c r="V13" s="36"/>
      <c r="W13" s="36"/>
      <c r="X13" s="36"/>
      <c r="Y13" s="36"/>
      <c r="Z13" s="36"/>
    </row>
    <row r="14" spans="1:26" s="31" customFormat="1" ht="30.75" customHeight="1">
      <c r="A14" s="64"/>
      <c r="B14" s="76"/>
      <c r="C14" s="77"/>
      <c r="D14" s="36"/>
      <c r="E14" s="36"/>
      <c r="F14" s="36"/>
      <c r="G14" s="36"/>
      <c r="H14" s="36"/>
      <c r="I14" s="36"/>
      <c r="J14" s="36"/>
      <c r="K14" s="36"/>
      <c r="L14" s="36"/>
      <c r="M14" s="36"/>
      <c r="N14" s="36"/>
      <c r="O14" s="36"/>
      <c r="P14" s="36"/>
      <c r="Q14" s="36"/>
      <c r="R14" s="36"/>
      <c r="S14" s="36"/>
      <c r="T14" s="36"/>
      <c r="U14" s="36"/>
      <c r="V14" s="36"/>
      <c r="W14" s="36"/>
      <c r="X14" s="36"/>
      <c r="Y14" s="36"/>
      <c r="Z14" s="36"/>
    </row>
    <row r="15" spans="1:26" s="31" customFormat="1" ht="30.75" customHeight="1">
      <c r="A15" s="64"/>
      <c r="B15" s="76"/>
      <c r="C15" s="77"/>
      <c r="D15" s="36"/>
      <c r="E15" s="36"/>
      <c r="F15" s="36"/>
      <c r="G15" s="36"/>
      <c r="H15" s="36"/>
      <c r="I15" s="36"/>
      <c r="J15" s="36"/>
      <c r="K15" s="36"/>
      <c r="L15" s="36"/>
      <c r="M15" s="36"/>
      <c r="N15" s="36"/>
      <c r="O15" s="36"/>
      <c r="P15" s="36"/>
      <c r="Q15" s="36"/>
      <c r="R15" s="36"/>
      <c r="S15" s="36"/>
      <c r="T15" s="36"/>
      <c r="U15" s="36"/>
      <c r="V15" s="36"/>
      <c r="W15" s="36"/>
      <c r="X15" s="36"/>
      <c r="Y15" s="36"/>
      <c r="Z15" s="36"/>
    </row>
    <row r="16" spans="1:26" s="31" customFormat="1" ht="24" customHeight="1">
      <c r="A16" s="65" t="s">
        <v>5</v>
      </c>
      <c r="B16" s="66" t="s">
        <v>353</v>
      </c>
      <c r="C16" s="66" t="s">
        <v>16</v>
      </c>
      <c r="D16" s="67"/>
      <c r="E16" s="67"/>
      <c r="F16" s="67"/>
      <c r="G16" s="67"/>
      <c r="H16" s="67"/>
      <c r="I16" s="67"/>
      <c r="J16" s="67"/>
      <c r="K16" s="67"/>
      <c r="L16" s="67"/>
      <c r="M16" s="67"/>
      <c r="N16" s="67"/>
      <c r="O16" s="67"/>
      <c r="P16" s="67"/>
      <c r="Q16" s="67"/>
      <c r="R16" s="67"/>
      <c r="S16" s="67"/>
      <c r="T16" s="67"/>
      <c r="U16" s="67"/>
      <c r="V16" s="67"/>
      <c r="W16" s="67"/>
      <c r="X16" s="67"/>
      <c r="Y16" s="67"/>
      <c r="Z16" s="36"/>
    </row>
    <row r="17" spans="1:28" s="31" customFormat="1" ht="90.75" customHeight="1">
      <c r="A17" s="68">
        <v>1</v>
      </c>
      <c r="B17" s="68" t="s">
        <v>408</v>
      </c>
      <c r="C17" s="69" t="s">
        <v>416</v>
      </c>
      <c r="D17" s="67"/>
      <c r="E17" s="67"/>
      <c r="F17" s="67"/>
      <c r="G17" s="67"/>
      <c r="H17" s="67"/>
      <c r="I17" s="67"/>
      <c r="J17" s="67"/>
      <c r="K17" s="67"/>
      <c r="L17" s="67"/>
      <c r="M17" s="67"/>
      <c r="N17" s="67"/>
      <c r="O17" s="67"/>
      <c r="P17" s="67"/>
      <c r="Q17" s="67"/>
      <c r="R17" s="67"/>
      <c r="S17" s="67"/>
      <c r="T17" s="67"/>
      <c r="U17" s="67"/>
      <c r="V17" s="67"/>
      <c r="W17" s="67"/>
      <c r="X17" s="67"/>
      <c r="Y17" s="67"/>
      <c r="Z17" s="36"/>
    </row>
    <row r="18" spans="1:28" s="31" customFormat="1" ht="135" customHeight="1">
      <c r="A18" s="68">
        <v>2</v>
      </c>
      <c r="B18" s="68" t="s">
        <v>409</v>
      </c>
      <c r="C18" s="70" t="s">
        <v>417</v>
      </c>
      <c r="D18" s="71"/>
      <c r="E18" s="67"/>
      <c r="F18" s="67"/>
      <c r="G18" s="67"/>
      <c r="H18" s="67"/>
      <c r="I18" s="67"/>
      <c r="J18" s="67"/>
      <c r="K18" s="67"/>
      <c r="L18" s="67"/>
      <c r="M18" s="67"/>
      <c r="N18" s="67"/>
      <c r="O18" s="67"/>
      <c r="P18" s="67"/>
      <c r="Q18" s="67"/>
      <c r="R18" s="67"/>
      <c r="S18" s="67"/>
      <c r="T18" s="67"/>
      <c r="U18" s="67"/>
      <c r="V18" s="67"/>
      <c r="W18" s="67"/>
      <c r="X18" s="67"/>
      <c r="Y18" s="67"/>
      <c r="Z18" s="36"/>
    </row>
    <row r="19" spans="1:28" s="31" customFormat="1" ht="72.75" customHeight="1">
      <c r="A19" s="68">
        <v>3</v>
      </c>
      <c r="B19" s="68" t="s">
        <v>410</v>
      </c>
      <c r="C19" s="69" t="s">
        <v>418</v>
      </c>
      <c r="D19" s="67"/>
      <c r="E19" s="67"/>
      <c r="F19" s="67"/>
      <c r="G19" s="67"/>
      <c r="H19" s="67"/>
      <c r="I19" s="67"/>
      <c r="J19" s="67"/>
      <c r="K19" s="67"/>
      <c r="L19" s="67"/>
      <c r="M19" s="67"/>
      <c r="N19" s="67"/>
      <c r="O19" s="67"/>
      <c r="P19" s="67"/>
      <c r="Q19" s="67"/>
      <c r="R19" s="67"/>
      <c r="S19" s="67"/>
      <c r="T19" s="67"/>
      <c r="U19" s="67"/>
      <c r="V19" s="67"/>
      <c r="W19" s="67"/>
      <c r="X19" s="67"/>
      <c r="Y19" s="67"/>
      <c r="Z19" s="36"/>
    </row>
    <row r="20" spans="1:28" s="31" customFormat="1" ht="60.75" customHeight="1">
      <c r="A20" s="72">
        <v>4</v>
      </c>
      <c r="B20" s="72" t="s">
        <v>411</v>
      </c>
      <c r="C20" s="69" t="s">
        <v>412</v>
      </c>
      <c r="D20" s="73"/>
      <c r="E20" s="73"/>
      <c r="F20" s="73"/>
      <c r="G20" s="73"/>
      <c r="H20" s="73"/>
      <c r="I20" s="73"/>
      <c r="J20" s="73"/>
      <c r="K20" s="73"/>
      <c r="L20" s="73"/>
      <c r="M20" s="73"/>
      <c r="N20" s="73"/>
      <c r="O20" s="73"/>
      <c r="P20" s="73"/>
      <c r="Q20" s="73"/>
      <c r="R20" s="73"/>
      <c r="S20" s="73"/>
      <c r="T20" s="73"/>
      <c r="U20" s="73"/>
      <c r="V20" s="73"/>
      <c r="W20" s="73"/>
      <c r="X20" s="73"/>
      <c r="Y20" s="73"/>
      <c r="Z20" s="36"/>
    </row>
    <row r="21" spans="1:28" s="31" customFormat="1" ht="53.25" customHeight="1">
      <c r="A21" s="74">
        <v>5</v>
      </c>
      <c r="B21" s="74" t="s">
        <v>413</v>
      </c>
      <c r="C21" s="75" t="s">
        <v>414</v>
      </c>
      <c r="D21" s="36"/>
      <c r="E21" s="36"/>
      <c r="F21" s="36"/>
      <c r="G21" s="36"/>
      <c r="H21" s="36"/>
      <c r="I21" s="36"/>
      <c r="J21" s="36"/>
      <c r="K21" s="36"/>
      <c r="L21" s="36"/>
      <c r="M21" s="36"/>
      <c r="N21" s="36"/>
      <c r="O21" s="36"/>
      <c r="P21" s="36"/>
      <c r="Q21" s="36"/>
      <c r="R21" s="36"/>
      <c r="S21" s="36"/>
      <c r="T21" s="36"/>
      <c r="U21" s="36"/>
      <c r="V21" s="36"/>
      <c r="W21" s="36"/>
      <c r="X21" s="36"/>
      <c r="Y21" s="36"/>
      <c r="Z21" s="36"/>
    </row>
    <row r="22" spans="1:28" s="31" customFormat="1" ht="112.5" customHeight="1">
      <c r="A22" s="68">
        <v>6</v>
      </c>
      <c r="B22" s="68" t="s">
        <v>415</v>
      </c>
      <c r="C22" s="70" t="s">
        <v>419</v>
      </c>
      <c r="D22" s="36"/>
      <c r="E22" s="36"/>
      <c r="F22" s="36"/>
      <c r="G22" s="36"/>
      <c r="H22" s="36"/>
      <c r="I22" s="36"/>
      <c r="J22" s="36"/>
      <c r="K22" s="36"/>
      <c r="L22" s="36"/>
      <c r="M22" s="36"/>
      <c r="N22" s="36"/>
      <c r="O22" s="36"/>
      <c r="P22" s="36"/>
      <c r="Q22" s="36"/>
      <c r="R22" s="36"/>
      <c r="S22" s="36"/>
      <c r="T22" s="36"/>
      <c r="U22" s="36"/>
      <c r="V22" s="36"/>
      <c r="W22" s="36"/>
      <c r="X22" s="36"/>
      <c r="Y22" s="36"/>
      <c r="Z22" s="36"/>
    </row>
    <row r="26" spans="1:28" s="31" customFormat="1" ht="44.25" customHeight="1">
      <c r="A26" s="78"/>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row>
    <row r="27" spans="1:28" s="31" customFormat="1" ht="44.25" customHeight="1">
      <c r="A27" s="78"/>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row>
    <row r="28" spans="1:28" s="31" customFormat="1" ht="44.25" customHeight="1">
      <c r="A28" s="78"/>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row>
    <row r="29" spans="1:28" s="31" customFormat="1" ht="44.25" customHeight="1">
      <c r="A29" s="78"/>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row>
    <row r="30" spans="1:28" s="31" customFormat="1" ht="44.25" customHeight="1">
      <c r="A30" s="78"/>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row>
    <row r="31" spans="1:28" s="31" customFormat="1" ht="44.25" customHeight="1">
      <c r="A31" s="78"/>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row>
    <row r="32" spans="1:28" s="31" customFormat="1" ht="44.25" customHeight="1">
      <c r="A32" s="78"/>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row>
  </sheetData>
  <mergeCells count="1">
    <mergeCell ref="A5:B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B5C62-2C0A-43C9-BB27-F19B26A38143}">
  <sheetPr>
    <tabColor rgb="FF8ED873"/>
  </sheetPr>
  <dimension ref="A1:H28"/>
  <sheetViews>
    <sheetView topLeftCell="A3" zoomScale="170" zoomScaleNormal="170" workbookViewId="0">
      <selection activeCell="C8" sqref="C8"/>
    </sheetView>
  </sheetViews>
  <sheetFormatPr defaultColWidth="9.1796875" defaultRowHeight="23"/>
  <cols>
    <col min="1" max="1" width="9.1796875" style="40"/>
    <col min="2" max="2" width="80.81640625" style="40" customWidth="1"/>
    <col min="3" max="3" width="84.26953125" style="40" customWidth="1"/>
    <col min="4" max="16384" width="9.1796875" style="40"/>
  </cols>
  <sheetData>
    <row r="1" spans="1:8">
      <c r="A1" s="40" t="s">
        <v>351</v>
      </c>
    </row>
    <row r="2" spans="1:8">
      <c r="A2" s="40" t="s">
        <v>352</v>
      </c>
    </row>
    <row r="3" spans="1:8">
      <c r="A3" s="40" t="s">
        <v>562</v>
      </c>
    </row>
    <row r="5" spans="1:8" ht="51.75" customHeight="1">
      <c r="A5" s="232" t="s">
        <v>425</v>
      </c>
      <c r="B5" s="232"/>
    </row>
    <row r="6" spans="1:8">
      <c r="A6" s="83" t="s">
        <v>5</v>
      </c>
      <c r="B6" s="83" t="s">
        <v>353</v>
      </c>
    </row>
    <row r="7" spans="1:8">
      <c r="A7" s="83">
        <v>1</v>
      </c>
      <c r="B7" s="84" t="s">
        <v>423</v>
      </c>
    </row>
    <row r="8" spans="1:8" ht="27" customHeight="1">
      <c r="A8" s="83">
        <v>2</v>
      </c>
      <c r="B8" s="85" t="s">
        <v>408</v>
      </c>
    </row>
    <row r="9" spans="1:8">
      <c r="A9" s="83">
        <v>3</v>
      </c>
      <c r="B9" s="84" t="s">
        <v>413</v>
      </c>
    </row>
    <row r="10" spans="1:8" ht="46">
      <c r="A10" s="83">
        <v>4</v>
      </c>
      <c r="B10" s="85" t="s">
        <v>424</v>
      </c>
    </row>
    <row r="13" spans="1:8" ht="24.75" customHeight="1">
      <c r="A13" s="86" t="s">
        <v>5</v>
      </c>
      <c r="B13" s="87" t="s">
        <v>353</v>
      </c>
      <c r="C13" s="87" t="s">
        <v>16</v>
      </c>
      <c r="D13" s="91"/>
      <c r="E13" s="91"/>
      <c r="F13" s="91"/>
      <c r="G13" s="91"/>
      <c r="H13" s="91"/>
    </row>
    <row r="14" spans="1:8" ht="110.25" customHeight="1">
      <c r="A14" s="68">
        <v>1</v>
      </c>
      <c r="B14" s="68" t="s">
        <v>423</v>
      </c>
      <c r="C14" s="70" t="s">
        <v>426</v>
      </c>
    </row>
    <row r="15" spans="1:8" ht="63.75" customHeight="1">
      <c r="A15" s="68">
        <v>2</v>
      </c>
      <c r="B15" s="88" t="s">
        <v>408</v>
      </c>
      <c r="C15" s="70" t="s">
        <v>427</v>
      </c>
    </row>
    <row r="16" spans="1:8" ht="21" customHeight="1">
      <c r="A16" s="68">
        <v>3</v>
      </c>
      <c r="B16" s="88" t="s">
        <v>413</v>
      </c>
      <c r="C16" s="89"/>
    </row>
    <row r="17" spans="1:3" ht="83.25" customHeight="1">
      <c r="A17" s="68">
        <v>4</v>
      </c>
      <c r="B17" s="88" t="s">
        <v>415</v>
      </c>
      <c r="C17" s="70" t="s">
        <v>419</v>
      </c>
    </row>
    <row r="18" spans="1:3" ht="21" customHeight="1">
      <c r="A18" s="90"/>
    </row>
    <row r="19" spans="1:3" ht="21" customHeight="1">
      <c r="A19" s="90"/>
    </row>
    <row r="20" spans="1:3" ht="21" customHeight="1">
      <c r="A20" s="90"/>
    </row>
    <row r="21" spans="1:3" ht="21" customHeight="1">
      <c r="A21" s="90"/>
    </row>
    <row r="22" spans="1:3" ht="21" customHeight="1">
      <c r="A22" s="90"/>
    </row>
    <row r="23" spans="1:3" ht="21" customHeight="1">
      <c r="A23" s="90"/>
    </row>
    <row r="24" spans="1:3" ht="21" customHeight="1">
      <c r="A24" s="90"/>
    </row>
    <row r="25" spans="1:3" ht="21" customHeight="1">
      <c r="A25" s="90"/>
    </row>
    <row r="26" spans="1:3" ht="21" customHeight="1">
      <c r="A26" s="90"/>
    </row>
    <row r="27" spans="1:3" ht="21" customHeight="1">
      <c r="A27" s="90"/>
    </row>
    <row r="28" spans="1:3" ht="21" customHeight="1">
      <c r="A28" s="90"/>
    </row>
  </sheetData>
  <mergeCells count="1">
    <mergeCell ref="A5:B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3AC6D-76BF-4DE4-B52E-952898D1752C}">
  <sheetPr>
    <tabColor rgb="FF8ED873"/>
  </sheetPr>
  <dimension ref="A1:E21"/>
  <sheetViews>
    <sheetView zoomScale="60" zoomScaleNormal="60" workbookViewId="0">
      <selection activeCell="A7" sqref="A7:A12"/>
    </sheetView>
  </sheetViews>
  <sheetFormatPr defaultColWidth="9.1796875" defaultRowHeight="23"/>
  <cols>
    <col min="1" max="1" width="18.453125" style="31" customWidth="1"/>
    <col min="2" max="2" width="36.7265625" style="31" customWidth="1"/>
    <col min="3" max="3" width="24.26953125" style="31" customWidth="1"/>
    <col min="4" max="4" width="23.81640625" style="31" customWidth="1"/>
    <col min="5" max="5" width="28" style="107" customWidth="1"/>
    <col min="6" max="16384" width="9.1796875" style="31"/>
  </cols>
  <sheetData>
    <row r="1" spans="1:5" s="40" customFormat="1">
      <c r="A1" s="40" t="s">
        <v>351</v>
      </c>
      <c r="E1" s="92"/>
    </row>
    <row r="2" spans="1:5" s="40" customFormat="1">
      <c r="A2" s="40" t="s">
        <v>352</v>
      </c>
      <c r="E2" s="92"/>
    </row>
    <row r="3" spans="1:5" s="40" customFormat="1">
      <c r="A3" s="40" t="s">
        <v>565</v>
      </c>
      <c r="E3" s="92"/>
    </row>
    <row r="4" spans="1:5" s="40" customFormat="1">
      <c r="E4" s="92"/>
    </row>
    <row r="5" spans="1:5" s="40" customFormat="1" ht="23.25" customHeight="1">
      <c r="A5" s="232" t="s">
        <v>455</v>
      </c>
      <c r="B5" s="232"/>
      <c r="C5" s="232"/>
      <c r="E5" s="92"/>
    </row>
    <row r="6" spans="1:5" s="40" customFormat="1">
      <c r="A6" s="83" t="s">
        <v>5</v>
      </c>
      <c r="B6" s="83" t="s">
        <v>456</v>
      </c>
      <c r="C6" s="95" t="s">
        <v>457</v>
      </c>
      <c r="E6" s="92"/>
    </row>
    <row r="7" spans="1:5" s="40" customFormat="1">
      <c r="A7" s="83" t="s">
        <v>585</v>
      </c>
      <c r="B7" s="84" t="s">
        <v>458</v>
      </c>
      <c r="C7" s="94">
        <v>0.87</v>
      </c>
      <c r="E7" s="92"/>
    </row>
    <row r="8" spans="1:5" s="40" customFormat="1">
      <c r="A8" s="83" t="s">
        <v>586</v>
      </c>
      <c r="B8" s="85" t="s">
        <v>459</v>
      </c>
      <c r="C8" s="94">
        <v>0.73</v>
      </c>
      <c r="E8" s="92"/>
    </row>
    <row r="9" spans="1:5" s="40" customFormat="1">
      <c r="A9" s="83" t="s">
        <v>587</v>
      </c>
      <c r="B9" s="84" t="s">
        <v>460</v>
      </c>
      <c r="C9" s="94">
        <v>0.7</v>
      </c>
      <c r="E9" s="92"/>
    </row>
    <row r="10" spans="1:5" s="40" customFormat="1">
      <c r="A10" s="83" t="s">
        <v>588</v>
      </c>
      <c r="B10" s="85" t="s">
        <v>461</v>
      </c>
      <c r="C10" s="94">
        <v>0.5</v>
      </c>
      <c r="E10" s="92"/>
    </row>
    <row r="11" spans="1:5" s="40" customFormat="1">
      <c r="A11" s="83" t="s">
        <v>589</v>
      </c>
      <c r="B11" s="93" t="s">
        <v>462</v>
      </c>
      <c r="C11" s="94">
        <v>0.9</v>
      </c>
      <c r="E11" s="92"/>
    </row>
    <row r="12" spans="1:5">
      <c r="A12" s="83" t="s">
        <v>590</v>
      </c>
      <c r="B12" s="106" t="s">
        <v>463</v>
      </c>
      <c r="C12" s="94">
        <v>0.65</v>
      </c>
    </row>
    <row r="15" spans="1:5" ht="35.25" customHeight="1">
      <c r="A15" s="96" t="s">
        <v>428</v>
      </c>
      <c r="B15" s="97" t="s">
        <v>429</v>
      </c>
      <c r="C15" s="97" t="s">
        <v>430</v>
      </c>
      <c r="D15" s="98" t="s">
        <v>431</v>
      </c>
      <c r="E15" s="99" t="s">
        <v>450</v>
      </c>
    </row>
    <row r="16" spans="1:5" ht="258" customHeight="1">
      <c r="A16" s="100" t="s">
        <v>464</v>
      </c>
      <c r="B16" s="101" t="s">
        <v>432</v>
      </c>
      <c r="C16" s="101" t="s">
        <v>433</v>
      </c>
      <c r="D16" s="101" t="s">
        <v>434</v>
      </c>
      <c r="E16" s="102" t="s">
        <v>465</v>
      </c>
    </row>
    <row r="17" spans="1:5" ht="184">
      <c r="A17" s="103" t="s">
        <v>466</v>
      </c>
      <c r="B17" s="104" t="s">
        <v>435</v>
      </c>
      <c r="C17" s="104" t="s">
        <v>436</v>
      </c>
      <c r="D17" s="104" t="s">
        <v>437</v>
      </c>
      <c r="E17" s="102" t="s">
        <v>451</v>
      </c>
    </row>
    <row r="18" spans="1:5" ht="138">
      <c r="A18" s="100" t="s">
        <v>467</v>
      </c>
      <c r="B18" s="101" t="s">
        <v>438</v>
      </c>
      <c r="C18" s="101" t="s">
        <v>439</v>
      </c>
      <c r="D18" s="101" t="s">
        <v>440</v>
      </c>
      <c r="E18" s="102" t="s">
        <v>452</v>
      </c>
    </row>
    <row r="19" spans="1:5" ht="138">
      <c r="A19" s="105" t="s">
        <v>468</v>
      </c>
      <c r="B19" s="104" t="s">
        <v>441</v>
      </c>
      <c r="C19" s="104" t="s">
        <v>442</v>
      </c>
      <c r="D19" s="104" t="s">
        <v>443</v>
      </c>
      <c r="E19" s="102" t="s">
        <v>453</v>
      </c>
    </row>
    <row r="20" spans="1:5" ht="207">
      <c r="A20" s="100" t="s">
        <v>469</v>
      </c>
      <c r="B20" s="101" t="s">
        <v>444</v>
      </c>
      <c r="C20" s="101" t="s">
        <v>445</v>
      </c>
      <c r="D20" s="101" t="s">
        <v>446</v>
      </c>
      <c r="E20" s="102" t="s">
        <v>454</v>
      </c>
    </row>
    <row r="21" spans="1:5" ht="138">
      <c r="A21" s="103" t="s">
        <v>470</v>
      </c>
      <c r="B21" s="104" t="s">
        <v>447</v>
      </c>
      <c r="C21" s="104" t="s">
        <v>448</v>
      </c>
      <c r="D21" s="104" t="s">
        <v>449</v>
      </c>
      <c r="E21" s="102" t="s">
        <v>471</v>
      </c>
    </row>
  </sheetData>
  <mergeCells count="1">
    <mergeCell ref="A5:C5"/>
  </mergeCells>
  <phoneticPr fontId="29"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65572-6DB8-45EB-8F57-4E7D280A2BF7}">
  <sheetPr>
    <tabColor rgb="FF8ED873"/>
  </sheetPr>
  <dimension ref="A1:D7"/>
  <sheetViews>
    <sheetView zoomScale="90" zoomScaleNormal="90" workbookViewId="0">
      <selection activeCell="O12" sqref="O12"/>
    </sheetView>
  </sheetViews>
  <sheetFormatPr defaultColWidth="9.1796875" defaultRowHeight="23"/>
  <cols>
    <col min="1" max="1" width="15.54296875" style="31" customWidth="1"/>
    <col min="2" max="2" width="12.1796875" style="31" customWidth="1"/>
    <col min="3" max="3" width="13.1796875" style="31" customWidth="1"/>
    <col min="4" max="4" width="14.1796875" style="31" customWidth="1"/>
    <col min="5" max="16384" width="9.1796875" style="31"/>
  </cols>
  <sheetData>
    <row r="1" spans="1:4" s="40" customFormat="1">
      <c r="A1" s="40" t="s">
        <v>351</v>
      </c>
    </row>
    <row r="2" spans="1:4" s="40" customFormat="1">
      <c r="A2" s="40" t="s">
        <v>472</v>
      </c>
    </row>
    <row r="3" spans="1:4" s="40" customFormat="1">
      <c r="A3" s="40" t="s">
        <v>566</v>
      </c>
    </row>
    <row r="4" spans="1:4" ht="23.5" thickBot="1"/>
    <row r="5" spans="1:4" ht="47.25" customHeight="1" thickBot="1">
      <c r="A5" s="233" t="s">
        <v>566</v>
      </c>
      <c r="B5" s="234"/>
      <c r="C5" s="234"/>
      <c r="D5" s="235"/>
    </row>
    <row r="6" spans="1:4" ht="23.5" thickBot="1">
      <c r="A6" s="108" t="s">
        <v>0</v>
      </c>
      <c r="B6" s="109">
        <v>2565</v>
      </c>
      <c r="C6" s="109">
        <v>2566</v>
      </c>
      <c r="D6" s="109">
        <v>2567</v>
      </c>
    </row>
    <row r="7" spans="1:4" ht="23.5" thickBot="1">
      <c r="A7" s="108" t="s">
        <v>156</v>
      </c>
      <c r="B7" s="110">
        <v>0</v>
      </c>
      <c r="C7" s="110">
        <v>0</v>
      </c>
      <c r="D7" s="110">
        <v>0</v>
      </c>
    </row>
  </sheetData>
  <mergeCells count="1">
    <mergeCell ref="A5:D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89572-85CA-42A0-BF89-5E624729EA18}">
  <sheetPr>
    <tabColor rgb="FF8ED873"/>
  </sheetPr>
  <dimension ref="A1:D7"/>
  <sheetViews>
    <sheetView workbookViewId="0">
      <selection activeCell="Q8" sqref="Q8"/>
    </sheetView>
  </sheetViews>
  <sheetFormatPr defaultColWidth="9.1796875" defaultRowHeight="23"/>
  <cols>
    <col min="1" max="1" width="15.54296875" style="31" customWidth="1"/>
    <col min="2" max="2" width="13.1796875" style="31" customWidth="1"/>
    <col min="3" max="3" width="13.453125" style="31" customWidth="1"/>
    <col min="4" max="4" width="12.7265625" style="31" customWidth="1"/>
    <col min="5" max="16384" width="9.1796875" style="31"/>
  </cols>
  <sheetData>
    <row r="1" spans="1:4" s="40" customFormat="1">
      <c r="A1" s="40" t="s">
        <v>351</v>
      </c>
    </row>
    <row r="2" spans="1:4" s="40" customFormat="1">
      <c r="A2" s="40" t="s">
        <v>472</v>
      </c>
    </row>
    <row r="3" spans="1:4" s="40" customFormat="1">
      <c r="A3" s="40" t="s">
        <v>567</v>
      </c>
    </row>
    <row r="4" spans="1:4" ht="23.5" thickBot="1"/>
    <row r="5" spans="1:4" ht="44.25" customHeight="1" thickBot="1">
      <c r="A5" s="233" t="s">
        <v>567</v>
      </c>
      <c r="B5" s="234"/>
      <c r="C5" s="234"/>
      <c r="D5" s="235"/>
    </row>
    <row r="6" spans="1:4" ht="23.5" thickBot="1">
      <c r="A6" s="108" t="s">
        <v>0</v>
      </c>
      <c r="B6" s="109">
        <v>2565</v>
      </c>
      <c r="C6" s="109">
        <v>2566</v>
      </c>
      <c r="D6" s="109">
        <v>2567</v>
      </c>
    </row>
    <row r="7" spans="1:4" ht="23.5" thickBot="1">
      <c r="A7" s="108" t="s">
        <v>473</v>
      </c>
      <c r="B7" s="110">
        <v>0</v>
      </c>
      <c r="C7" s="110">
        <v>0</v>
      </c>
      <c r="D7" s="110">
        <v>0</v>
      </c>
    </row>
  </sheetData>
  <mergeCells count="1">
    <mergeCell ref="A5:D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E4C95-1B5C-4A18-BF44-23379567C53D}">
  <sheetPr>
    <tabColor rgb="FF8ED873"/>
  </sheetPr>
  <dimension ref="A1:I103"/>
  <sheetViews>
    <sheetView workbookViewId="0">
      <selection activeCell="N9" sqref="N9"/>
    </sheetView>
  </sheetViews>
  <sheetFormatPr defaultColWidth="9.1796875" defaultRowHeight="22.5" customHeight="1"/>
  <cols>
    <col min="1" max="1" width="9.1796875" style="31"/>
    <col min="2" max="2" width="20.81640625" style="31" customWidth="1"/>
    <col min="3" max="3" width="22.453125" style="31" customWidth="1"/>
    <col min="4" max="4" width="22.26953125" style="31" customWidth="1"/>
    <col min="5" max="5" width="22.1796875" style="31" customWidth="1"/>
    <col min="6" max="6" width="20.1796875" style="31" customWidth="1"/>
    <col min="7" max="7" width="16.453125" style="31" customWidth="1"/>
    <col min="8" max="8" width="16.7265625" style="31" customWidth="1"/>
    <col min="9" max="9" width="16.54296875" style="31" customWidth="1"/>
    <col min="10" max="16384" width="9.1796875" style="31"/>
  </cols>
  <sheetData>
    <row r="1" spans="1:5" s="40" customFormat="1" ht="22.5" customHeight="1">
      <c r="A1" s="40" t="s">
        <v>351</v>
      </c>
    </row>
    <row r="2" spans="1:5" s="40" customFormat="1" ht="22.5" customHeight="1">
      <c r="A2" s="40" t="s">
        <v>472</v>
      </c>
    </row>
    <row r="3" spans="1:5" s="40" customFormat="1" ht="22.5" customHeight="1">
      <c r="A3" s="40" t="s">
        <v>568</v>
      </c>
    </row>
    <row r="4" spans="1:5" s="40" customFormat="1" ht="22.5" customHeight="1"/>
    <row r="5" spans="1:5" ht="22.5" customHeight="1">
      <c r="A5" s="236" t="s">
        <v>568</v>
      </c>
      <c r="B5" s="236"/>
      <c r="C5" s="236"/>
      <c r="D5" s="236"/>
      <c r="E5" s="236"/>
    </row>
    <row r="6" spans="1:5" s="134" customFormat="1" ht="22.5" customHeight="1">
      <c r="A6" s="132" t="s">
        <v>160</v>
      </c>
      <c r="B6" s="132" t="s">
        <v>475</v>
      </c>
      <c r="C6" s="133" t="s">
        <v>476</v>
      </c>
      <c r="D6" s="133" t="s">
        <v>477</v>
      </c>
      <c r="E6" s="133" t="s">
        <v>10</v>
      </c>
    </row>
    <row r="7" spans="1:5" ht="22.5" customHeight="1">
      <c r="A7" s="34">
        <v>2566</v>
      </c>
      <c r="B7" s="128">
        <v>6268000</v>
      </c>
      <c r="C7" s="135"/>
      <c r="D7" s="135"/>
      <c r="E7" s="128">
        <f>SUM(B7:D7)</f>
        <v>6268000</v>
      </c>
    </row>
    <row r="8" spans="1:5" ht="22.5" customHeight="1">
      <c r="A8" s="34">
        <v>2567</v>
      </c>
      <c r="B8" s="128">
        <v>11390957.52</v>
      </c>
      <c r="C8" s="135"/>
      <c r="D8" s="135">
        <v>11304540</v>
      </c>
      <c r="E8" s="128">
        <f t="shared" ref="E8:E10" si="0">SUM(B8:D8)</f>
        <v>22695497.52</v>
      </c>
    </row>
    <row r="9" spans="1:5" ht="22.5" customHeight="1">
      <c r="A9" s="34">
        <v>2568</v>
      </c>
      <c r="B9" s="128">
        <v>17993156</v>
      </c>
      <c r="C9" s="135">
        <v>30027890.720000003</v>
      </c>
      <c r="D9" s="135">
        <v>21410740</v>
      </c>
      <c r="E9" s="128">
        <f t="shared" si="0"/>
        <v>69431786.719999999</v>
      </c>
    </row>
    <row r="10" spans="1:5" s="131" customFormat="1" ht="22.5" customHeight="1">
      <c r="A10" s="129" t="s">
        <v>10</v>
      </c>
      <c r="B10" s="130">
        <f t="shared" ref="B10:D10" si="1">SUM(B7:B9)</f>
        <v>35652113.519999996</v>
      </c>
      <c r="C10" s="136">
        <f t="shared" si="1"/>
        <v>30027890.720000003</v>
      </c>
      <c r="D10" s="136">
        <f t="shared" si="1"/>
        <v>32715280</v>
      </c>
      <c r="E10" s="128">
        <f t="shared" si="0"/>
        <v>98395284.239999995</v>
      </c>
    </row>
    <row r="17" spans="1:9" ht="22.5" customHeight="1">
      <c r="A17" s="31" t="s">
        <v>474</v>
      </c>
    </row>
    <row r="18" spans="1:9" ht="22.5" customHeight="1">
      <c r="A18" s="111" t="s">
        <v>5</v>
      </c>
      <c r="B18" s="112" t="s">
        <v>157</v>
      </c>
      <c r="C18" s="113" t="s">
        <v>7</v>
      </c>
      <c r="D18" s="112" t="s">
        <v>6</v>
      </c>
      <c r="E18" s="112" t="s">
        <v>158</v>
      </c>
      <c r="F18" s="112" t="s">
        <v>159</v>
      </c>
      <c r="G18" s="112" t="s">
        <v>8</v>
      </c>
      <c r="H18" s="112" t="s">
        <v>160</v>
      </c>
      <c r="I18" s="112" t="s">
        <v>161</v>
      </c>
    </row>
    <row r="19" spans="1:9" ht="22.5" customHeight="1">
      <c r="A19" s="115">
        <v>1</v>
      </c>
      <c r="B19" s="116" t="s">
        <v>162</v>
      </c>
      <c r="C19" s="116" t="s">
        <v>163</v>
      </c>
      <c r="D19" s="116" t="s">
        <v>164</v>
      </c>
      <c r="E19" s="116" t="s">
        <v>165</v>
      </c>
      <c r="F19" s="116" t="s">
        <v>166</v>
      </c>
      <c r="G19" s="117">
        <v>1000000</v>
      </c>
      <c r="H19" s="115">
        <v>2566</v>
      </c>
      <c r="I19" s="118">
        <v>20</v>
      </c>
    </row>
    <row r="20" spans="1:9" ht="22.5" customHeight="1">
      <c r="A20" s="115">
        <f t="shared" ref="A20:A83" si="2">1+A19</f>
        <v>2</v>
      </c>
      <c r="B20" s="116" t="s">
        <v>167</v>
      </c>
      <c r="C20" s="116" t="s">
        <v>168</v>
      </c>
      <c r="D20" s="116" t="s">
        <v>164</v>
      </c>
      <c r="E20" s="116" t="s">
        <v>165</v>
      </c>
      <c r="F20" s="116" t="s">
        <v>166</v>
      </c>
      <c r="G20" s="117">
        <v>200000</v>
      </c>
      <c r="H20" s="115">
        <v>2566</v>
      </c>
      <c r="I20" s="118">
        <v>4</v>
      </c>
    </row>
    <row r="21" spans="1:9" ht="22.5" customHeight="1">
      <c r="A21" s="115">
        <f t="shared" si="2"/>
        <v>3</v>
      </c>
      <c r="B21" s="116" t="s">
        <v>169</v>
      </c>
      <c r="C21" s="116" t="s">
        <v>170</v>
      </c>
      <c r="D21" s="116" t="s">
        <v>164</v>
      </c>
      <c r="E21" s="116" t="s">
        <v>165</v>
      </c>
      <c r="F21" s="116" t="s">
        <v>166</v>
      </c>
      <c r="G21" s="117">
        <v>500000</v>
      </c>
      <c r="H21" s="115">
        <v>2566</v>
      </c>
      <c r="I21" s="118">
        <v>5</v>
      </c>
    </row>
    <row r="22" spans="1:9" ht="22.5" customHeight="1">
      <c r="A22" s="115">
        <f t="shared" si="2"/>
        <v>4</v>
      </c>
      <c r="B22" s="116" t="s">
        <v>171</v>
      </c>
      <c r="C22" s="116" t="s">
        <v>172</v>
      </c>
      <c r="D22" s="116" t="s">
        <v>173</v>
      </c>
      <c r="E22" s="116" t="s">
        <v>173</v>
      </c>
      <c r="F22" s="116" t="s">
        <v>174</v>
      </c>
      <c r="G22" s="117">
        <v>260000</v>
      </c>
      <c r="H22" s="115">
        <v>2566</v>
      </c>
      <c r="I22" s="118">
        <v>13</v>
      </c>
    </row>
    <row r="23" spans="1:9" ht="22.5" customHeight="1">
      <c r="A23" s="115">
        <f t="shared" si="2"/>
        <v>5</v>
      </c>
      <c r="B23" s="116" t="s">
        <v>175</v>
      </c>
      <c r="C23" s="116" t="s">
        <v>176</v>
      </c>
      <c r="D23" s="116" t="s">
        <v>164</v>
      </c>
      <c r="E23" s="116" t="s">
        <v>165</v>
      </c>
      <c r="F23" s="119" t="s">
        <v>177</v>
      </c>
      <c r="G23" s="117">
        <v>78000</v>
      </c>
      <c r="H23" s="115">
        <v>2566</v>
      </c>
      <c r="I23" s="118">
        <v>2</v>
      </c>
    </row>
    <row r="24" spans="1:9" ht="22.5" customHeight="1">
      <c r="A24" s="115">
        <f t="shared" si="2"/>
        <v>6</v>
      </c>
      <c r="B24" s="116" t="s">
        <v>178</v>
      </c>
      <c r="C24" s="116" t="s">
        <v>179</v>
      </c>
      <c r="D24" s="116" t="s">
        <v>152</v>
      </c>
      <c r="E24" s="116" t="s">
        <v>180</v>
      </c>
      <c r="F24" s="119" t="s">
        <v>181</v>
      </c>
      <c r="G24" s="117">
        <v>1080000</v>
      </c>
      <c r="H24" s="115">
        <v>2566</v>
      </c>
      <c r="I24" s="118">
        <v>67</v>
      </c>
    </row>
    <row r="25" spans="1:9" ht="22.5" customHeight="1">
      <c r="A25" s="115">
        <f t="shared" si="2"/>
        <v>7</v>
      </c>
      <c r="B25" s="116" t="s">
        <v>182</v>
      </c>
      <c r="C25" s="116" t="s">
        <v>183</v>
      </c>
      <c r="D25" s="116" t="s">
        <v>173</v>
      </c>
      <c r="E25" s="116" t="s">
        <v>173</v>
      </c>
      <c r="F25" s="119" t="s">
        <v>174</v>
      </c>
      <c r="G25" s="117">
        <v>78000</v>
      </c>
      <c r="H25" s="115">
        <v>2566</v>
      </c>
      <c r="I25" s="118">
        <v>2</v>
      </c>
    </row>
    <row r="26" spans="1:9" ht="22.5" customHeight="1">
      <c r="A26" s="115">
        <f t="shared" si="2"/>
        <v>8</v>
      </c>
      <c r="B26" s="116" t="s">
        <v>184</v>
      </c>
      <c r="C26" s="116" t="s">
        <v>185</v>
      </c>
      <c r="D26" s="116" t="s">
        <v>173</v>
      </c>
      <c r="E26" s="116" t="s">
        <v>173</v>
      </c>
      <c r="F26" s="116" t="s">
        <v>186</v>
      </c>
      <c r="G26" s="117">
        <v>30000</v>
      </c>
      <c r="H26" s="115">
        <v>2566</v>
      </c>
      <c r="I26" s="118">
        <v>3</v>
      </c>
    </row>
    <row r="27" spans="1:9" ht="22.5" customHeight="1">
      <c r="A27" s="115">
        <f t="shared" si="2"/>
        <v>9</v>
      </c>
      <c r="B27" s="116" t="s">
        <v>187</v>
      </c>
      <c r="C27" s="116" t="s">
        <v>188</v>
      </c>
      <c r="D27" s="116" t="s">
        <v>154</v>
      </c>
      <c r="E27" s="116" t="s">
        <v>165</v>
      </c>
      <c r="F27" s="116" t="s">
        <v>189</v>
      </c>
      <c r="G27" s="117">
        <v>609000</v>
      </c>
      <c r="H27" s="115">
        <v>2566</v>
      </c>
      <c r="I27" s="118">
        <v>18</v>
      </c>
    </row>
    <row r="28" spans="1:9" ht="22.5" customHeight="1">
      <c r="A28" s="115">
        <f t="shared" si="2"/>
        <v>10</v>
      </c>
      <c r="B28" s="116" t="s">
        <v>190</v>
      </c>
      <c r="C28" s="116" t="s">
        <v>191</v>
      </c>
      <c r="D28" s="116" t="s">
        <v>192</v>
      </c>
      <c r="E28" s="116" t="s">
        <v>165</v>
      </c>
      <c r="F28" s="116" t="s">
        <v>193</v>
      </c>
      <c r="G28" s="117">
        <v>420000</v>
      </c>
      <c r="H28" s="115">
        <v>2566</v>
      </c>
      <c r="I28" s="118">
        <v>146</v>
      </c>
    </row>
    <row r="29" spans="1:9" ht="22.5" customHeight="1">
      <c r="A29" s="115">
        <f t="shared" si="2"/>
        <v>11</v>
      </c>
      <c r="B29" s="116" t="s">
        <v>194</v>
      </c>
      <c r="C29" s="116" t="s">
        <v>195</v>
      </c>
      <c r="D29" s="116" t="s">
        <v>164</v>
      </c>
      <c r="E29" s="116" t="s">
        <v>165</v>
      </c>
      <c r="F29" s="116" t="s">
        <v>196</v>
      </c>
      <c r="G29" s="117">
        <v>160000</v>
      </c>
      <c r="H29" s="115">
        <v>2566</v>
      </c>
      <c r="I29" s="118">
        <v>4</v>
      </c>
    </row>
    <row r="30" spans="1:9" ht="22.5" customHeight="1">
      <c r="A30" s="115">
        <f t="shared" si="2"/>
        <v>12</v>
      </c>
      <c r="B30" s="116" t="s">
        <v>197</v>
      </c>
      <c r="C30" s="116" t="s">
        <v>198</v>
      </c>
      <c r="D30" s="116" t="s">
        <v>164</v>
      </c>
      <c r="E30" s="116" t="s">
        <v>165</v>
      </c>
      <c r="F30" s="119">
        <v>24386</v>
      </c>
      <c r="G30" s="117">
        <v>573000</v>
      </c>
      <c r="H30" s="115">
        <v>2566</v>
      </c>
      <c r="I30" s="118">
        <v>15</v>
      </c>
    </row>
    <row r="31" spans="1:9" ht="22.5" customHeight="1">
      <c r="A31" s="115">
        <f t="shared" si="2"/>
        <v>13</v>
      </c>
      <c r="B31" s="116" t="s">
        <v>199</v>
      </c>
      <c r="C31" s="116" t="s">
        <v>200</v>
      </c>
      <c r="D31" s="116" t="s">
        <v>164</v>
      </c>
      <c r="E31" s="116" t="s">
        <v>165</v>
      </c>
      <c r="F31" s="116" t="s">
        <v>201</v>
      </c>
      <c r="G31" s="117">
        <v>580000</v>
      </c>
      <c r="H31" s="115">
        <v>2566</v>
      </c>
      <c r="I31" s="118">
        <v>144</v>
      </c>
    </row>
    <row r="32" spans="1:9" ht="22.5" customHeight="1">
      <c r="A32" s="115">
        <f t="shared" si="2"/>
        <v>14</v>
      </c>
      <c r="B32" s="116" t="s">
        <v>202</v>
      </c>
      <c r="C32" s="116" t="s">
        <v>203</v>
      </c>
      <c r="D32" s="116" t="s">
        <v>204</v>
      </c>
      <c r="E32" s="116" t="s">
        <v>205</v>
      </c>
      <c r="F32" s="116" t="s">
        <v>206</v>
      </c>
      <c r="G32" s="117">
        <v>700000</v>
      </c>
      <c r="H32" s="115">
        <v>2566</v>
      </c>
      <c r="I32" s="118">
        <v>20</v>
      </c>
    </row>
    <row r="33" spans="1:9" ht="22.5" customHeight="1">
      <c r="A33" s="115">
        <f t="shared" si="2"/>
        <v>15</v>
      </c>
      <c r="B33" s="116" t="s">
        <v>207</v>
      </c>
      <c r="C33" s="116" t="s">
        <v>208</v>
      </c>
      <c r="D33" s="116" t="s">
        <v>192</v>
      </c>
      <c r="E33" s="116" t="s">
        <v>151</v>
      </c>
      <c r="F33" s="120">
        <v>24401</v>
      </c>
      <c r="G33" s="117">
        <v>275000</v>
      </c>
      <c r="H33" s="115">
        <v>2567</v>
      </c>
      <c r="I33" s="118">
        <v>45</v>
      </c>
    </row>
    <row r="34" spans="1:9" ht="22.5" customHeight="1">
      <c r="A34" s="115">
        <f t="shared" si="2"/>
        <v>16</v>
      </c>
      <c r="B34" s="116" t="s">
        <v>167</v>
      </c>
      <c r="C34" s="116" t="s">
        <v>209</v>
      </c>
      <c r="D34" s="116" t="s">
        <v>152</v>
      </c>
      <c r="E34" s="116" t="s">
        <v>151</v>
      </c>
      <c r="F34" s="116" t="s">
        <v>210</v>
      </c>
      <c r="G34" s="117">
        <v>480000</v>
      </c>
      <c r="H34" s="115">
        <v>2567</v>
      </c>
      <c r="I34" s="118">
        <v>10</v>
      </c>
    </row>
    <row r="35" spans="1:9" ht="22.5" customHeight="1">
      <c r="A35" s="115">
        <f t="shared" si="2"/>
        <v>17</v>
      </c>
      <c r="B35" s="116" t="s">
        <v>175</v>
      </c>
      <c r="C35" s="116" t="s">
        <v>211</v>
      </c>
      <c r="D35" s="116" t="s">
        <v>152</v>
      </c>
      <c r="E35" s="116" t="s">
        <v>151</v>
      </c>
      <c r="F35" s="116" t="s">
        <v>210</v>
      </c>
      <c r="G35" s="117">
        <v>270000</v>
      </c>
      <c r="H35" s="115">
        <v>2567</v>
      </c>
      <c r="I35" s="118">
        <v>6</v>
      </c>
    </row>
    <row r="36" spans="1:9" ht="22.5" customHeight="1">
      <c r="A36" s="115">
        <f t="shared" si="2"/>
        <v>18</v>
      </c>
      <c r="B36" s="116" t="s">
        <v>212</v>
      </c>
      <c r="C36" s="116" t="s">
        <v>208</v>
      </c>
      <c r="D36" s="116" t="s">
        <v>192</v>
      </c>
      <c r="E36" s="116" t="s">
        <v>151</v>
      </c>
      <c r="F36" s="116" t="s">
        <v>213</v>
      </c>
      <c r="G36" s="117">
        <v>125000</v>
      </c>
      <c r="H36" s="115">
        <v>2567</v>
      </c>
      <c r="I36" s="118">
        <v>30</v>
      </c>
    </row>
    <row r="37" spans="1:9" ht="22.5" customHeight="1">
      <c r="A37" s="115">
        <f t="shared" si="2"/>
        <v>19</v>
      </c>
      <c r="B37" s="116" t="s">
        <v>214</v>
      </c>
      <c r="C37" s="116" t="s">
        <v>215</v>
      </c>
      <c r="D37" s="116" t="s">
        <v>216</v>
      </c>
      <c r="E37" s="116" t="s">
        <v>216</v>
      </c>
      <c r="F37" s="120">
        <v>243604</v>
      </c>
      <c r="G37" s="117">
        <v>195000</v>
      </c>
      <c r="H37" s="115">
        <v>2567</v>
      </c>
      <c r="I37" s="118">
        <v>20</v>
      </c>
    </row>
    <row r="38" spans="1:9" ht="22.5" customHeight="1">
      <c r="A38" s="115">
        <f t="shared" si="2"/>
        <v>20</v>
      </c>
      <c r="B38" s="116" t="s">
        <v>217</v>
      </c>
      <c r="C38" s="116" t="s">
        <v>215</v>
      </c>
      <c r="D38" s="116" t="s">
        <v>216</v>
      </c>
      <c r="E38" s="116" t="s">
        <v>216</v>
      </c>
      <c r="F38" s="120">
        <v>243604</v>
      </c>
      <c r="G38" s="117">
        <v>90000</v>
      </c>
      <c r="H38" s="115">
        <v>2567</v>
      </c>
      <c r="I38" s="118">
        <v>28</v>
      </c>
    </row>
    <row r="39" spans="1:9" ht="22.5" customHeight="1">
      <c r="A39" s="115">
        <f t="shared" si="2"/>
        <v>21</v>
      </c>
      <c r="B39" s="116" t="s">
        <v>162</v>
      </c>
      <c r="C39" s="116" t="s">
        <v>218</v>
      </c>
      <c r="D39" s="116" t="s">
        <v>152</v>
      </c>
      <c r="E39" s="116" t="s">
        <v>151</v>
      </c>
      <c r="F39" s="116" t="s">
        <v>210</v>
      </c>
      <c r="G39" s="117">
        <v>400000</v>
      </c>
      <c r="H39" s="115">
        <v>2567</v>
      </c>
      <c r="I39" s="118">
        <v>12</v>
      </c>
    </row>
    <row r="40" spans="1:9" ht="22.5" customHeight="1">
      <c r="A40" s="115">
        <f t="shared" si="2"/>
        <v>22</v>
      </c>
      <c r="B40" s="116" t="s">
        <v>219</v>
      </c>
      <c r="C40" s="116" t="s">
        <v>208</v>
      </c>
      <c r="D40" s="116" t="s">
        <v>192</v>
      </c>
      <c r="E40" s="116" t="s">
        <v>151</v>
      </c>
      <c r="F40" s="116" t="s">
        <v>220</v>
      </c>
      <c r="G40" s="117">
        <v>397757.52</v>
      </c>
      <c r="H40" s="115">
        <v>2567</v>
      </c>
      <c r="I40" s="118">
        <v>20</v>
      </c>
    </row>
    <row r="41" spans="1:9" ht="22.5" customHeight="1">
      <c r="A41" s="115">
        <f t="shared" si="2"/>
        <v>23</v>
      </c>
      <c r="B41" s="116" t="s">
        <v>221</v>
      </c>
      <c r="C41" s="116" t="s">
        <v>222</v>
      </c>
      <c r="D41" s="116" t="s">
        <v>223</v>
      </c>
      <c r="E41" s="116" t="s">
        <v>151</v>
      </c>
      <c r="F41" s="121">
        <v>24521</v>
      </c>
      <c r="G41" s="117">
        <v>662000</v>
      </c>
      <c r="H41" s="115">
        <v>2567</v>
      </c>
      <c r="I41" s="118">
        <v>45</v>
      </c>
    </row>
    <row r="42" spans="1:9" ht="22.5" customHeight="1">
      <c r="A42" s="115">
        <f t="shared" si="2"/>
        <v>24</v>
      </c>
      <c r="B42" s="116" t="s">
        <v>224</v>
      </c>
      <c r="C42" s="116" t="s">
        <v>225</v>
      </c>
      <c r="D42" s="116" t="s">
        <v>152</v>
      </c>
      <c r="E42" s="116" t="s">
        <v>151</v>
      </c>
      <c r="F42" s="116" t="s">
        <v>226</v>
      </c>
      <c r="G42" s="117">
        <v>554000</v>
      </c>
      <c r="H42" s="115">
        <v>2567</v>
      </c>
      <c r="I42" s="118">
        <v>260</v>
      </c>
    </row>
    <row r="43" spans="1:9" ht="22.5" customHeight="1">
      <c r="A43" s="115">
        <f t="shared" si="2"/>
        <v>25</v>
      </c>
      <c r="B43" s="116" t="s">
        <v>227</v>
      </c>
      <c r="C43" s="122" t="s">
        <v>215</v>
      </c>
      <c r="D43" s="32" t="s">
        <v>228</v>
      </c>
      <c r="E43" s="32" t="s">
        <v>229</v>
      </c>
      <c r="F43" s="123">
        <v>243763</v>
      </c>
      <c r="G43" s="117">
        <v>700000</v>
      </c>
      <c r="H43" s="115">
        <v>2567</v>
      </c>
      <c r="I43" s="118">
        <v>20</v>
      </c>
    </row>
    <row r="44" spans="1:9" ht="22.5" customHeight="1">
      <c r="A44" s="115">
        <f t="shared" si="2"/>
        <v>26</v>
      </c>
      <c r="B44" s="116" t="s">
        <v>230</v>
      </c>
      <c r="C44" s="124" t="s">
        <v>231</v>
      </c>
      <c r="D44" s="32" t="s">
        <v>223</v>
      </c>
      <c r="E44" s="32" t="s">
        <v>151</v>
      </c>
      <c r="F44" s="32" t="s">
        <v>232</v>
      </c>
      <c r="G44" s="117">
        <v>1192000</v>
      </c>
      <c r="H44" s="115">
        <v>2567</v>
      </c>
      <c r="I44" s="118">
        <v>116</v>
      </c>
    </row>
    <row r="45" spans="1:9" ht="22.5" customHeight="1">
      <c r="A45" s="115">
        <f t="shared" si="2"/>
        <v>27</v>
      </c>
      <c r="B45" s="116" t="s">
        <v>233</v>
      </c>
      <c r="C45" s="124" t="s">
        <v>234</v>
      </c>
      <c r="D45" s="32" t="s">
        <v>235</v>
      </c>
      <c r="E45" s="32" t="s">
        <v>235</v>
      </c>
      <c r="F45" s="125" t="s">
        <v>236</v>
      </c>
      <c r="G45" s="117">
        <v>80000</v>
      </c>
      <c r="H45" s="115">
        <v>2567</v>
      </c>
      <c r="I45" s="118">
        <v>4</v>
      </c>
    </row>
    <row r="46" spans="1:9" ht="22.5" customHeight="1">
      <c r="A46" s="115">
        <f t="shared" si="2"/>
        <v>28</v>
      </c>
      <c r="B46" s="116" t="s">
        <v>237</v>
      </c>
      <c r="C46" s="124" t="s">
        <v>238</v>
      </c>
      <c r="D46" s="32" t="s">
        <v>152</v>
      </c>
      <c r="E46" s="32" t="s">
        <v>151</v>
      </c>
      <c r="F46" s="32" t="s">
        <v>239</v>
      </c>
      <c r="G46" s="117">
        <v>660000</v>
      </c>
      <c r="H46" s="115">
        <v>2567</v>
      </c>
      <c r="I46" s="118">
        <v>24</v>
      </c>
    </row>
    <row r="47" spans="1:9" ht="22.5" customHeight="1">
      <c r="A47" s="115">
        <f t="shared" si="2"/>
        <v>29</v>
      </c>
      <c r="B47" s="116" t="s">
        <v>240</v>
      </c>
      <c r="C47" s="124" t="s">
        <v>208</v>
      </c>
      <c r="D47" s="32" t="s">
        <v>192</v>
      </c>
      <c r="E47" s="32" t="s">
        <v>151</v>
      </c>
      <c r="F47" s="32" t="s">
        <v>241</v>
      </c>
      <c r="G47" s="117">
        <v>503200</v>
      </c>
      <c r="H47" s="115">
        <v>2567</v>
      </c>
      <c r="I47" s="118">
        <v>160</v>
      </c>
    </row>
    <row r="48" spans="1:9" ht="22.5" customHeight="1">
      <c r="A48" s="115">
        <f t="shared" si="2"/>
        <v>30</v>
      </c>
      <c r="B48" s="116" t="s">
        <v>242</v>
      </c>
      <c r="C48" s="124" t="s">
        <v>208</v>
      </c>
      <c r="D48" s="32" t="s">
        <v>192</v>
      </c>
      <c r="E48" s="32" t="s">
        <v>151</v>
      </c>
      <c r="F48" s="123">
        <v>243852</v>
      </c>
      <c r="G48" s="117">
        <v>183600</v>
      </c>
      <c r="H48" s="115">
        <v>2567</v>
      </c>
      <c r="I48" s="118">
        <v>153</v>
      </c>
    </row>
    <row r="49" spans="1:9" ht="22.5" customHeight="1">
      <c r="A49" s="115">
        <f t="shared" si="2"/>
        <v>31</v>
      </c>
      <c r="B49" s="116" t="s">
        <v>243</v>
      </c>
      <c r="C49" s="124" t="s">
        <v>244</v>
      </c>
      <c r="D49" s="32" t="s">
        <v>152</v>
      </c>
      <c r="E49" s="32" t="s">
        <v>151</v>
      </c>
      <c r="F49" s="32" t="s">
        <v>245</v>
      </c>
      <c r="G49" s="117">
        <v>280000</v>
      </c>
      <c r="H49" s="115">
        <v>2567</v>
      </c>
      <c r="I49" s="118">
        <v>8</v>
      </c>
    </row>
    <row r="50" spans="1:9" ht="22.5" customHeight="1">
      <c r="A50" s="115">
        <f t="shared" si="2"/>
        <v>32</v>
      </c>
      <c r="B50" s="116" t="s">
        <v>246</v>
      </c>
      <c r="C50" s="124" t="s">
        <v>238</v>
      </c>
      <c r="D50" s="32" t="s">
        <v>152</v>
      </c>
      <c r="E50" s="32" t="s">
        <v>151</v>
      </c>
      <c r="F50" s="123">
        <v>243900</v>
      </c>
      <c r="G50" s="117">
        <v>220000</v>
      </c>
      <c r="H50" s="115">
        <v>2567</v>
      </c>
      <c r="I50" s="118">
        <v>110</v>
      </c>
    </row>
    <row r="51" spans="1:9" ht="22.5" customHeight="1">
      <c r="A51" s="115">
        <f t="shared" si="2"/>
        <v>33</v>
      </c>
      <c r="B51" s="116" t="s">
        <v>247</v>
      </c>
      <c r="C51" s="124" t="s">
        <v>179</v>
      </c>
      <c r="D51" s="32" t="s">
        <v>152</v>
      </c>
      <c r="E51" s="32" t="s">
        <v>151</v>
      </c>
      <c r="F51" s="32" t="s">
        <v>248</v>
      </c>
      <c r="G51" s="117">
        <v>1645000</v>
      </c>
      <c r="H51" s="115">
        <v>2567</v>
      </c>
      <c r="I51" s="118">
        <v>94</v>
      </c>
    </row>
    <row r="52" spans="1:9" ht="22.5" customHeight="1">
      <c r="A52" s="115">
        <f t="shared" si="2"/>
        <v>34</v>
      </c>
      <c r="B52" s="116" t="s">
        <v>249</v>
      </c>
      <c r="C52" s="124" t="s">
        <v>209</v>
      </c>
      <c r="D52" s="32" t="s">
        <v>152</v>
      </c>
      <c r="E52" s="32" t="s">
        <v>151</v>
      </c>
      <c r="F52" s="32" t="s">
        <v>250</v>
      </c>
      <c r="G52" s="117">
        <v>440000</v>
      </c>
      <c r="H52" s="115">
        <v>2567</v>
      </c>
      <c r="I52" s="118">
        <v>140</v>
      </c>
    </row>
    <row r="53" spans="1:9" ht="22.5" customHeight="1">
      <c r="A53" s="115">
        <f t="shared" si="2"/>
        <v>35</v>
      </c>
      <c r="B53" s="116" t="s">
        <v>251</v>
      </c>
      <c r="C53" s="124" t="s">
        <v>252</v>
      </c>
      <c r="D53" s="32" t="s">
        <v>152</v>
      </c>
      <c r="E53" s="32" t="s">
        <v>151</v>
      </c>
      <c r="F53" s="32" t="s">
        <v>253</v>
      </c>
      <c r="G53" s="117">
        <v>142500</v>
      </c>
      <c r="H53" s="115">
        <v>2567</v>
      </c>
      <c r="I53" s="118">
        <v>100</v>
      </c>
    </row>
    <row r="54" spans="1:9" ht="22.5" customHeight="1">
      <c r="A54" s="115">
        <f t="shared" si="2"/>
        <v>36</v>
      </c>
      <c r="B54" s="116" t="s">
        <v>227</v>
      </c>
      <c r="C54" s="124" t="s">
        <v>215</v>
      </c>
      <c r="D54" s="32" t="s">
        <v>228</v>
      </c>
      <c r="E54" s="32" t="s">
        <v>216</v>
      </c>
      <c r="F54" s="32" t="s">
        <v>254</v>
      </c>
      <c r="G54" s="117">
        <v>792000</v>
      </c>
      <c r="H54" s="115">
        <v>2567</v>
      </c>
      <c r="I54" s="118">
        <v>22</v>
      </c>
    </row>
    <row r="55" spans="1:9" ht="22.5" customHeight="1">
      <c r="A55" s="115">
        <f t="shared" si="2"/>
        <v>37</v>
      </c>
      <c r="B55" s="116" t="s">
        <v>255</v>
      </c>
      <c r="C55" s="124" t="s">
        <v>215</v>
      </c>
      <c r="D55" s="32" t="s">
        <v>228</v>
      </c>
      <c r="E55" s="32" t="s">
        <v>216</v>
      </c>
      <c r="F55" s="32" t="s">
        <v>256</v>
      </c>
      <c r="G55" s="117">
        <v>399000</v>
      </c>
      <c r="H55" s="115">
        <v>2567</v>
      </c>
      <c r="I55" s="118">
        <v>30</v>
      </c>
    </row>
    <row r="56" spans="1:9" ht="22.5" customHeight="1">
      <c r="A56" s="115">
        <f t="shared" si="2"/>
        <v>38</v>
      </c>
      <c r="B56" s="116" t="s">
        <v>257</v>
      </c>
      <c r="C56" s="124" t="s">
        <v>258</v>
      </c>
      <c r="D56" s="32" t="s">
        <v>152</v>
      </c>
      <c r="E56" s="32" t="s">
        <v>151</v>
      </c>
      <c r="F56" s="32" t="s">
        <v>259</v>
      </c>
      <c r="G56" s="117">
        <v>576900</v>
      </c>
      <c r="H56" s="115">
        <v>2567</v>
      </c>
      <c r="I56" s="118">
        <v>159</v>
      </c>
    </row>
    <row r="57" spans="1:9" ht="22.5" customHeight="1">
      <c r="A57" s="115">
        <f t="shared" si="2"/>
        <v>39</v>
      </c>
      <c r="B57" s="116" t="s">
        <v>260</v>
      </c>
      <c r="C57" s="124" t="s">
        <v>261</v>
      </c>
      <c r="D57" s="32" t="s">
        <v>152</v>
      </c>
      <c r="E57" s="32" t="s">
        <v>151</v>
      </c>
      <c r="F57" s="32" t="s">
        <v>262</v>
      </c>
      <c r="G57" s="117">
        <v>128000</v>
      </c>
      <c r="H57" s="115">
        <v>2567</v>
      </c>
      <c r="I57" s="118">
        <v>4</v>
      </c>
    </row>
    <row r="58" spans="1:9" ht="22.5" customHeight="1">
      <c r="A58" s="115">
        <f t="shared" si="2"/>
        <v>40</v>
      </c>
      <c r="B58" s="116" t="s">
        <v>263</v>
      </c>
      <c r="C58" s="116" t="s">
        <v>264</v>
      </c>
      <c r="D58" s="116" t="s">
        <v>265</v>
      </c>
      <c r="E58" s="116" t="s">
        <v>265</v>
      </c>
      <c r="F58" s="116" t="s">
        <v>266</v>
      </c>
      <c r="G58" s="117">
        <v>36000</v>
      </c>
      <c r="H58" s="115">
        <v>2568</v>
      </c>
      <c r="I58" s="118">
        <v>1</v>
      </c>
    </row>
    <row r="59" spans="1:9" ht="22.5" customHeight="1">
      <c r="A59" s="115">
        <f t="shared" si="2"/>
        <v>41</v>
      </c>
      <c r="B59" s="116" t="s">
        <v>267</v>
      </c>
      <c r="C59" s="116" t="s">
        <v>209</v>
      </c>
      <c r="D59" s="116" t="s">
        <v>152</v>
      </c>
      <c r="E59" s="116" t="s">
        <v>265</v>
      </c>
      <c r="F59" s="116" t="s">
        <v>268</v>
      </c>
      <c r="G59" s="117">
        <v>812500</v>
      </c>
      <c r="H59" s="115">
        <v>2568</v>
      </c>
      <c r="I59" s="118">
        <v>125</v>
      </c>
    </row>
    <row r="60" spans="1:9" ht="22.5" customHeight="1">
      <c r="A60" s="115">
        <f t="shared" si="2"/>
        <v>42</v>
      </c>
      <c r="B60" s="116" t="s">
        <v>269</v>
      </c>
      <c r="C60" s="116" t="s">
        <v>270</v>
      </c>
      <c r="D60" s="116" t="s">
        <v>152</v>
      </c>
      <c r="E60" s="116" t="s">
        <v>265</v>
      </c>
      <c r="F60" s="116" t="s">
        <v>271</v>
      </c>
      <c r="G60" s="117">
        <v>190500</v>
      </c>
      <c r="H60" s="115">
        <v>2568</v>
      </c>
      <c r="I60" s="118">
        <v>88</v>
      </c>
    </row>
    <row r="61" spans="1:9" ht="22.5" customHeight="1">
      <c r="A61" s="115">
        <f t="shared" si="2"/>
        <v>43</v>
      </c>
      <c r="B61" s="116" t="s">
        <v>272</v>
      </c>
      <c r="C61" s="116" t="s">
        <v>215</v>
      </c>
      <c r="D61" s="116" t="s">
        <v>228</v>
      </c>
      <c r="E61" s="116" t="s">
        <v>228</v>
      </c>
      <c r="F61" s="116" t="s">
        <v>273</v>
      </c>
      <c r="G61" s="117">
        <v>720000</v>
      </c>
      <c r="H61" s="115">
        <v>2568</v>
      </c>
      <c r="I61" s="118">
        <v>20</v>
      </c>
    </row>
    <row r="62" spans="1:9" ht="22.5" customHeight="1">
      <c r="A62" s="115">
        <f t="shared" si="2"/>
        <v>44</v>
      </c>
      <c r="B62" s="116" t="s">
        <v>274</v>
      </c>
      <c r="C62" s="116" t="s">
        <v>209</v>
      </c>
      <c r="D62" s="116" t="s">
        <v>152</v>
      </c>
      <c r="E62" s="116" t="s">
        <v>265</v>
      </c>
      <c r="F62" s="126">
        <v>24886</v>
      </c>
      <c r="G62" s="117">
        <v>80000</v>
      </c>
      <c r="H62" s="115">
        <v>2568</v>
      </c>
      <c r="I62" s="118">
        <v>2</v>
      </c>
    </row>
    <row r="63" spans="1:9" ht="22.5" customHeight="1">
      <c r="A63" s="115">
        <f t="shared" si="2"/>
        <v>45</v>
      </c>
      <c r="B63" s="116" t="s">
        <v>275</v>
      </c>
      <c r="C63" s="116" t="s">
        <v>211</v>
      </c>
      <c r="D63" s="116" t="s">
        <v>152</v>
      </c>
      <c r="E63" s="116" t="s">
        <v>265</v>
      </c>
      <c r="F63" s="126">
        <v>24878</v>
      </c>
      <c r="G63" s="117">
        <v>45000</v>
      </c>
      <c r="H63" s="115">
        <v>2568</v>
      </c>
      <c r="I63" s="118">
        <v>5</v>
      </c>
    </row>
    <row r="64" spans="1:9" ht="22.5" customHeight="1">
      <c r="A64" s="115">
        <f t="shared" si="2"/>
        <v>46</v>
      </c>
      <c r="B64" s="116" t="s">
        <v>276</v>
      </c>
      <c r="C64" s="116" t="s">
        <v>277</v>
      </c>
      <c r="D64" s="116" t="s">
        <v>152</v>
      </c>
      <c r="E64" s="116" t="s">
        <v>265</v>
      </c>
      <c r="F64" s="126">
        <v>244017</v>
      </c>
      <c r="G64" s="117">
        <v>30000</v>
      </c>
      <c r="H64" s="115">
        <v>2568</v>
      </c>
      <c r="I64" s="118">
        <v>1</v>
      </c>
    </row>
    <row r="65" spans="1:9" ht="22.5" customHeight="1">
      <c r="A65" s="115">
        <f t="shared" si="2"/>
        <v>47</v>
      </c>
      <c r="B65" s="116" t="s">
        <v>278</v>
      </c>
      <c r="C65" s="116" t="s">
        <v>264</v>
      </c>
      <c r="D65" s="116" t="s">
        <v>265</v>
      </c>
      <c r="E65" s="116" t="s">
        <v>265</v>
      </c>
      <c r="F65" s="116" t="s">
        <v>279</v>
      </c>
      <c r="G65" s="117">
        <v>80000</v>
      </c>
      <c r="H65" s="115">
        <v>2568</v>
      </c>
      <c r="I65" s="118">
        <v>1</v>
      </c>
    </row>
    <row r="66" spans="1:9" ht="22.5" customHeight="1">
      <c r="A66" s="115">
        <f t="shared" si="2"/>
        <v>48</v>
      </c>
      <c r="B66" s="116" t="s">
        <v>280</v>
      </c>
      <c r="C66" s="116" t="s">
        <v>281</v>
      </c>
      <c r="D66" s="116" t="s">
        <v>265</v>
      </c>
      <c r="E66" s="116" t="s">
        <v>265</v>
      </c>
      <c r="F66" s="116" t="s">
        <v>282</v>
      </c>
      <c r="G66" s="117">
        <v>370000</v>
      </c>
      <c r="H66" s="115">
        <v>2568</v>
      </c>
      <c r="I66" s="118">
        <v>112</v>
      </c>
    </row>
    <row r="67" spans="1:9" ht="22.5" customHeight="1">
      <c r="A67" s="115">
        <f t="shared" si="2"/>
        <v>49</v>
      </c>
      <c r="B67" s="116" t="s">
        <v>283</v>
      </c>
      <c r="C67" s="116" t="s">
        <v>208</v>
      </c>
      <c r="D67" s="116" t="s">
        <v>192</v>
      </c>
      <c r="E67" s="116" t="s">
        <v>265</v>
      </c>
      <c r="F67" s="116" t="s">
        <v>284</v>
      </c>
      <c r="G67" s="117">
        <v>540000</v>
      </c>
      <c r="H67" s="115">
        <v>2568</v>
      </c>
      <c r="I67" s="118">
        <v>123</v>
      </c>
    </row>
    <row r="68" spans="1:9" ht="22.5" customHeight="1">
      <c r="A68" s="115">
        <f t="shared" si="2"/>
        <v>50</v>
      </c>
      <c r="B68" s="116" t="s">
        <v>285</v>
      </c>
      <c r="C68" s="116" t="s">
        <v>286</v>
      </c>
      <c r="D68" s="116" t="s">
        <v>152</v>
      </c>
      <c r="E68" s="116" t="s">
        <v>265</v>
      </c>
      <c r="F68" s="116" t="s">
        <v>287</v>
      </c>
      <c r="G68" s="117">
        <v>660000</v>
      </c>
      <c r="H68" s="115">
        <v>2568</v>
      </c>
      <c r="I68" s="118">
        <v>24</v>
      </c>
    </row>
    <row r="69" spans="1:9" ht="22.5" customHeight="1">
      <c r="A69" s="115">
        <f t="shared" si="2"/>
        <v>51</v>
      </c>
      <c r="B69" s="116" t="s">
        <v>288</v>
      </c>
      <c r="C69" s="116" t="s">
        <v>222</v>
      </c>
      <c r="D69" s="116" t="s">
        <v>265</v>
      </c>
      <c r="E69" s="116" t="s">
        <v>265</v>
      </c>
      <c r="F69" s="116" t="s">
        <v>289</v>
      </c>
      <c r="G69" s="117">
        <v>1259456</v>
      </c>
      <c r="H69" s="115">
        <v>2568</v>
      </c>
      <c r="I69" s="118">
        <v>58</v>
      </c>
    </row>
    <row r="70" spans="1:9" ht="22.5" customHeight="1">
      <c r="A70" s="115">
        <f t="shared" si="2"/>
        <v>52</v>
      </c>
      <c r="B70" s="116" t="s">
        <v>274</v>
      </c>
      <c r="C70" s="116" t="s">
        <v>209</v>
      </c>
      <c r="D70" s="116" t="s">
        <v>152</v>
      </c>
      <c r="E70" s="116" t="s">
        <v>265</v>
      </c>
      <c r="F70" s="116" t="s">
        <v>290</v>
      </c>
      <c r="G70" s="117">
        <v>90000</v>
      </c>
      <c r="H70" s="115">
        <v>2568</v>
      </c>
      <c r="I70" s="118">
        <v>2</v>
      </c>
    </row>
    <row r="71" spans="1:9" ht="22.5" customHeight="1">
      <c r="A71" s="115">
        <f t="shared" si="2"/>
        <v>53</v>
      </c>
      <c r="B71" s="116" t="s">
        <v>275</v>
      </c>
      <c r="C71" s="116" t="s">
        <v>211</v>
      </c>
      <c r="D71" s="116" t="s">
        <v>152</v>
      </c>
      <c r="E71" s="116" t="s">
        <v>265</v>
      </c>
      <c r="F71" s="116" t="s">
        <v>291</v>
      </c>
      <c r="G71" s="117">
        <v>90000</v>
      </c>
      <c r="H71" s="115">
        <v>2568</v>
      </c>
      <c r="I71" s="118">
        <v>1</v>
      </c>
    </row>
    <row r="72" spans="1:9" ht="22.5" customHeight="1">
      <c r="A72" s="115">
        <f t="shared" si="2"/>
        <v>54</v>
      </c>
      <c r="B72" s="116" t="s">
        <v>292</v>
      </c>
      <c r="C72" s="116" t="s">
        <v>264</v>
      </c>
      <c r="D72" s="116" t="s">
        <v>265</v>
      </c>
      <c r="E72" s="116" t="s">
        <v>265</v>
      </c>
      <c r="F72" s="116" t="s">
        <v>293</v>
      </c>
      <c r="G72" s="117">
        <v>30000</v>
      </c>
      <c r="H72" s="115">
        <v>2568</v>
      </c>
      <c r="I72" s="118">
        <v>2</v>
      </c>
    </row>
    <row r="73" spans="1:9" ht="22.5" customHeight="1">
      <c r="A73" s="115">
        <f t="shared" si="2"/>
        <v>55</v>
      </c>
      <c r="B73" s="116" t="s">
        <v>294</v>
      </c>
      <c r="C73" s="116" t="s">
        <v>191</v>
      </c>
      <c r="D73" s="116" t="s">
        <v>192</v>
      </c>
      <c r="E73" s="116" t="s">
        <v>265</v>
      </c>
      <c r="F73" s="116" t="s">
        <v>295</v>
      </c>
      <c r="G73" s="117">
        <v>452000</v>
      </c>
      <c r="H73" s="115">
        <v>2568</v>
      </c>
      <c r="I73" s="118">
        <v>49</v>
      </c>
    </row>
    <row r="74" spans="1:9" ht="22.5" customHeight="1">
      <c r="A74" s="115">
        <f t="shared" si="2"/>
        <v>56</v>
      </c>
      <c r="B74" s="116" t="s">
        <v>296</v>
      </c>
      <c r="C74" s="116" t="s">
        <v>225</v>
      </c>
      <c r="D74" s="116" t="s">
        <v>152</v>
      </c>
      <c r="E74" s="116" t="s">
        <v>265</v>
      </c>
      <c r="F74" s="116" t="s">
        <v>297</v>
      </c>
      <c r="G74" s="117">
        <v>656000</v>
      </c>
      <c r="H74" s="115">
        <v>2568</v>
      </c>
      <c r="I74" s="118">
        <v>179</v>
      </c>
    </row>
    <row r="75" spans="1:9" ht="22.5" customHeight="1">
      <c r="A75" s="115">
        <f t="shared" si="2"/>
        <v>57</v>
      </c>
      <c r="B75" s="116" t="s">
        <v>298</v>
      </c>
      <c r="C75" s="116" t="s">
        <v>225</v>
      </c>
      <c r="D75" s="116" t="s">
        <v>152</v>
      </c>
      <c r="E75" s="116" t="s">
        <v>265</v>
      </c>
      <c r="F75" s="116" t="s">
        <v>299</v>
      </c>
      <c r="G75" s="117">
        <v>984500</v>
      </c>
      <c r="H75" s="115">
        <v>2568</v>
      </c>
      <c r="I75" s="118">
        <v>179</v>
      </c>
    </row>
    <row r="76" spans="1:9" ht="22.5" customHeight="1">
      <c r="A76" s="115">
        <f t="shared" si="2"/>
        <v>58</v>
      </c>
      <c r="B76" s="116" t="s">
        <v>300</v>
      </c>
      <c r="C76" s="116" t="s">
        <v>218</v>
      </c>
      <c r="D76" s="116" t="s">
        <v>152</v>
      </c>
      <c r="E76" s="116" t="s">
        <v>265</v>
      </c>
      <c r="F76" s="116" t="s">
        <v>301</v>
      </c>
      <c r="G76" s="117">
        <v>40000</v>
      </c>
      <c r="H76" s="115">
        <v>2568</v>
      </c>
      <c r="I76" s="118">
        <v>1</v>
      </c>
    </row>
    <row r="77" spans="1:9" ht="22.5" customHeight="1">
      <c r="A77" s="115">
        <f t="shared" si="2"/>
        <v>59</v>
      </c>
      <c r="B77" s="116" t="s">
        <v>276</v>
      </c>
      <c r="C77" s="116" t="s">
        <v>277</v>
      </c>
      <c r="D77" s="116" t="s">
        <v>152</v>
      </c>
      <c r="E77" s="116" t="s">
        <v>265</v>
      </c>
      <c r="F77" s="116" t="s">
        <v>302</v>
      </c>
      <c r="G77" s="117">
        <v>30000</v>
      </c>
      <c r="H77" s="115">
        <v>2568</v>
      </c>
      <c r="I77" s="118">
        <v>1</v>
      </c>
    </row>
    <row r="78" spans="1:9" ht="22.5" customHeight="1">
      <c r="A78" s="115">
        <f t="shared" si="2"/>
        <v>60</v>
      </c>
      <c r="B78" s="116" t="s">
        <v>275</v>
      </c>
      <c r="C78" s="116" t="s">
        <v>211</v>
      </c>
      <c r="D78" s="116" t="s">
        <v>152</v>
      </c>
      <c r="E78" s="116" t="s">
        <v>265</v>
      </c>
      <c r="F78" s="116" t="s">
        <v>303</v>
      </c>
      <c r="G78" s="117">
        <v>90000</v>
      </c>
      <c r="H78" s="115">
        <v>2568</v>
      </c>
      <c r="I78" s="118">
        <v>2</v>
      </c>
    </row>
    <row r="79" spans="1:9" ht="22.5" customHeight="1">
      <c r="A79" s="115">
        <f t="shared" si="2"/>
        <v>61</v>
      </c>
      <c r="B79" s="116" t="s">
        <v>304</v>
      </c>
      <c r="C79" s="116" t="s">
        <v>234</v>
      </c>
      <c r="D79" s="116" t="s">
        <v>235</v>
      </c>
      <c r="E79" s="116" t="s">
        <v>235</v>
      </c>
      <c r="F79" s="116" t="s">
        <v>305</v>
      </c>
      <c r="G79" s="117">
        <v>100000</v>
      </c>
      <c r="H79" s="115">
        <v>2568</v>
      </c>
      <c r="I79" s="118">
        <v>5</v>
      </c>
    </row>
    <row r="80" spans="1:9" ht="22.5" customHeight="1">
      <c r="A80" s="115">
        <f t="shared" si="2"/>
        <v>62</v>
      </c>
      <c r="B80" s="116" t="s">
        <v>306</v>
      </c>
      <c r="C80" s="116" t="s">
        <v>307</v>
      </c>
      <c r="D80" s="116" t="s">
        <v>153</v>
      </c>
      <c r="E80" s="116" t="s">
        <v>308</v>
      </c>
      <c r="F80" s="116" t="s">
        <v>309</v>
      </c>
      <c r="G80" s="117">
        <v>1288000</v>
      </c>
      <c r="H80" s="115">
        <v>2568</v>
      </c>
      <c r="I80" s="118">
        <v>95</v>
      </c>
    </row>
    <row r="81" spans="1:9" ht="22.5" customHeight="1">
      <c r="A81" s="115">
        <f t="shared" si="2"/>
        <v>63</v>
      </c>
      <c r="B81" s="116" t="s">
        <v>274</v>
      </c>
      <c r="C81" s="116" t="s">
        <v>209</v>
      </c>
      <c r="D81" s="116" t="s">
        <v>152</v>
      </c>
      <c r="E81" s="116" t="s">
        <v>265</v>
      </c>
      <c r="F81" s="116" t="s">
        <v>310</v>
      </c>
      <c r="G81" s="117">
        <v>90000</v>
      </c>
      <c r="H81" s="115">
        <v>2568</v>
      </c>
      <c r="I81" s="118">
        <v>2</v>
      </c>
    </row>
    <row r="82" spans="1:9" ht="22.5" customHeight="1">
      <c r="A82" s="115">
        <f t="shared" si="2"/>
        <v>64</v>
      </c>
      <c r="B82" s="116" t="s">
        <v>311</v>
      </c>
      <c r="C82" s="116" t="s">
        <v>231</v>
      </c>
      <c r="D82" s="116" t="s">
        <v>265</v>
      </c>
      <c r="E82" s="116" t="s">
        <v>265</v>
      </c>
      <c r="F82" s="116" t="s">
        <v>312</v>
      </c>
      <c r="G82" s="117">
        <v>1150000</v>
      </c>
      <c r="H82" s="115">
        <v>2568</v>
      </c>
      <c r="I82" s="118">
        <v>131</v>
      </c>
    </row>
    <row r="83" spans="1:9" ht="22.5" customHeight="1">
      <c r="A83" s="115">
        <f t="shared" si="2"/>
        <v>65</v>
      </c>
      <c r="B83" s="116" t="s">
        <v>313</v>
      </c>
      <c r="C83" s="116" t="s">
        <v>218</v>
      </c>
      <c r="D83" s="116" t="s">
        <v>152</v>
      </c>
      <c r="E83" s="116" t="s">
        <v>265</v>
      </c>
      <c r="F83" s="116" t="s">
        <v>314</v>
      </c>
      <c r="G83" s="117">
        <v>200900</v>
      </c>
      <c r="H83" s="115">
        <v>2568</v>
      </c>
      <c r="I83" s="118">
        <v>41</v>
      </c>
    </row>
    <row r="84" spans="1:9" ht="22.5" customHeight="1">
      <c r="A84" s="115">
        <f t="shared" ref="A84:A103" si="3">1+A83</f>
        <v>66</v>
      </c>
      <c r="B84" s="116" t="s">
        <v>315</v>
      </c>
      <c r="C84" s="116" t="s">
        <v>316</v>
      </c>
      <c r="D84" s="116" t="s">
        <v>153</v>
      </c>
      <c r="E84" s="116" t="s">
        <v>317</v>
      </c>
      <c r="F84" s="126">
        <v>244134</v>
      </c>
      <c r="G84" s="117">
        <v>135000</v>
      </c>
      <c r="H84" s="115">
        <v>2568</v>
      </c>
      <c r="I84" s="118">
        <v>58</v>
      </c>
    </row>
    <row r="85" spans="1:9" ht="22.5" customHeight="1">
      <c r="A85" s="115">
        <f t="shared" si="3"/>
        <v>67</v>
      </c>
      <c r="B85" s="116" t="s">
        <v>318</v>
      </c>
      <c r="C85" s="116" t="s">
        <v>286</v>
      </c>
      <c r="D85" s="116" t="s">
        <v>152</v>
      </c>
      <c r="E85" s="116" t="s">
        <v>265</v>
      </c>
      <c r="F85" s="116" t="s">
        <v>319</v>
      </c>
      <c r="G85" s="117">
        <v>759000</v>
      </c>
      <c r="H85" s="115">
        <v>2568</v>
      </c>
      <c r="I85" s="118">
        <v>24</v>
      </c>
    </row>
    <row r="86" spans="1:9" ht="22.5" customHeight="1">
      <c r="A86" s="115">
        <f t="shared" si="3"/>
        <v>68</v>
      </c>
      <c r="B86" s="116" t="s">
        <v>320</v>
      </c>
      <c r="C86" s="116" t="s">
        <v>264</v>
      </c>
      <c r="D86" s="116" t="s">
        <v>265</v>
      </c>
      <c r="E86" s="116" t="s">
        <v>265</v>
      </c>
      <c r="F86" s="116" t="s">
        <v>321</v>
      </c>
      <c r="G86" s="117">
        <v>40000</v>
      </c>
      <c r="H86" s="115">
        <v>2568</v>
      </c>
      <c r="I86" s="118">
        <v>1</v>
      </c>
    </row>
    <row r="87" spans="1:9" ht="22.5" customHeight="1">
      <c r="A87" s="115">
        <f t="shared" si="3"/>
        <v>69</v>
      </c>
      <c r="B87" s="116" t="s">
        <v>322</v>
      </c>
      <c r="C87" s="116" t="s">
        <v>264</v>
      </c>
      <c r="D87" s="116" t="s">
        <v>265</v>
      </c>
      <c r="E87" s="116" t="s">
        <v>265</v>
      </c>
      <c r="F87" s="116" t="s">
        <v>323</v>
      </c>
      <c r="G87" s="117">
        <v>24000</v>
      </c>
      <c r="H87" s="115">
        <v>2568</v>
      </c>
      <c r="I87" s="118">
        <v>1</v>
      </c>
    </row>
    <row r="88" spans="1:9" ht="22.5" customHeight="1">
      <c r="A88" s="115">
        <f t="shared" si="3"/>
        <v>70</v>
      </c>
      <c r="B88" s="116" t="s">
        <v>274</v>
      </c>
      <c r="C88" s="116" t="s">
        <v>209</v>
      </c>
      <c r="D88" s="116" t="s">
        <v>152</v>
      </c>
      <c r="E88" s="116" t="s">
        <v>265</v>
      </c>
      <c r="F88" s="116" t="s">
        <v>324</v>
      </c>
      <c r="G88" s="117">
        <v>90000</v>
      </c>
      <c r="H88" s="115">
        <v>2568</v>
      </c>
      <c r="I88" s="118">
        <v>1</v>
      </c>
    </row>
    <row r="89" spans="1:9" ht="22.5" customHeight="1">
      <c r="A89" s="115">
        <f t="shared" si="3"/>
        <v>71</v>
      </c>
      <c r="B89" s="116" t="s">
        <v>322</v>
      </c>
      <c r="C89" s="116" t="s">
        <v>264</v>
      </c>
      <c r="D89" s="116" t="s">
        <v>265</v>
      </c>
      <c r="E89" s="116" t="s">
        <v>265</v>
      </c>
      <c r="F89" s="116" t="s">
        <v>325</v>
      </c>
      <c r="G89" s="117">
        <v>20000</v>
      </c>
      <c r="H89" s="115">
        <v>2568</v>
      </c>
      <c r="I89" s="118">
        <v>1</v>
      </c>
    </row>
    <row r="90" spans="1:9" ht="22.5" customHeight="1">
      <c r="A90" s="115">
        <f t="shared" si="3"/>
        <v>72</v>
      </c>
      <c r="B90" s="116" t="s">
        <v>326</v>
      </c>
      <c r="C90" s="116" t="s">
        <v>264</v>
      </c>
      <c r="D90" s="116" t="s">
        <v>265</v>
      </c>
      <c r="E90" s="116" t="s">
        <v>265</v>
      </c>
      <c r="F90" s="116" t="s">
        <v>327</v>
      </c>
      <c r="G90" s="117">
        <v>15000</v>
      </c>
      <c r="H90" s="115">
        <v>2568</v>
      </c>
      <c r="I90" s="118">
        <v>1</v>
      </c>
    </row>
    <row r="91" spans="1:9" ht="22.5" customHeight="1">
      <c r="A91" s="115">
        <f t="shared" si="3"/>
        <v>73</v>
      </c>
      <c r="B91" s="116" t="s">
        <v>274</v>
      </c>
      <c r="C91" s="116" t="s">
        <v>209</v>
      </c>
      <c r="D91" s="116" t="s">
        <v>152</v>
      </c>
      <c r="E91" s="116" t="s">
        <v>265</v>
      </c>
      <c r="F91" s="116" t="s">
        <v>328</v>
      </c>
      <c r="G91" s="117">
        <v>45000</v>
      </c>
      <c r="H91" s="115">
        <v>2568</v>
      </c>
      <c r="I91" s="118">
        <v>1</v>
      </c>
    </row>
    <row r="92" spans="1:9" ht="22.5" customHeight="1">
      <c r="A92" s="115">
        <f t="shared" si="3"/>
        <v>74</v>
      </c>
      <c r="B92" s="116" t="s">
        <v>329</v>
      </c>
      <c r="C92" s="116" t="s">
        <v>330</v>
      </c>
      <c r="D92" s="116" t="s">
        <v>228</v>
      </c>
      <c r="E92" s="116" t="s">
        <v>228</v>
      </c>
      <c r="F92" s="116" t="s">
        <v>331</v>
      </c>
      <c r="G92" s="117">
        <v>570000</v>
      </c>
      <c r="H92" s="115">
        <v>2568</v>
      </c>
      <c r="I92" s="118">
        <v>50</v>
      </c>
    </row>
    <row r="93" spans="1:9" ht="22.5" customHeight="1">
      <c r="A93" s="115">
        <f t="shared" si="3"/>
        <v>75</v>
      </c>
      <c r="B93" s="116" t="s">
        <v>332</v>
      </c>
      <c r="C93" s="116" t="s">
        <v>225</v>
      </c>
      <c r="D93" s="116" t="s">
        <v>152</v>
      </c>
      <c r="E93" s="116" t="s">
        <v>265</v>
      </c>
      <c r="F93" s="116" t="s">
        <v>333</v>
      </c>
      <c r="G93" s="117">
        <v>300000</v>
      </c>
      <c r="H93" s="115">
        <v>2568</v>
      </c>
      <c r="I93" s="118">
        <v>30</v>
      </c>
    </row>
    <row r="94" spans="1:9" ht="22.5" customHeight="1">
      <c r="A94" s="115">
        <f t="shared" si="3"/>
        <v>76</v>
      </c>
      <c r="B94" s="116" t="s">
        <v>274</v>
      </c>
      <c r="C94" s="116" t="s">
        <v>209</v>
      </c>
      <c r="D94" s="116" t="s">
        <v>152</v>
      </c>
      <c r="E94" s="116" t="s">
        <v>265</v>
      </c>
      <c r="F94" s="116" t="s">
        <v>334</v>
      </c>
      <c r="G94" s="117">
        <v>45000</v>
      </c>
      <c r="H94" s="115">
        <v>2568</v>
      </c>
      <c r="I94" s="118">
        <v>2</v>
      </c>
    </row>
    <row r="95" spans="1:9" ht="22.5" customHeight="1">
      <c r="A95" s="115">
        <f t="shared" si="3"/>
        <v>77</v>
      </c>
      <c r="B95" s="116" t="s">
        <v>335</v>
      </c>
      <c r="C95" s="116" t="s">
        <v>209</v>
      </c>
      <c r="D95" s="116" t="s">
        <v>152</v>
      </c>
      <c r="E95" s="116" t="s">
        <v>265</v>
      </c>
      <c r="F95" s="116" t="s">
        <v>336</v>
      </c>
      <c r="G95" s="117">
        <v>300000</v>
      </c>
      <c r="H95" s="115">
        <v>2568</v>
      </c>
      <c r="I95" s="118">
        <v>25</v>
      </c>
    </row>
    <row r="96" spans="1:9" ht="22.5" customHeight="1">
      <c r="A96" s="115">
        <f t="shared" si="3"/>
        <v>78</v>
      </c>
      <c r="B96" s="116" t="s">
        <v>276</v>
      </c>
      <c r="C96" s="116" t="s">
        <v>277</v>
      </c>
      <c r="D96" s="116" t="s">
        <v>152</v>
      </c>
      <c r="E96" s="116" t="s">
        <v>265</v>
      </c>
      <c r="F96" s="116" t="s">
        <v>337</v>
      </c>
      <c r="G96" s="117">
        <v>30000</v>
      </c>
      <c r="H96" s="115">
        <v>2568</v>
      </c>
      <c r="I96" s="118">
        <v>1</v>
      </c>
    </row>
    <row r="97" spans="1:9" ht="22.5" customHeight="1">
      <c r="A97" s="115">
        <f t="shared" si="3"/>
        <v>79</v>
      </c>
      <c r="B97" s="116" t="s">
        <v>274</v>
      </c>
      <c r="C97" s="116" t="s">
        <v>209</v>
      </c>
      <c r="D97" s="116" t="s">
        <v>152</v>
      </c>
      <c r="E97" s="116" t="s">
        <v>265</v>
      </c>
      <c r="F97" s="116" t="s">
        <v>338</v>
      </c>
      <c r="G97" s="117">
        <v>900000</v>
      </c>
      <c r="H97" s="115">
        <v>2568</v>
      </c>
      <c r="I97" s="118">
        <v>2</v>
      </c>
    </row>
    <row r="98" spans="1:9" ht="22.5" customHeight="1">
      <c r="A98" s="115">
        <f t="shared" si="3"/>
        <v>80</v>
      </c>
      <c r="B98" s="116" t="s">
        <v>275</v>
      </c>
      <c r="C98" s="116" t="s">
        <v>211</v>
      </c>
      <c r="D98" s="116" t="s">
        <v>152</v>
      </c>
      <c r="E98" s="116" t="s">
        <v>265</v>
      </c>
      <c r="F98" s="116" t="s">
        <v>339</v>
      </c>
      <c r="G98" s="117">
        <v>900000</v>
      </c>
      <c r="H98" s="115">
        <v>2568</v>
      </c>
      <c r="I98" s="118">
        <v>2</v>
      </c>
    </row>
    <row r="99" spans="1:9" ht="22.5" customHeight="1">
      <c r="A99" s="115">
        <f t="shared" si="3"/>
        <v>81</v>
      </c>
      <c r="B99" s="116" t="s">
        <v>340</v>
      </c>
      <c r="C99" s="116" t="s">
        <v>209</v>
      </c>
      <c r="D99" s="116" t="s">
        <v>152</v>
      </c>
      <c r="E99" s="116" t="s">
        <v>265</v>
      </c>
      <c r="F99" s="116" t="s">
        <v>341</v>
      </c>
      <c r="G99" s="117">
        <v>1194500</v>
      </c>
      <c r="H99" s="115">
        <v>2568</v>
      </c>
      <c r="I99" s="118">
        <v>170</v>
      </c>
    </row>
    <row r="100" spans="1:9" ht="22.5" customHeight="1">
      <c r="A100" s="115">
        <f t="shared" si="3"/>
        <v>82</v>
      </c>
      <c r="B100" s="116" t="s">
        <v>342</v>
      </c>
      <c r="C100" s="116" t="s">
        <v>222</v>
      </c>
      <c r="D100" s="116" t="s">
        <v>265</v>
      </c>
      <c r="E100" s="116" t="s">
        <v>265</v>
      </c>
      <c r="F100" s="116" t="s">
        <v>343</v>
      </c>
      <c r="G100" s="117">
        <v>661000</v>
      </c>
      <c r="H100" s="115">
        <v>2568</v>
      </c>
      <c r="I100" s="118">
        <v>38</v>
      </c>
    </row>
    <row r="101" spans="1:9" ht="22.5" customHeight="1">
      <c r="A101" s="115">
        <f t="shared" si="3"/>
        <v>83</v>
      </c>
      <c r="B101" s="116" t="s">
        <v>344</v>
      </c>
      <c r="C101" s="116" t="s">
        <v>345</v>
      </c>
      <c r="D101" s="116" t="s">
        <v>152</v>
      </c>
      <c r="E101" s="116" t="s">
        <v>265</v>
      </c>
      <c r="F101" s="127">
        <v>25180</v>
      </c>
      <c r="G101" s="117">
        <v>494800</v>
      </c>
      <c r="H101" s="115">
        <v>2568</v>
      </c>
      <c r="I101" s="118">
        <v>130</v>
      </c>
    </row>
    <row r="102" spans="1:9" ht="22.5" customHeight="1">
      <c r="A102" s="115">
        <f t="shared" si="3"/>
        <v>84</v>
      </c>
      <c r="B102" s="116" t="s">
        <v>346</v>
      </c>
      <c r="C102" s="116" t="s">
        <v>258</v>
      </c>
      <c r="D102" s="116" t="s">
        <v>152</v>
      </c>
      <c r="E102" s="116" t="s">
        <v>265</v>
      </c>
      <c r="F102" s="116" t="s">
        <v>347</v>
      </c>
      <c r="G102" s="117">
        <v>635000</v>
      </c>
      <c r="H102" s="115">
        <v>2568</v>
      </c>
      <c r="I102" s="118">
        <v>170</v>
      </c>
    </row>
    <row r="103" spans="1:9" ht="22.5" customHeight="1">
      <c r="A103" s="115">
        <f t="shared" si="3"/>
        <v>85</v>
      </c>
      <c r="B103" s="116" t="s">
        <v>348</v>
      </c>
      <c r="C103" s="116" t="s">
        <v>215</v>
      </c>
      <c r="D103" s="116" t="s">
        <v>228</v>
      </c>
      <c r="E103" s="116" t="s">
        <v>228</v>
      </c>
      <c r="F103" s="116" t="s">
        <v>349</v>
      </c>
      <c r="G103" s="117">
        <v>720000</v>
      </c>
      <c r="H103" s="115">
        <v>2568</v>
      </c>
      <c r="I103" s="118">
        <v>20</v>
      </c>
    </row>
  </sheetData>
  <mergeCells count="1">
    <mergeCell ref="A5:E5"/>
  </mergeCells>
  <dataValidations count="1">
    <dataValidation type="list" allowBlank="1" showErrorMessage="1" sqref="H19:H103" xr:uid="{1465B7A0-33B8-4A1A-BF51-C211CA5D884E}">
      <formula1>"2569,2568,2567,2566,2565,2564"</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BDFA9-D900-46F3-9C82-F66C05CC8B41}">
  <sheetPr>
    <tabColor rgb="FF8ED873"/>
  </sheetPr>
  <dimension ref="A1:O24"/>
  <sheetViews>
    <sheetView zoomScale="40" zoomScaleNormal="40" workbookViewId="0">
      <selection activeCell="I6" sqref="I6:O11"/>
    </sheetView>
  </sheetViews>
  <sheetFormatPr defaultColWidth="9.1796875" defaultRowHeight="23"/>
  <cols>
    <col min="1" max="1" width="6.81640625" style="40" customWidth="1"/>
    <col min="2" max="2" width="39" style="40" customWidth="1"/>
    <col min="3" max="4" width="11.54296875" style="40" customWidth="1"/>
    <col min="5" max="5" width="11.453125" style="40" customWidth="1"/>
    <col min="6" max="6" width="10.7265625" style="40" customWidth="1"/>
    <col min="7" max="7" width="22" style="40" customWidth="1"/>
    <col min="8" max="8" width="30.81640625" style="40" bestFit="1" customWidth="1"/>
    <col min="9" max="9" width="9.1796875" style="40"/>
    <col min="10" max="10" width="90.36328125" style="40" bestFit="1" customWidth="1"/>
    <col min="11" max="14" width="16.453125" style="40" bestFit="1" customWidth="1"/>
    <col min="15" max="15" width="56.26953125" style="40" bestFit="1" customWidth="1"/>
    <col min="16" max="16384" width="9.1796875" style="40"/>
  </cols>
  <sheetData>
    <row r="1" spans="1:15" ht="22.5" customHeight="1">
      <c r="A1" s="40" t="s">
        <v>351</v>
      </c>
    </row>
    <row r="2" spans="1:15" ht="22.5" customHeight="1">
      <c r="A2" s="40" t="s">
        <v>478</v>
      </c>
    </row>
    <row r="3" spans="1:15" ht="22.5" customHeight="1">
      <c r="A3" s="40" t="s">
        <v>569</v>
      </c>
    </row>
    <row r="4" spans="1:15" ht="22.5" customHeight="1"/>
    <row r="5" spans="1:15">
      <c r="A5" s="237" t="s">
        <v>569</v>
      </c>
      <c r="B5" s="237"/>
      <c r="C5" s="237"/>
      <c r="D5" s="237"/>
      <c r="E5" s="237"/>
      <c r="F5" s="237"/>
      <c r="G5" s="237"/>
    </row>
    <row r="6" spans="1:15" ht="27.75" customHeight="1">
      <c r="A6" s="147" t="s">
        <v>5</v>
      </c>
      <c r="B6" s="148" t="s">
        <v>353</v>
      </c>
      <c r="C6" s="148" t="s">
        <v>354</v>
      </c>
      <c r="D6" s="148" t="s">
        <v>11</v>
      </c>
      <c r="E6" s="148" t="s">
        <v>12</v>
      </c>
      <c r="F6" s="148" t="s">
        <v>13</v>
      </c>
      <c r="G6" s="148" t="s">
        <v>14</v>
      </c>
      <c r="I6" s="147" t="s">
        <v>5</v>
      </c>
      <c r="J6" s="148" t="s">
        <v>353</v>
      </c>
      <c r="K6" s="148" t="s">
        <v>354</v>
      </c>
      <c r="L6" s="148" t="s">
        <v>11</v>
      </c>
      <c r="M6" s="148" t="s">
        <v>12</v>
      </c>
      <c r="N6" s="148" t="s">
        <v>13</v>
      </c>
      <c r="O6" s="148" t="s">
        <v>14</v>
      </c>
    </row>
    <row r="7" spans="1:15" ht="32.5" customHeight="1">
      <c r="A7" s="138" t="s">
        <v>355</v>
      </c>
      <c r="B7" s="137" t="s">
        <v>356</v>
      </c>
      <c r="C7" s="137" t="s">
        <v>15</v>
      </c>
      <c r="D7" s="137" t="s">
        <v>15</v>
      </c>
      <c r="E7" s="137" t="s">
        <v>15</v>
      </c>
      <c r="F7" s="137" t="s">
        <v>15</v>
      </c>
      <c r="G7" s="137" t="s">
        <v>357</v>
      </c>
      <c r="I7" s="138" t="s">
        <v>355</v>
      </c>
      <c r="J7" s="267" t="s">
        <v>359</v>
      </c>
      <c r="K7" s="137" t="s">
        <v>360</v>
      </c>
      <c r="L7" s="137" t="s">
        <v>361</v>
      </c>
      <c r="M7" s="137" t="s">
        <v>362</v>
      </c>
      <c r="N7" s="137" t="s">
        <v>363</v>
      </c>
      <c r="O7" s="137" t="s">
        <v>363</v>
      </c>
    </row>
    <row r="8" spans="1:15" ht="31" customHeight="1">
      <c r="A8" s="138" t="s">
        <v>358</v>
      </c>
      <c r="I8" s="217" t="s">
        <v>358</v>
      </c>
      <c r="J8" s="267" t="s">
        <v>365</v>
      </c>
      <c r="K8" s="137" t="s">
        <v>360</v>
      </c>
      <c r="L8" s="137" t="s">
        <v>360</v>
      </c>
      <c r="M8" s="137" t="s">
        <v>360</v>
      </c>
      <c r="N8" s="137" t="s">
        <v>360</v>
      </c>
      <c r="O8" s="137" t="s">
        <v>366</v>
      </c>
    </row>
    <row r="9" spans="1:15" ht="32" customHeight="1">
      <c r="A9" s="138" t="s">
        <v>364</v>
      </c>
      <c r="I9" s="138" t="s">
        <v>364</v>
      </c>
      <c r="J9" s="267" t="s">
        <v>368</v>
      </c>
      <c r="K9" s="178"/>
      <c r="L9" s="178"/>
      <c r="M9" s="178"/>
      <c r="N9" s="178"/>
      <c r="O9" s="137" t="s">
        <v>369</v>
      </c>
    </row>
    <row r="10" spans="1:15" ht="46">
      <c r="A10" s="138" t="s">
        <v>367</v>
      </c>
      <c r="I10" s="138" t="s">
        <v>367</v>
      </c>
      <c r="J10" s="267" t="s">
        <v>371</v>
      </c>
      <c r="K10" s="178"/>
      <c r="L10" s="178"/>
      <c r="M10" s="178"/>
      <c r="N10" s="178"/>
      <c r="O10" s="137" t="s">
        <v>372</v>
      </c>
    </row>
    <row r="11" spans="1:15" ht="46">
      <c r="A11" s="138" t="s">
        <v>370</v>
      </c>
      <c r="I11" s="138" t="s">
        <v>370</v>
      </c>
      <c r="J11" s="267" t="s">
        <v>371</v>
      </c>
      <c r="K11" s="178"/>
      <c r="L11" s="178"/>
      <c r="M11" s="178"/>
      <c r="N11" s="178"/>
      <c r="O11" s="137" t="s">
        <v>372</v>
      </c>
    </row>
    <row r="12" spans="1:15" ht="44.25" customHeight="1">
      <c r="A12" s="217" t="s">
        <v>373</v>
      </c>
      <c r="B12" s="218" t="s">
        <v>570</v>
      </c>
      <c r="C12" s="139" t="s">
        <v>15</v>
      </c>
      <c r="D12" s="139" t="s">
        <v>15</v>
      </c>
      <c r="E12" s="139" t="s">
        <v>15</v>
      </c>
      <c r="F12" s="137" t="s">
        <v>374</v>
      </c>
      <c r="G12" s="137" t="s">
        <v>375</v>
      </c>
    </row>
    <row r="13" spans="1:15" ht="53.25" customHeight="1">
      <c r="A13" s="138" t="s">
        <v>376</v>
      </c>
      <c r="B13" s="156" t="s">
        <v>571</v>
      </c>
      <c r="C13" s="137" t="s">
        <v>375</v>
      </c>
      <c r="D13" s="137" t="s">
        <v>377</v>
      </c>
      <c r="E13" s="137" t="s">
        <v>378</v>
      </c>
      <c r="F13" s="137" t="s">
        <v>378</v>
      </c>
      <c r="G13" s="178"/>
    </row>
    <row r="14" spans="1:15" ht="15.75" customHeight="1">
      <c r="A14" s="153"/>
    </row>
    <row r="15" spans="1:15" ht="15.75" customHeight="1">
      <c r="A15" s="153"/>
    </row>
    <row r="16" spans="1:15" ht="26.25" customHeight="1">
      <c r="A16" s="154" t="s">
        <v>5</v>
      </c>
      <c r="B16" s="155" t="s">
        <v>353</v>
      </c>
      <c r="C16" s="155" t="s">
        <v>354</v>
      </c>
      <c r="D16" s="155" t="s">
        <v>11</v>
      </c>
      <c r="E16" s="155" t="s">
        <v>12</v>
      </c>
      <c r="F16" s="155" t="s">
        <v>13</v>
      </c>
      <c r="G16" s="155" t="s">
        <v>14</v>
      </c>
      <c r="H16" s="156" t="s">
        <v>16</v>
      </c>
    </row>
    <row r="17" spans="1:9" ht="100.5" customHeight="1">
      <c r="A17" s="137">
        <v>1</v>
      </c>
      <c r="B17" s="137" t="s">
        <v>381</v>
      </c>
      <c r="C17" s="141"/>
      <c r="D17" s="142" t="s">
        <v>382</v>
      </c>
      <c r="E17" s="142" t="s">
        <v>383</v>
      </c>
      <c r="F17" s="142" t="s">
        <v>383</v>
      </c>
      <c r="G17" s="142" t="s">
        <v>384</v>
      </c>
      <c r="H17" s="142" t="s">
        <v>385</v>
      </c>
    </row>
    <row r="18" spans="1:9" ht="114" customHeight="1">
      <c r="A18" s="137">
        <v>2</v>
      </c>
      <c r="B18" s="137" t="s">
        <v>359</v>
      </c>
      <c r="C18" s="142" t="s">
        <v>479</v>
      </c>
      <c r="D18" s="142" t="s">
        <v>480</v>
      </c>
      <c r="E18" s="142" t="s">
        <v>481</v>
      </c>
      <c r="F18" s="142" t="s">
        <v>482</v>
      </c>
      <c r="G18" s="142" t="s">
        <v>483</v>
      </c>
      <c r="H18" s="141"/>
    </row>
    <row r="19" spans="1:9" ht="88.5" customHeight="1">
      <c r="A19" s="137">
        <v>3</v>
      </c>
      <c r="B19" s="137" t="s">
        <v>365</v>
      </c>
      <c r="C19" s="141"/>
      <c r="D19" s="142" t="s">
        <v>484</v>
      </c>
      <c r="E19" s="142" t="s">
        <v>484</v>
      </c>
      <c r="F19" s="142" t="s">
        <v>485</v>
      </c>
      <c r="G19" s="142" t="s">
        <v>486</v>
      </c>
      <c r="H19" s="141"/>
    </row>
    <row r="20" spans="1:9" ht="81" customHeight="1">
      <c r="A20" s="138" t="s">
        <v>367</v>
      </c>
      <c r="B20" s="137" t="s">
        <v>386</v>
      </c>
      <c r="C20" s="141"/>
      <c r="D20" s="141"/>
      <c r="E20" s="141"/>
      <c r="F20" s="141"/>
      <c r="G20" s="143" t="s">
        <v>387</v>
      </c>
      <c r="H20" s="142" t="s">
        <v>388</v>
      </c>
      <c r="I20" s="140" t="s">
        <v>379</v>
      </c>
    </row>
    <row r="21" spans="1:9" ht="99" customHeight="1">
      <c r="A21" s="138" t="s">
        <v>370</v>
      </c>
      <c r="B21" s="137" t="s">
        <v>371</v>
      </c>
      <c r="C21" s="141"/>
      <c r="D21" s="141"/>
      <c r="E21" s="141"/>
      <c r="F21" s="141"/>
      <c r="G21" s="142" t="s">
        <v>389</v>
      </c>
      <c r="H21" s="142" t="s">
        <v>390</v>
      </c>
      <c r="I21" s="140" t="s">
        <v>380</v>
      </c>
    </row>
    <row r="23" spans="1:9" ht="15.75" customHeight="1">
      <c r="A23" s="157" t="s">
        <v>5</v>
      </c>
      <c r="B23" s="158" t="s">
        <v>353</v>
      </c>
      <c r="C23" s="158" t="s">
        <v>350</v>
      </c>
      <c r="D23" s="158" t="s">
        <v>391</v>
      </c>
      <c r="E23" s="158" t="s">
        <v>392</v>
      </c>
      <c r="F23" s="158" t="s">
        <v>393</v>
      </c>
      <c r="G23" s="158" t="s">
        <v>394</v>
      </c>
      <c r="H23" s="156" t="s">
        <v>16</v>
      </c>
    </row>
    <row r="24" spans="1:9" ht="112.5" customHeight="1">
      <c r="A24" s="139">
        <v>1</v>
      </c>
      <c r="B24" s="139" t="s">
        <v>395</v>
      </c>
      <c r="C24" s="144" t="s">
        <v>487</v>
      </c>
      <c r="D24" s="144" t="s">
        <v>488</v>
      </c>
      <c r="E24" s="144" t="s">
        <v>489</v>
      </c>
      <c r="F24" s="144" t="s">
        <v>490</v>
      </c>
      <c r="G24" s="145"/>
      <c r="H24" s="146" t="s">
        <v>491</v>
      </c>
    </row>
  </sheetData>
  <mergeCells count="1">
    <mergeCell ref="A5:G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3997E-21D8-4B5F-B805-9F49C8BF038C}">
  <sheetPr>
    <tabColor rgb="FF8ED873"/>
  </sheetPr>
  <dimension ref="A1:I24"/>
  <sheetViews>
    <sheetView workbookViewId="0">
      <selection activeCell="A5" sqref="A5:G5"/>
    </sheetView>
  </sheetViews>
  <sheetFormatPr defaultColWidth="9.1796875" defaultRowHeight="23"/>
  <cols>
    <col min="1" max="1" width="6.81640625" style="40" customWidth="1"/>
    <col min="2" max="2" width="39" style="40" customWidth="1"/>
    <col min="3" max="4" width="11.54296875" style="40" customWidth="1"/>
    <col min="5" max="5" width="11.453125" style="40" customWidth="1"/>
    <col min="6" max="6" width="10.7265625" style="40" customWidth="1"/>
    <col min="7" max="7" width="22" style="40" customWidth="1"/>
    <col min="8" max="8" width="31.1796875" style="40" customWidth="1"/>
    <col min="9" max="16384" width="9.1796875" style="40"/>
  </cols>
  <sheetData>
    <row r="1" spans="1:8" ht="22.5" customHeight="1">
      <c r="A1" s="40" t="s">
        <v>351</v>
      </c>
    </row>
    <row r="2" spans="1:8" ht="22.5" customHeight="1">
      <c r="A2" s="40" t="s">
        <v>478</v>
      </c>
    </row>
    <row r="3" spans="1:8" ht="22.5" customHeight="1">
      <c r="A3" s="40" t="s">
        <v>573</v>
      </c>
    </row>
    <row r="5" spans="1:8">
      <c r="A5" s="238" t="s">
        <v>572</v>
      </c>
      <c r="B5" s="238"/>
      <c r="C5" s="238"/>
      <c r="D5" s="238"/>
      <c r="E5" s="238"/>
      <c r="F5" s="238"/>
      <c r="G5" s="238"/>
    </row>
    <row r="6" spans="1:8" ht="27.75" customHeight="1">
      <c r="A6" s="147" t="s">
        <v>5</v>
      </c>
      <c r="B6" s="148" t="s">
        <v>353</v>
      </c>
      <c r="C6" s="148" t="s">
        <v>354</v>
      </c>
      <c r="D6" s="148" t="s">
        <v>11</v>
      </c>
      <c r="E6" s="148" t="s">
        <v>12</v>
      </c>
      <c r="F6" s="148" t="s">
        <v>13</v>
      </c>
      <c r="G6" s="148" t="s">
        <v>14</v>
      </c>
    </row>
    <row r="7" spans="1:8" ht="79.5" customHeight="1">
      <c r="A7" s="149" t="s">
        <v>355</v>
      </c>
      <c r="B7" s="150" t="s">
        <v>356</v>
      </c>
      <c r="C7" s="150" t="s">
        <v>15</v>
      </c>
      <c r="D7" s="150" t="s">
        <v>15</v>
      </c>
      <c r="E7" s="150" t="s">
        <v>15</v>
      </c>
      <c r="F7" s="150" t="s">
        <v>15</v>
      </c>
      <c r="G7" s="150" t="s">
        <v>357</v>
      </c>
    </row>
    <row r="8" spans="1:8" ht="35.25" customHeight="1">
      <c r="A8" s="149" t="s">
        <v>358</v>
      </c>
      <c r="B8" s="150" t="s">
        <v>359</v>
      </c>
      <c r="C8" s="150" t="s">
        <v>360</v>
      </c>
      <c r="D8" s="150" t="s">
        <v>361</v>
      </c>
      <c r="E8" s="150" t="s">
        <v>362</v>
      </c>
      <c r="F8" s="150" t="s">
        <v>363</v>
      </c>
      <c r="G8" s="150" t="s">
        <v>363</v>
      </c>
    </row>
    <row r="9" spans="1:8" ht="35.25" customHeight="1">
      <c r="A9" s="149" t="s">
        <v>364</v>
      </c>
      <c r="B9" s="150" t="s">
        <v>365</v>
      </c>
      <c r="C9" s="150" t="s">
        <v>360</v>
      </c>
      <c r="D9" s="150" t="s">
        <v>360</v>
      </c>
      <c r="E9" s="150" t="s">
        <v>360</v>
      </c>
      <c r="F9" s="150" t="s">
        <v>360</v>
      </c>
      <c r="G9" s="150" t="s">
        <v>366</v>
      </c>
    </row>
    <row r="10" spans="1:8" ht="77.25" customHeight="1">
      <c r="A10" s="149" t="s">
        <v>367</v>
      </c>
      <c r="B10" s="150" t="s">
        <v>368</v>
      </c>
      <c r="C10" s="141"/>
      <c r="D10" s="141"/>
      <c r="E10" s="141"/>
      <c r="F10" s="141"/>
      <c r="G10" s="150" t="s">
        <v>369</v>
      </c>
      <c r="H10" s="140"/>
    </row>
    <row r="11" spans="1:8" ht="97.5" customHeight="1">
      <c r="A11" s="149" t="s">
        <v>370</v>
      </c>
      <c r="B11" s="150" t="s">
        <v>371</v>
      </c>
      <c r="C11" s="141"/>
      <c r="D11" s="141"/>
      <c r="E11" s="141"/>
      <c r="F11" s="141"/>
      <c r="G11" s="150" t="s">
        <v>372</v>
      </c>
      <c r="H11" s="140"/>
    </row>
    <row r="12" spans="1:8" ht="44.25" customHeight="1">
      <c r="A12" s="151" t="s">
        <v>373</v>
      </c>
      <c r="B12" s="144" t="s">
        <v>492</v>
      </c>
      <c r="C12" s="152" t="s">
        <v>15</v>
      </c>
      <c r="D12" s="152" t="s">
        <v>15</v>
      </c>
      <c r="E12" s="152" t="s">
        <v>15</v>
      </c>
      <c r="F12" s="150" t="s">
        <v>374</v>
      </c>
      <c r="G12" s="150" t="s">
        <v>375</v>
      </c>
    </row>
    <row r="13" spans="1:8" ht="53.25" customHeight="1">
      <c r="A13" s="149" t="s">
        <v>376</v>
      </c>
      <c r="B13" s="142" t="s">
        <v>493</v>
      </c>
      <c r="C13" s="150" t="s">
        <v>375</v>
      </c>
      <c r="D13" s="150" t="s">
        <v>377</v>
      </c>
      <c r="E13" s="150" t="s">
        <v>378</v>
      </c>
      <c r="F13" s="150" t="s">
        <v>378</v>
      </c>
      <c r="G13" s="141"/>
    </row>
    <row r="14" spans="1:8" ht="15.75" customHeight="1">
      <c r="A14" s="153"/>
    </row>
    <row r="15" spans="1:8" ht="15.75" customHeight="1">
      <c r="A15" s="153"/>
    </row>
    <row r="16" spans="1:8" ht="54.75" customHeight="1">
      <c r="A16" s="154" t="s">
        <v>5</v>
      </c>
      <c r="B16" s="155" t="s">
        <v>353</v>
      </c>
      <c r="C16" s="155" t="s">
        <v>354</v>
      </c>
      <c r="D16" s="155" t="s">
        <v>11</v>
      </c>
      <c r="E16" s="155" t="s">
        <v>12</v>
      </c>
      <c r="F16" s="155" t="s">
        <v>13</v>
      </c>
      <c r="G16" s="155" t="s">
        <v>14</v>
      </c>
      <c r="H16" s="156" t="s">
        <v>16</v>
      </c>
    </row>
    <row r="17" spans="1:9" ht="100.5" customHeight="1">
      <c r="A17" s="137">
        <v>1</v>
      </c>
      <c r="B17" s="137" t="s">
        <v>381</v>
      </c>
      <c r="C17" s="141"/>
      <c r="D17" s="142" t="s">
        <v>382</v>
      </c>
      <c r="E17" s="142" t="s">
        <v>383</v>
      </c>
      <c r="F17" s="142" t="s">
        <v>383</v>
      </c>
      <c r="G17" s="142" t="s">
        <v>384</v>
      </c>
      <c r="H17" s="142" t="s">
        <v>385</v>
      </c>
    </row>
    <row r="18" spans="1:9" ht="114" customHeight="1">
      <c r="A18" s="137">
        <v>2</v>
      </c>
      <c r="B18" s="137" t="s">
        <v>359</v>
      </c>
      <c r="C18" s="142" t="s">
        <v>479</v>
      </c>
      <c r="D18" s="142" t="s">
        <v>480</v>
      </c>
      <c r="E18" s="142" t="s">
        <v>481</v>
      </c>
      <c r="F18" s="142" t="s">
        <v>482</v>
      </c>
      <c r="G18" s="142" t="s">
        <v>483</v>
      </c>
      <c r="H18" s="141"/>
    </row>
    <row r="19" spans="1:9" ht="88.5" customHeight="1">
      <c r="A19" s="137">
        <v>3</v>
      </c>
      <c r="B19" s="137" t="s">
        <v>365</v>
      </c>
      <c r="C19" s="141"/>
      <c r="D19" s="142" t="s">
        <v>484</v>
      </c>
      <c r="E19" s="142" t="s">
        <v>484</v>
      </c>
      <c r="F19" s="142" t="s">
        <v>485</v>
      </c>
      <c r="G19" s="142" t="s">
        <v>486</v>
      </c>
      <c r="H19" s="141"/>
    </row>
    <row r="20" spans="1:9" ht="81" customHeight="1">
      <c r="A20" s="138" t="s">
        <v>367</v>
      </c>
      <c r="B20" s="137" t="s">
        <v>386</v>
      </c>
      <c r="C20" s="141"/>
      <c r="D20" s="141"/>
      <c r="E20" s="141"/>
      <c r="F20" s="141"/>
      <c r="G20" s="143" t="s">
        <v>387</v>
      </c>
      <c r="H20" s="142" t="s">
        <v>388</v>
      </c>
      <c r="I20" s="140" t="s">
        <v>379</v>
      </c>
    </row>
    <row r="21" spans="1:9" ht="99" customHeight="1">
      <c r="A21" s="138" t="s">
        <v>370</v>
      </c>
      <c r="B21" s="137" t="s">
        <v>371</v>
      </c>
      <c r="C21" s="141"/>
      <c r="D21" s="141"/>
      <c r="E21" s="141"/>
      <c r="F21" s="141"/>
      <c r="G21" s="142" t="s">
        <v>389</v>
      </c>
      <c r="H21" s="142" t="s">
        <v>390</v>
      </c>
      <c r="I21" s="140" t="s">
        <v>380</v>
      </c>
    </row>
    <row r="23" spans="1:9" ht="15.75" customHeight="1">
      <c r="A23" s="157" t="s">
        <v>5</v>
      </c>
      <c r="B23" s="158" t="s">
        <v>353</v>
      </c>
      <c r="C23" s="158" t="s">
        <v>350</v>
      </c>
      <c r="D23" s="158" t="s">
        <v>391</v>
      </c>
      <c r="E23" s="158" t="s">
        <v>392</v>
      </c>
      <c r="F23" s="158" t="s">
        <v>393</v>
      </c>
      <c r="G23" s="158" t="s">
        <v>394</v>
      </c>
      <c r="H23" s="156" t="s">
        <v>16</v>
      </c>
    </row>
    <row r="24" spans="1:9" ht="112.5" customHeight="1">
      <c r="A24" s="139">
        <v>1</v>
      </c>
      <c r="B24" s="139" t="s">
        <v>395</v>
      </c>
      <c r="C24" s="144" t="s">
        <v>487</v>
      </c>
      <c r="D24" s="144" t="s">
        <v>488</v>
      </c>
      <c r="E24" s="144" t="s">
        <v>489</v>
      </c>
      <c r="F24" s="144" t="s">
        <v>490</v>
      </c>
      <c r="G24" s="145"/>
      <c r="H24" s="146" t="s">
        <v>491</v>
      </c>
    </row>
  </sheetData>
  <mergeCells count="1">
    <mergeCell ref="A5:G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26E4A-BDAF-4031-89FB-C31E432C3EFA}">
  <sheetPr>
    <tabColor rgb="FF8ED873"/>
  </sheetPr>
  <dimension ref="A1:G11"/>
  <sheetViews>
    <sheetView zoomScale="80" zoomScaleNormal="80" workbookViewId="0">
      <selection activeCell="M22" sqref="M22"/>
    </sheetView>
  </sheetViews>
  <sheetFormatPr defaultColWidth="9.1796875" defaultRowHeight="23"/>
  <cols>
    <col min="1" max="1" width="9.1796875" style="31"/>
    <col min="2" max="2" width="14.81640625" style="31" customWidth="1"/>
    <col min="3" max="3" width="22.26953125" style="31" customWidth="1"/>
    <col min="4" max="4" width="16.26953125" style="31" customWidth="1"/>
    <col min="5" max="5" width="17.26953125" style="31" customWidth="1"/>
    <col min="6" max="6" width="16.7265625" style="31" customWidth="1"/>
    <col min="7" max="7" width="19.54296875" style="31" customWidth="1"/>
    <col min="8" max="16384" width="9.1796875" style="31"/>
  </cols>
  <sheetData>
    <row r="1" spans="1:7" s="40" customFormat="1" ht="22.5" customHeight="1">
      <c r="A1" s="40" t="s">
        <v>351</v>
      </c>
    </row>
    <row r="2" spans="1:7" s="40" customFormat="1" ht="22.5" customHeight="1">
      <c r="A2" s="40" t="s">
        <v>478</v>
      </c>
    </row>
    <row r="3" spans="1:7" s="40" customFormat="1" ht="22.5" customHeight="1">
      <c r="A3" s="40" t="s">
        <v>574</v>
      </c>
    </row>
    <row r="4" spans="1:7" ht="23.5" thickBot="1"/>
    <row r="5" spans="1:7" ht="35.25" customHeight="1" thickBot="1">
      <c r="A5" s="159"/>
      <c r="B5" s="159"/>
      <c r="C5" s="159"/>
      <c r="D5" s="239" t="s">
        <v>496</v>
      </c>
      <c r="E5" s="240"/>
      <c r="F5" s="240"/>
      <c r="G5" s="241"/>
    </row>
    <row r="6" spans="1:7" ht="46.5" thickBot="1">
      <c r="A6" s="160" t="s">
        <v>5</v>
      </c>
      <c r="B6" s="160" t="s">
        <v>494</v>
      </c>
      <c r="C6" s="160" t="s">
        <v>495</v>
      </c>
      <c r="D6" s="161">
        <v>2565</v>
      </c>
      <c r="E6" s="161">
        <v>2566</v>
      </c>
      <c r="F6" s="161">
        <v>2567</v>
      </c>
      <c r="G6" s="161">
        <v>2568</v>
      </c>
    </row>
    <row r="7" spans="1:7" ht="51.75" customHeight="1" thickBot="1">
      <c r="A7" s="162">
        <v>1</v>
      </c>
      <c r="B7" s="163" t="s">
        <v>497</v>
      </c>
      <c r="C7" s="163" t="s">
        <v>498</v>
      </c>
      <c r="D7" s="164">
        <v>336</v>
      </c>
      <c r="E7" s="164">
        <v>891</v>
      </c>
      <c r="F7" s="164">
        <v>588</v>
      </c>
      <c r="G7" s="164">
        <v>528</v>
      </c>
    </row>
    <row r="8" spans="1:7" ht="46.5" customHeight="1" thickBot="1">
      <c r="A8" s="165">
        <v>2</v>
      </c>
      <c r="B8" s="166" t="s">
        <v>499</v>
      </c>
      <c r="C8" s="166" t="s">
        <v>500</v>
      </c>
      <c r="D8" s="164">
        <v>81</v>
      </c>
      <c r="E8" s="164">
        <v>48</v>
      </c>
      <c r="F8" s="164">
        <v>55</v>
      </c>
      <c r="G8" s="164">
        <v>77</v>
      </c>
    </row>
    <row r="9" spans="1:7" ht="46.5" customHeight="1" thickBot="1">
      <c r="A9" s="165">
        <v>3</v>
      </c>
      <c r="B9" s="166" t="s">
        <v>499</v>
      </c>
      <c r="C9" s="166" t="s">
        <v>501</v>
      </c>
      <c r="D9" s="164">
        <v>25</v>
      </c>
      <c r="E9" s="164">
        <v>22</v>
      </c>
      <c r="F9" s="164">
        <v>33</v>
      </c>
      <c r="G9" s="164">
        <v>23</v>
      </c>
    </row>
    <row r="10" spans="1:7" ht="55.5" customHeight="1" thickBot="1">
      <c r="A10" s="165">
        <v>4</v>
      </c>
      <c r="B10" s="166" t="s">
        <v>502</v>
      </c>
      <c r="C10" s="166" t="s">
        <v>503</v>
      </c>
      <c r="D10" s="164">
        <v>1198</v>
      </c>
      <c r="E10" s="164">
        <v>1256</v>
      </c>
      <c r="F10" s="164">
        <v>1598</v>
      </c>
      <c r="G10" s="164">
        <v>1837</v>
      </c>
    </row>
    <row r="11" spans="1:7" ht="23.5" thickBot="1">
      <c r="A11" s="168"/>
      <c r="B11" s="161" t="s">
        <v>10</v>
      </c>
      <c r="C11" s="169"/>
      <c r="D11" s="167">
        <f t="shared" ref="D11:G11" si="0">SUM(D7:D10)</f>
        <v>1640</v>
      </c>
      <c r="E11" s="167">
        <f t="shared" si="0"/>
        <v>2217</v>
      </c>
      <c r="F11" s="167">
        <f t="shared" si="0"/>
        <v>2274</v>
      </c>
      <c r="G11" s="167">
        <f t="shared" si="0"/>
        <v>2465</v>
      </c>
    </row>
  </sheetData>
  <mergeCells count="1">
    <mergeCell ref="D5:G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8C629-1566-4D73-B76B-5E8B07BBC029}">
  <sheetPr>
    <tabColor rgb="FF8ED873"/>
  </sheetPr>
  <dimension ref="A1:J90"/>
  <sheetViews>
    <sheetView topLeftCell="A7" workbookViewId="0">
      <selection activeCell="C6" sqref="C6"/>
    </sheetView>
  </sheetViews>
  <sheetFormatPr defaultColWidth="9.1796875" defaultRowHeight="23"/>
  <cols>
    <col min="1" max="1" width="9.1796875" style="31"/>
    <col min="2" max="2" width="52.1796875" style="31" customWidth="1"/>
    <col min="3" max="3" width="24.54296875" style="31" customWidth="1"/>
    <col min="4" max="4" width="26" style="31" customWidth="1"/>
    <col min="5" max="5" width="25" style="31" customWidth="1"/>
    <col min="6" max="6" width="18.1796875" style="31" customWidth="1"/>
    <col min="7" max="16384" width="9.1796875" style="31"/>
  </cols>
  <sheetData>
    <row r="1" spans="1:6" s="40" customFormat="1" ht="22.5" customHeight="1">
      <c r="A1" s="40" t="s">
        <v>351</v>
      </c>
    </row>
    <row r="2" spans="1:6" s="40" customFormat="1" ht="22.5" customHeight="1">
      <c r="A2" s="40" t="s">
        <v>504</v>
      </c>
    </row>
    <row r="3" spans="1:6" s="40" customFormat="1" ht="22.5" customHeight="1">
      <c r="A3" s="40" t="s">
        <v>575</v>
      </c>
    </row>
    <row r="5" spans="1:6">
      <c r="B5" s="173" t="s">
        <v>506</v>
      </c>
      <c r="C5" s="173" t="s">
        <v>529</v>
      </c>
      <c r="D5" s="173" t="s">
        <v>530</v>
      </c>
      <c r="E5" s="173" t="s">
        <v>531</v>
      </c>
      <c r="F5" s="34" t="s">
        <v>532</v>
      </c>
    </row>
    <row r="6" spans="1:6">
      <c r="B6" s="34" t="s">
        <v>535</v>
      </c>
      <c r="C6" s="34">
        <v>4.1399999999999997</v>
      </c>
      <c r="D6" s="34">
        <v>3.99</v>
      </c>
      <c r="E6" s="34">
        <v>3.49</v>
      </c>
      <c r="F6" s="34">
        <v>5</v>
      </c>
    </row>
    <row r="7" spans="1:6">
      <c r="B7" s="34" t="s">
        <v>536</v>
      </c>
      <c r="C7" s="34">
        <v>4.2300000000000004</v>
      </c>
      <c r="D7" s="34">
        <v>4.07</v>
      </c>
      <c r="E7" s="34">
        <v>3.57</v>
      </c>
      <c r="F7" s="34">
        <v>5</v>
      </c>
    </row>
    <row r="8" spans="1:6">
      <c r="B8" s="34" t="s">
        <v>534</v>
      </c>
      <c r="C8" s="34">
        <v>4.16</v>
      </c>
      <c r="D8" s="34">
        <v>4.0199999999999996</v>
      </c>
      <c r="E8" s="34">
        <v>3.53</v>
      </c>
      <c r="F8" s="34">
        <v>5</v>
      </c>
    </row>
    <row r="9" spans="1:6">
      <c r="B9" s="174" t="s">
        <v>533</v>
      </c>
      <c r="C9" s="175">
        <f>SUM(C6:C8)/3</f>
        <v>4.1766666666666667</v>
      </c>
      <c r="D9" s="175">
        <f>SUM(D6:D8)/3</f>
        <v>4.0266666666666664</v>
      </c>
      <c r="E9" s="175">
        <f>SUM(E6:E8)/3</f>
        <v>3.53</v>
      </c>
      <c r="F9" s="174">
        <v>5</v>
      </c>
    </row>
    <row r="10" spans="1:6">
      <c r="B10" s="31" t="s">
        <v>10</v>
      </c>
      <c r="C10" s="31">
        <v>0</v>
      </c>
      <c r="D10" s="31">
        <v>0</v>
      </c>
      <c r="E10" s="31">
        <v>0</v>
      </c>
      <c r="F10" s="31">
        <v>0</v>
      </c>
    </row>
    <row r="25" spans="1:10" ht="15.75" customHeight="1">
      <c r="A25" s="242" t="s">
        <v>505</v>
      </c>
      <c r="B25" s="243"/>
      <c r="C25" s="243"/>
      <c r="D25" s="171"/>
      <c r="E25" s="171"/>
      <c r="F25" s="171"/>
      <c r="G25" s="171"/>
      <c r="H25" s="171"/>
      <c r="I25" s="171"/>
      <c r="J25" s="171"/>
    </row>
    <row r="27" spans="1:10">
      <c r="B27" s="170" t="s">
        <v>506</v>
      </c>
      <c r="C27" s="170" t="s">
        <v>507</v>
      </c>
    </row>
    <row r="28" spans="1:10">
      <c r="B28" s="31" t="s">
        <v>508</v>
      </c>
      <c r="C28" s="114">
        <v>3.49</v>
      </c>
    </row>
    <row r="29" spans="1:10">
      <c r="B29" s="31" t="s">
        <v>509</v>
      </c>
      <c r="C29" s="114">
        <v>3.54</v>
      </c>
    </row>
    <row r="30" spans="1:10">
      <c r="B30" s="31" t="s">
        <v>510</v>
      </c>
      <c r="C30" s="114">
        <v>3.53</v>
      </c>
    </row>
    <row r="31" spans="1:10">
      <c r="B31" s="31" t="s">
        <v>511</v>
      </c>
      <c r="C31" s="114">
        <v>3.41</v>
      </c>
    </row>
    <row r="32" spans="1:10">
      <c r="B32" s="31" t="s">
        <v>512</v>
      </c>
      <c r="C32" s="114">
        <v>3.57</v>
      </c>
    </row>
    <row r="33" spans="2:3">
      <c r="B33" s="31" t="s">
        <v>513</v>
      </c>
      <c r="C33" s="114">
        <v>3.65</v>
      </c>
    </row>
    <row r="34" spans="2:3">
      <c r="B34" s="31" t="s">
        <v>514</v>
      </c>
      <c r="C34" s="114">
        <v>3.43</v>
      </c>
    </row>
    <row r="35" spans="2:3">
      <c r="B35" s="31" t="s">
        <v>515</v>
      </c>
      <c r="C35" s="114">
        <v>3.63</v>
      </c>
    </row>
    <row r="36" spans="2:3">
      <c r="B36" s="31" t="s">
        <v>516</v>
      </c>
      <c r="C36" s="114">
        <v>3.53</v>
      </c>
    </row>
    <row r="37" spans="2:3">
      <c r="B37" s="31" t="s">
        <v>517</v>
      </c>
      <c r="C37" s="114">
        <v>3.57</v>
      </c>
    </row>
    <row r="38" spans="2:3">
      <c r="B38" s="31" t="s">
        <v>518</v>
      </c>
      <c r="C38" s="114">
        <v>3.48</v>
      </c>
    </row>
    <row r="41" spans="2:3">
      <c r="B41" s="172" t="s">
        <v>519</v>
      </c>
    </row>
    <row r="43" spans="2:3">
      <c r="B43" s="170" t="s">
        <v>506</v>
      </c>
      <c r="C43" s="170" t="s">
        <v>507</v>
      </c>
    </row>
    <row r="44" spans="2:3">
      <c r="B44" s="31" t="s">
        <v>520</v>
      </c>
      <c r="C44" s="114">
        <v>3.49</v>
      </c>
    </row>
    <row r="45" spans="2:3">
      <c r="B45" s="31" t="s">
        <v>521</v>
      </c>
      <c r="C45" s="114">
        <v>3.57</v>
      </c>
    </row>
    <row r="46" spans="2:3">
      <c r="B46" s="31" t="s">
        <v>522</v>
      </c>
      <c r="C46" s="114">
        <v>3.53</v>
      </c>
    </row>
    <row r="49" spans="2:3">
      <c r="B49" s="170" t="s">
        <v>523</v>
      </c>
      <c r="C49" s="170" t="s">
        <v>524</v>
      </c>
    </row>
    <row r="50" spans="2:3">
      <c r="B50" s="31" t="s">
        <v>508</v>
      </c>
      <c r="C50" s="114">
        <v>4.1399999999999997</v>
      </c>
    </row>
    <row r="51" spans="2:3">
      <c r="B51" s="31" t="s">
        <v>509</v>
      </c>
      <c r="C51" s="114">
        <v>4.13</v>
      </c>
    </row>
    <row r="52" spans="2:3">
      <c r="B52" s="31" t="s">
        <v>510</v>
      </c>
      <c r="C52" s="114">
        <v>4.1900000000000004</v>
      </c>
    </row>
    <row r="53" spans="2:3">
      <c r="B53" s="31" t="s">
        <v>511</v>
      </c>
      <c r="C53" s="114">
        <v>4.12</v>
      </c>
    </row>
    <row r="54" spans="2:3">
      <c r="B54" s="31" t="s">
        <v>512</v>
      </c>
      <c r="C54" s="114">
        <v>4.2300000000000004</v>
      </c>
    </row>
    <row r="55" spans="2:3">
      <c r="B55" s="31" t="s">
        <v>513</v>
      </c>
      <c r="C55" s="114">
        <v>4.2699999999999996</v>
      </c>
    </row>
    <row r="56" spans="2:3">
      <c r="B56" s="31" t="s">
        <v>514</v>
      </c>
      <c r="C56" s="114">
        <v>4.16</v>
      </c>
    </row>
    <row r="57" spans="2:3">
      <c r="B57" s="31" t="s">
        <v>515</v>
      </c>
      <c r="C57" s="114">
        <v>4.26</v>
      </c>
    </row>
    <row r="58" spans="2:3">
      <c r="B58" s="31" t="s">
        <v>516</v>
      </c>
      <c r="C58" s="114">
        <v>4.16</v>
      </c>
    </row>
    <row r="59" spans="2:3">
      <c r="B59" s="31" t="s">
        <v>525</v>
      </c>
      <c r="C59" s="114">
        <v>4.1900000000000004</v>
      </c>
    </row>
    <row r="60" spans="2:3">
      <c r="B60" s="31" t="s">
        <v>526</v>
      </c>
      <c r="C60" s="114">
        <v>4.13</v>
      </c>
    </row>
    <row r="62" spans="2:3">
      <c r="B62" s="172" t="s">
        <v>527</v>
      </c>
    </row>
    <row r="64" spans="2:3">
      <c r="B64" s="170" t="s">
        <v>506</v>
      </c>
      <c r="C64" s="170" t="s">
        <v>507</v>
      </c>
    </row>
    <row r="65" spans="2:3">
      <c r="B65" s="31" t="s">
        <v>520</v>
      </c>
      <c r="C65" s="114">
        <v>4.1399999999999997</v>
      </c>
    </row>
    <row r="66" spans="2:3">
      <c r="B66" s="31" t="s">
        <v>521</v>
      </c>
      <c r="C66" s="114">
        <v>4.2300000000000004</v>
      </c>
    </row>
    <row r="67" spans="2:3">
      <c r="B67" s="31" t="s">
        <v>522</v>
      </c>
      <c r="C67" s="114">
        <v>4.16</v>
      </c>
    </row>
    <row r="72" spans="2:3">
      <c r="B72" s="170" t="s">
        <v>523</v>
      </c>
      <c r="C72" s="170" t="s">
        <v>524</v>
      </c>
    </row>
    <row r="73" spans="2:3">
      <c r="B73" s="31" t="s">
        <v>508</v>
      </c>
      <c r="C73" s="114">
        <v>3.99</v>
      </c>
    </row>
    <row r="74" spans="2:3">
      <c r="B74" s="31" t="s">
        <v>509</v>
      </c>
      <c r="C74" s="114">
        <v>3.92</v>
      </c>
    </row>
    <row r="75" spans="2:3">
      <c r="B75" s="31" t="s">
        <v>510</v>
      </c>
      <c r="C75" s="114">
        <v>4.09</v>
      </c>
    </row>
    <row r="76" spans="2:3">
      <c r="B76" s="31" t="s">
        <v>511</v>
      </c>
      <c r="C76" s="114">
        <v>3.96</v>
      </c>
    </row>
    <row r="77" spans="2:3">
      <c r="B77" s="31" t="s">
        <v>512</v>
      </c>
      <c r="C77" s="114">
        <v>4.07</v>
      </c>
    </row>
    <row r="78" spans="2:3">
      <c r="B78" s="31" t="s">
        <v>513</v>
      </c>
      <c r="C78" s="114">
        <v>4.12</v>
      </c>
    </row>
    <row r="79" spans="2:3">
      <c r="B79" s="31" t="s">
        <v>514</v>
      </c>
      <c r="C79" s="114">
        <v>3.94</v>
      </c>
    </row>
    <row r="80" spans="2:3">
      <c r="B80" s="31" t="s">
        <v>515</v>
      </c>
      <c r="C80" s="114">
        <v>4.16</v>
      </c>
    </row>
    <row r="81" spans="2:3">
      <c r="B81" s="31" t="s">
        <v>516</v>
      </c>
      <c r="C81" s="114">
        <v>4.0199999999999996</v>
      </c>
    </row>
    <row r="82" spans="2:3">
      <c r="B82" s="31" t="s">
        <v>525</v>
      </c>
      <c r="C82" s="114">
        <v>4.04</v>
      </c>
    </row>
    <row r="83" spans="2:3">
      <c r="B83" s="31" t="s">
        <v>526</v>
      </c>
      <c r="C83" s="114">
        <v>3.99</v>
      </c>
    </row>
    <row r="85" spans="2:3">
      <c r="B85" s="172" t="s">
        <v>528</v>
      </c>
    </row>
    <row r="87" spans="2:3">
      <c r="B87" s="170" t="s">
        <v>506</v>
      </c>
      <c r="C87" s="170" t="s">
        <v>507</v>
      </c>
    </row>
    <row r="88" spans="2:3">
      <c r="B88" s="31" t="s">
        <v>520</v>
      </c>
      <c r="C88" s="114">
        <v>3.99</v>
      </c>
    </row>
    <row r="89" spans="2:3">
      <c r="B89" s="31" t="s">
        <v>521</v>
      </c>
      <c r="C89" s="114">
        <v>4.07</v>
      </c>
    </row>
    <row r="90" spans="2:3">
      <c r="B90" s="31" t="s">
        <v>522</v>
      </c>
      <c r="C90" s="114">
        <v>4.0199999999999996</v>
      </c>
    </row>
  </sheetData>
  <mergeCells count="1">
    <mergeCell ref="A25:C2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96CDD-C120-459F-BBCE-F99CE72DB396}">
  <sheetPr>
    <tabColor rgb="FF8ED873"/>
  </sheetPr>
  <dimension ref="A1:F15"/>
  <sheetViews>
    <sheetView zoomScale="80" zoomScaleNormal="80" workbookViewId="0">
      <selection activeCell="C12" sqref="C12"/>
    </sheetView>
  </sheetViews>
  <sheetFormatPr defaultColWidth="9.1796875" defaultRowHeight="23"/>
  <cols>
    <col min="1" max="1" width="17.81640625" style="31" customWidth="1"/>
    <col min="2" max="2" width="18.54296875" style="31" customWidth="1"/>
    <col min="3" max="3" width="20.1796875" style="31" customWidth="1"/>
    <col min="4" max="4" width="21.1796875" style="31" customWidth="1"/>
    <col min="5" max="5" width="21.26953125" style="31" customWidth="1"/>
    <col min="6" max="16384" width="9.1796875" style="31"/>
  </cols>
  <sheetData>
    <row r="1" spans="1:6" s="40" customFormat="1" ht="22.5" customHeight="1">
      <c r="A1" s="40" t="s">
        <v>351</v>
      </c>
    </row>
    <row r="2" spans="1:6" s="40" customFormat="1" ht="22.5" customHeight="1">
      <c r="A2" s="40" t="s">
        <v>504</v>
      </c>
    </row>
    <row r="3" spans="1:6" s="40" customFormat="1" ht="22.5" customHeight="1">
      <c r="A3" s="40" t="s">
        <v>576</v>
      </c>
    </row>
    <row r="5" spans="1:6">
      <c r="A5" s="244" t="s">
        <v>537</v>
      </c>
      <c r="B5" s="243"/>
      <c r="C5" s="243"/>
      <c r="D5" s="243"/>
      <c r="E5" s="243"/>
    </row>
    <row r="6" spans="1:6" ht="46">
      <c r="A6" s="174" t="s">
        <v>0</v>
      </c>
      <c r="B6" s="176" t="s">
        <v>538</v>
      </c>
      <c r="C6" s="174" t="s">
        <v>539</v>
      </c>
      <c r="D6" s="176" t="s">
        <v>540</v>
      </c>
      <c r="E6" s="174" t="s">
        <v>10</v>
      </c>
      <c r="F6" s="31" t="s">
        <v>155</v>
      </c>
    </row>
    <row r="7" spans="1:6">
      <c r="A7" s="34">
        <v>2561</v>
      </c>
      <c r="B7" s="34">
        <v>3</v>
      </c>
      <c r="C7" s="34">
        <v>103</v>
      </c>
      <c r="D7" s="34" t="s">
        <v>15</v>
      </c>
      <c r="E7" s="34">
        <f>SUM(B7:D7)</f>
        <v>106</v>
      </c>
      <c r="F7" s="31">
        <v>0</v>
      </c>
    </row>
    <row r="8" spans="1:6">
      <c r="A8" s="34">
        <v>2562</v>
      </c>
      <c r="B8" s="34">
        <v>8</v>
      </c>
      <c r="C8" s="34">
        <v>54</v>
      </c>
      <c r="D8" s="34" t="s">
        <v>15</v>
      </c>
      <c r="E8" s="34">
        <f t="shared" ref="E8:E14" si="0">SUM(B8:D8)</f>
        <v>62</v>
      </c>
      <c r="F8" s="31">
        <v>0</v>
      </c>
    </row>
    <row r="9" spans="1:6">
      <c r="A9" s="34">
        <v>2563</v>
      </c>
      <c r="B9" s="34">
        <v>7</v>
      </c>
      <c r="C9" s="34">
        <v>60</v>
      </c>
      <c r="D9" s="34">
        <v>1</v>
      </c>
      <c r="E9" s="34">
        <f t="shared" si="0"/>
        <v>68</v>
      </c>
      <c r="F9" s="31">
        <v>0</v>
      </c>
    </row>
    <row r="10" spans="1:6">
      <c r="A10" s="34">
        <v>2564</v>
      </c>
      <c r="B10" s="34">
        <v>7</v>
      </c>
      <c r="C10" s="34">
        <v>69</v>
      </c>
      <c r="D10" s="34" t="s">
        <v>15</v>
      </c>
      <c r="E10" s="34">
        <f t="shared" si="0"/>
        <v>76</v>
      </c>
      <c r="F10" s="31">
        <v>0</v>
      </c>
    </row>
    <row r="11" spans="1:6">
      <c r="A11" s="34">
        <v>2565</v>
      </c>
      <c r="B11" s="34">
        <v>10</v>
      </c>
      <c r="C11" s="34">
        <v>93</v>
      </c>
      <c r="D11" s="34">
        <v>1</v>
      </c>
      <c r="E11" s="34">
        <f t="shared" si="0"/>
        <v>104</v>
      </c>
      <c r="F11" s="31">
        <v>0</v>
      </c>
    </row>
    <row r="12" spans="1:6">
      <c r="A12" s="34">
        <v>2566</v>
      </c>
      <c r="B12" s="34">
        <v>8</v>
      </c>
      <c r="C12" s="34">
        <v>86</v>
      </c>
      <c r="D12" s="34">
        <v>2</v>
      </c>
      <c r="E12" s="34">
        <f t="shared" si="0"/>
        <v>96</v>
      </c>
      <c r="F12" s="31">
        <v>0</v>
      </c>
    </row>
    <row r="13" spans="1:6">
      <c r="A13" s="34">
        <v>2567</v>
      </c>
      <c r="B13" s="34">
        <v>7</v>
      </c>
      <c r="C13" s="34">
        <v>137</v>
      </c>
      <c r="D13" s="34">
        <v>1</v>
      </c>
      <c r="E13" s="34">
        <f t="shared" si="0"/>
        <v>145</v>
      </c>
      <c r="F13" s="31">
        <v>0</v>
      </c>
    </row>
    <row r="14" spans="1:6">
      <c r="A14" s="34">
        <v>2568</v>
      </c>
      <c r="B14" s="34">
        <v>6</v>
      </c>
      <c r="C14" s="34">
        <v>55</v>
      </c>
      <c r="D14" s="34">
        <v>2</v>
      </c>
      <c r="E14" s="34">
        <f t="shared" si="0"/>
        <v>63</v>
      </c>
      <c r="F14" s="31">
        <v>0</v>
      </c>
    </row>
    <row r="15" spans="1:6">
      <c r="A15" s="174" t="s">
        <v>10</v>
      </c>
      <c r="B15" s="177">
        <f t="shared" ref="B15:D15" si="1">SUM(B7:B14)</f>
        <v>56</v>
      </c>
      <c r="C15" s="177">
        <f t="shared" si="1"/>
        <v>657</v>
      </c>
      <c r="D15" s="177">
        <f t="shared" si="1"/>
        <v>7</v>
      </c>
      <c r="E15" s="177">
        <f>SUM(E7:E14)</f>
        <v>720</v>
      </c>
      <c r="F15" s="31">
        <v>0</v>
      </c>
    </row>
  </sheetData>
  <mergeCells count="1">
    <mergeCell ref="A5:E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3BF5E-EA03-4329-BF95-CF0749A2D021}">
  <sheetPr>
    <tabColor rgb="FF8ED873"/>
  </sheetPr>
  <dimension ref="A1:J18"/>
  <sheetViews>
    <sheetView zoomScale="80" zoomScaleNormal="80" workbookViewId="0">
      <selection activeCell="A5" sqref="A5:K18"/>
    </sheetView>
  </sheetViews>
  <sheetFormatPr defaultColWidth="9.1796875" defaultRowHeight="23"/>
  <cols>
    <col min="1" max="1" width="8" style="90" customWidth="1"/>
    <col min="2" max="2" width="65.54296875" style="90" customWidth="1"/>
    <col min="3" max="10" width="6.81640625" style="90" customWidth="1"/>
    <col min="11" max="16384" width="9.1796875" style="90"/>
  </cols>
  <sheetData>
    <row r="1" spans="1:10">
      <c r="A1" s="90" t="s">
        <v>351</v>
      </c>
    </row>
    <row r="2" spans="1:10">
      <c r="A2" s="90" t="s">
        <v>541</v>
      </c>
    </row>
    <row r="3" spans="1:10">
      <c r="A3" s="90" t="s">
        <v>592</v>
      </c>
    </row>
    <row r="5" spans="1:10">
      <c r="B5" s="91" t="s">
        <v>542</v>
      </c>
    </row>
    <row r="6" spans="1:10" s="91" customFormat="1">
      <c r="A6" s="219" t="s">
        <v>543</v>
      </c>
      <c r="B6" s="219" t="s">
        <v>544</v>
      </c>
      <c r="C6" s="219">
        <v>1.1000000000000001</v>
      </c>
      <c r="D6" s="219">
        <v>1.2</v>
      </c>
      <c r="E6" s="219">
        <v>1.3</v>
      </c>
      <c r="F6" s="219">
        <v>1.4</v>
      </c>
      <c r="G6" s="220">
        <v>1.5</v>
      </c>
      <c r="H6" s="219">
        <v>1.6</v>
      </c>
      <c r="I6" s="219">
        <v>1.7</v>
      </c>
      <c r="J6" s="219"/>
    </row>
    <row r="7" spans="1:10">
      <c r="A7" s="178" t="s">
        <v>545</v>
      </c>
      <c r="B7" s="156" t="s">
        <v>546</v>
      </c>
      <c r="C7" s="219" t="s">
        <v>547</v>
      </c>
      <c r="D7" s="219" t="s">
        <v>547</v>
      </c>
      <c r="E7" s="219" t="s">
        <v>547</v>
      </c>
      <c r="F7" s="219" t="s">
        <v>547</v>
      </c>
      <c r="G7" s="220" t="s">
        <v>547</v>
      </c>
      <c r="H7" s="219" t="s">
        <v>547</v>
      </c>
      <c r="I7" s="219" t="s">
        <v>547</v>
      </c>
      <c r="J7" s="178"/>
    </row>
    <row r="8" spans="1:10" ht="92">
      <c r="A8" s="178" t="s">
        <v>548</v>
      </c>
      <c r="B8" s="156" t="s">
        <v>577</v>
      </c>
      <c r="C8" s="219" t="s">
        <v>547</v>
      </c>
      <c r="D8" s="219" t="s">
        <v>547</v>
      </c>
      <c r="E8" s="219" t="s">
        <v>547</v>
      </c>
      <c r="F8" s="219" t="s">
        <v>547</v>
      </c>
      <c r="G8" s="220" t="s">
        <v>547</v>
      </c>
      <c r="H8" s="219" t="s">
        <v>547</v>
      </c>
      <c r="I8" s="219" t="s">
        <v>547</v>
      </c>
      <c r="J8" s="178"/>
    </row>
    <row r="9" spans="1:10">
      <c r="A9" s="178" t="s">
        <v>548</v>
      </c>
      <c r="B9" s="156" t="s">
        <v>549</v>
      </c>
      <c r="C9" s="219" t="s">
        <v>547</v>
      </c>
      <c r="D9" s="219" t="s">
        <v>547</v>
      </c>
      <c r="E9" s="219" t="s">
        <v>547</v>
      </c>
      <c r="F9" s="219" t="s">
        <v>547</v>
      </c>
      <c r="G9" s="220" t="s">
        <v>547</v>
      </c>
      <c r="H9" s="219" t="s">
        <v>547</v>
      </c>
      <c r="I9" s="219" t="s">
        <v>547</v>
      </c>
      <c r="J9" s="178"/>
    </row>
    <row r="10" spans="1:10">
      <c r="A10" s="178" t="s">
        <v>550</v>
      </c>
      <c r="B10" s="156" t="s">
        <v>578</v>
      </c>
      <c r="C10" s="219" t="s">
        <v>547</v>
      </c>
      <c r="D10" s="219" t="s">
        <v>547</v>
      </c>
      <c r="E10" s="219" t="s">
        <v>547</v>
      </c>
      <c r="F10" s="219" t="s">
        <v>547</v>
      </c>
      <c r="G10" s="220" t="s">
        <v>547</v>
      </c>
      <c r="H10" s="219" t="s">
        <v>547</v>
      </c>
      <c r="I10" s="219" t="s">
        <v>547</v>
      </c>
      <c r="J10" s="178"/>
    </row>
    <row r="11" spans="1:10">
      <c r="A11" s="178" t="s">
        <v>550</v>
      </c>
      <c r="B11" s="156" t="s">
        <v>579</v>
      </c>
      <c r="C11" s="219" t="s">
        <v>547</v>
      </c>
      <c r="D11" s="219" t="s">
        <v>547</v>
      </c>
      <c r="E11" s="219" t="s">
        <v>547</v>
      </c>
      <c r="F11" s="219" t="s">
        <v>547</v>
      </c>
      <c r="G11" s="220" t="s">
        <v>547</v>
      </c>
      <c r="H11" s="219" t="s">
        <v>547</v>
      </c>
      <c r="I11" s="219" t="s">
        <v>547</v>
      </c>
      <c r="J11" s="178"/>
    </row>
    <row r="12" spans="1:10" ht="115">
      <c r="A12" s="178" t="s">
        <v>551</v>
      </c>
      <c r="B12" s="156" t="s">
        <v>580</v>
      </c>
      <c r="C12" s="219" t="s">
        <v>547</v>
      </c>
      <c r="D12" s="219" t="s">
        <v>547</v>
      </c>
      <c r="E12" s="219" t="s">
        <v>547</v>
      </c>
      <c r="F12" s="219" t="s">
        <v>547</v>
      </c>
      <c r="G12" s="220" t="s">
        <v>547</v>
      </c>
      <c r="H12" s="219" t="s">
        <v>547</v>
      </c>
      <c r="I12" s="219" t="s">
        <v>547</v>
      </c>
      <c r="J12" s="178"/>
    </row>
    <row r="13" spans="1:10">
      <c r="A13" s="178" t="s">
        <v>552</v>
      </c>
      <c r="B13" s="156" t="s">
        <v>581</v>
      </c>
      <c r="C13" s="219" t="s">
        <v>547</v>
      </c>
      <c r="D13" s="219" t="s">
        <v>547</v>
      </c>
      <c r="E13" s="219" t="s">
        <v>547</v>
      </c>
      <c r="F13" s="219" t="s">
        <v>547</v>
      </c>
      <c r="G13" s="220" t="s">
        <v>553</v>
      </c>
      <c r="H13" s="219" t="s">
        <v>547</v>
      </c>
      <c r="I13" s="219" t="s">
        <v>547</v>
      </c>
      <c r="J13" s="178"/>
    </row>
    <row r="14" spans="1:10" ht="69">
      <c r="A14" s="178" t="s">
        <v>552</v>
      </c>
      <c r="B14" s="156" t="s">
        <v>582</v>
      </c>
      <c r="C14" s="219" t="s">
        <v>547</v>
      </c>
      <c r="D14" s="219" t="s">
        <v>547</v>
      </c>
      <c r="E14" s="219" t="s">
        <v>547</v>
      </c>
      <c r="F14" s="219" t="s">
        <v>547</v>
      </c>
      <c r="G14" s="220" t="s">
        <v>553</v>
      </c>
      <c r="H14" s="219" t="s">
        <v>547</v>
      </c>
      <c r="I14" s="219" t="s">
        <v>547</v>
      </c>
      <c r="J14" s="178"/>
    </row>
    <row r="15" spans="1:10">
      <c r="A15" s="178" t="s">
        <v>554</v>
      </c>
      <c r="B15" s="156" t="s">
        <v>555</v>
      </c>
      <c r="C15" s="219" t="s">
        <v>547</v>
      </c>
      <c r="D15" s="219" t="s">
        <v>547</v>
      </c>
      <c r="E15" s="219" t="s">
        <v>547</v>
      </c>
      <c r="F15" s="219" t="s">
        <v>547</v>
      </c>
      <c r="G15" s="220" t="s">
        <v>553</v>
      </c>
      <c r="H15" s="219" t="s">
        <v>547</v>
      </c>
      <c r="I15" s="219" t="s">
        <v>547</v>
      </c>
      <c r="J15" s="178"/>
    </row>
    <row r="16" spans="1:10">
      <c r="A16" s="178" t="s">
        <v>554</v>
      </c>
      <c r="B16" s="156" t="s">
        <v>591</v>
      </c>
      <c r="C16" s="219" t="s">
        <v>553</v>
      </c>
      <c r="D16" s="219" t="s">
        <v>553</v>
      </c>
      <c r="E16" s="219" t="s">
        <v>553</v>
      </c>
      <c r="F16" s="219" t="s">
        <v>553</v>
      </c>
      <c r="G16" s="220" t="s">
        <v>553</v>
      </c>
      <c r="H16" s="219" t="s">
        <v>553</v>
      </c>
      <c r="I16" s="219" t="s">
        <v>553</v>
      </c>
      <c r="J16" s="178"/>
    </row>
    <row r="17" spans="1:10">
      <c r="A17" s="178"/>
      <c r="B17" s="178" t="s">
        <v>556</v>
      </c>
      <c r="C17" s="221">
        <v>85</v>
      </c>
      <c r="D17" s="221">
        <v>85</v>
      </c>
      <c r="E17" s="221">
        <v>85</v>
      </c>
      <c r="F17" s="221">
        <v>85</v>
      </c>
      <c r="G17" s="221">
        <v>70</v>
      </c>
      <c r="H17" s="221">
        <v>85</v>
      </c>
      <c r="I17" s="221">
        <v>85</v>
      </c>
      <c r="J17" s="222">
        <v>82.857142857142861</v>
      </c>
    </row>
    <row r="18" spans="1:10" ht="345">
      <c r="A18" s="178"/>
      <c r="B18" s="156" t="s">
        <v>557</v>
      </c>
      <c r="C18" s="178"/>
      <c r="D18" s="178"/>
      <c r="E18" s="178"/>
      <c r="F18" s="178"/>
      <c r="G18" s="178"/>
      <c r="H18" s="178"/>
      <c r="I18" s="178"/>
      <c r="J18" s="17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2DA2A-4D30-4247-A7F9-0E6044F16B32}">
  <sheetPr>
    <tabColor rgb="FF8ED873"/>
  </sheetPr>
  <dimension ref="A1:Z249"/>
  <sheetViews>
    <sheetView tabSelected="1" topLeftCell="A48" zoomScale="70" zoomScaleNormal="70" workbookViewId="0">
      <selection activeCell="F50" sqref="F50"/>
    </sheetView>
  </sheetViews>
  <sheetFormatPr defaultColWidth="9.1796875" defaultRowHeight="23"/>
  <cols>
    <col min="1" max="1" width="14" style="31" customWidth="1"/>
    <col min="2" max="2" width="27.54296875" style="31" customWidth="1"/>
    <col min="3" max="3" width="22.54296875" style="31" bestFit="1" customWidth="1"/>
    <col min="4" max="4" width="82.26953125" style="31" bestFit="1" customWidth="1"/>
    <col min="5" max="5" width="8.81640625" style="31" bestFit="1" customWidth="1"/>
    <col min="6" max="6" width="42.453125" style="31" bestFit="1" customWidth="1"/>
    <col min="7" max="10" width="9.26953125" style="31" bestFit="1" customWidth="1"/>
    <col min="11" max="16384" width="9.1796875" style="31"/>
  </cols>
  <sheetData>
    <row r="1" spans="1:2" s="40" customFormat="1" ht="22.5" customHeight="1">
      <c r="A1" s="40" t="s">
        <v>351</v>
      </c>
    </row>
    <row r="2" spans="1:2" s="40" customFormat="1" ht="22.5" customHeight="1">
      <c r="A2" s="40" t="s">
        <v>541</v>
      </c>
    </row>
    <row r="3" spans="1:2" s="40" customFormat="1" ht="22.5" customHeight="1">
      <c r="A3" s="40" t="s">
        <v>583</v>
      </c>
    </row>
    <row r="4" spans="1:2" s="40" customFormat="1" ht="22.5" customHeight="1"/>
    <row r="5" spans="1:2" ht="46">
      <c r="A5" s="179" t="s">
        <v>0</v>
      </c>
      <c r="B5" s="180" t="s">
        <v>558</v>
      </c>
    </row>
    <row r="6" spans="1:2">
      <c r="A6" s="181" t="s">
        <v>1</v>
      </c>
      <c r="B6" s="181">
        <v>20</v>
      </c>
    </row>
    <row r="7" spans="1:2">
      <c r="A7" s="181" t="s">
        <v>2</v>
      </c>
      <c r="B7" s="181">
        <v>20</v>
      </c>
    </row>
    <row r="8" spans="1:2">
      <c r="A8" s="181" t="s">
        <v>3</v>
      </c>
      <c r="B8" s="181">
        <v>13</v>
      </c>
    </row>
    <row r="9" spans="1:2">
      <c r="A9" s="181" t="s">
        <v>4</v>
      </c>
      <c r="B9" s="181">
        <v>8</v>
      </c>
    </row>
    <row r="12" spans="1:2">
      <c r="A12" s="179" t="s">
        <v>0</v>
      </c>
      <c r="B12" s="179" t="s">
        <v>33</v>
      </c>
    </row>
    <row r="13" spans="1:2">
      <c r="A13" s="181" t="s">
        <v>1</v>
      </c>
      <c r="B13" s="181">
        <v>965</v>
      </c>
    </row>
    <row r="14" spans="1:2">
      <c r="A14" s="181" t="s">
        <v>2</v>
      </c>
      <c r="B14" s="182">
        <v>1721</v>
      </c>
    </row>
    <row r="15" spans="1:2">
      <c r="A15" s="181" t="s">
        <v>3</v>
      </c>
      <c r="B15" s="182">
        <v>1411</v>
      </c>
    </row>
    <row r="16" spans="1:2">
      <c r="A16" s="181" t="s">
        <v>4</v>
      </c>
      <c r="B16" s="181">
        <v>742</v>
      </c>
    </row>
    <row r="20" spans="1:26" ht="26.25" customHeight="1">
      <c r="A20" s="261" t="s">
        <v>17</v>
      </c>
      <c r="B20" s="251"/>
      <c r="C20" s="251"/>
      <c r="D20" s="251"/>
      <c r="E20" s="251"/>
      <c r="F20" s="251"/>
      <c r="G20" s="251"/>
      <c r="H20" s="251"/>
      <c r="I20" s="252"/>
      <c r="J20" s="183"/>
      <c r="K20" s="183"/>
      <c r="L20" s="183"/>
      <c r="M20" s="183"/>
      <c r="N20" s="183"/>
      <c r="O20" s="183"/>
      <c r="P20" s="183"/>
      <c r="Q20" s="183"/>
      <c r="R20" s="183"/>
      <c r="S20" s="183"/>
      <c r="T20" s="183"/>
      <c r="U20" s="183"/>
      <c r="V20" s="183"/>
      <c r="W20" s="183"/>
      <c r="X20" s="183"/>
      <c r="Y20" s="183"/>
      <c r="Z20" s="183"/>
    </row>
    <row r="21" spans="1:26">
      <c r="A21" s="262" t="s">
        <v>18</v>
      </c>
      <c r="B21" s="243"/>
      <c r="C21" s="243"/>
      <c r="D21" s="243"/>
      <c r="E21" s="243"/>
      <c r="F21" s="243"/>
      <c r="G21" s="243"/>
      <c r="H21" s="243"/>
      <c r="I21" s="243"/>
      <c r="J21" s="184"/>
      <c r="K21" s="184"/>
      <c r="L21" s="184"/>
      <c r="M21" s="184"/>
      <c r="N21" s="184"/>
      <c r="O21" s="184"/>
      <c r="P21" s="184"/>
      <c r="Q21" s="184"/>
      <c r="R21" s="184"/>
      <c r="S21" s="184"/>
      <c r="T21" s="184"/>
      <c r="U21" s="184"/>
      <c r="V21" s="184"/>
      <c r="W21" s="184"/>
      <c r="X21" s="184"/>
      <c r="Y21" s="184"/>
      <c r="Z21" s="184"/>
    </row>
    <row r="22" spans="1:26">
      <c r="A22" s="259" t="s">
        <v>19</v>
      </c>
      <c r="B22" s="243"/>
      <c r="C22" s="243"/>
      <c r="D22" s="243"/>
      <c r="E22" s="243"/>
      <c r="F22" s="243"/>
      <c r="G22" s="243"/>
      <c r="H22" s="243"/>
      <c r="I22" s="243"/>
      <c r="J22" s="184"/>
      <c r="K22" s="184"/>
      <c r="L22" s="184"/>
      <c r="M22" s="184"/>
      <c r="N22" s="184"/>
      <c r="O22" s="184"/>
      <c r="P22" s="184"/>
      <c r="Q22" s="184"/>
      <c r="R22" s="184"/>
      <c r="S22" s="184"/>
      <c r="T22" s="184"/>
      <c r="U22" s="184"/>
      <c r="V22" s="184"/>
      <c r="W22" s="184"/>
      <c r="X22" s="184"/>
      <c r="Y22" s="184"/>
      <c r="Z22" s="184"/>
    </row>
    <row r="23" spans="1:26">
      <c r="A23" s="186"/>
      <c r="B23" s="263" t="s">
        <v>0</v>
      </c>
      <c r="C23" s="265" t="s">
        <v>20</v>
      </c>
      <c r="D23" s="252"/>
      <c r="E23" s="263" t="s">
        <v>21</v>
      </c>
      <c r="F23" s="266" t="s">
        <v>22</v>
      </c>
      <c r="G23" s="183"/>
      <c r="H23" s="183"/>
      <c r="I23" s="183"/>
      <c r="J23" s="183"/>
      <c r="K23" s="183"/>
      <c r="L23" s="183"/>
      <c r="M23" s="183"/>
      <c r="N23" s="183"/>
      <c r="O23" s="183"/>
      <c r="P23" s="183"/>
      <c r="Q23" s="183"/>
      <c r="R23" s="183"/>
      <c r="S23" s="183"/>
      <c r="T23" s="183"/>
      <c r="U23" s="183"/>
      <c r="V23" s="183"/>
      <c r="W23" s="183"/>
      <c r="X23" s="183"/>
      <c r="Y23" s="183"/>
      <c r="Z23" s="183"/>
    </row>
    <row r="24" spans="1:26">
      <c r="A24" s="186"/>
      <c r="B24" s="264"/>
      <c r="C24" s="187" t="s">
        <v>23</v>
      </c>
      <c r="D24" s="187" t="s">
        <v>24</v>
      </c>
      <c r="E24" s="264"/>
      <c r="F24" s="264"/>
      <c r="G24" s="183"/>
      <c r="H24" s="183"/>
      <c r="I24" s="183"/>
      <c r="J24" s="183"/>
      <c r="K24" s="183"/>
      <c r="L24" s="183"/>
      <c r="M24" s="183"/>
      <c r="N24" s="183"/>
      <c r="O24" s="183"/>
      <c r="P24" s="183"/>
      <c r="Q24" s="183"/>
      <c r="R24" s="183"/>
      <c r="S24" s="183"/>
      <c r="T24" s="183"/>
      <c r="U24" s="183"/>
      <c r="V24" s="183"/>
      <c r="W24" s="183"/>
      <c r="X24" s="183"/>
      <c r="Y24" s="183"/>
      <c r="Z24" s="183"/>
    </row>
    <row r="25" spans="1:26">
      <c r="A25" s="186"/>
      <c r="B25" s="188" t="s">
        <v>1</v>
      </c>
      <c r="C25" s="189" t="str">
        <f t="shared" ref="C25:D25" si="0">E79</f>
        <v>ทำหมัน</v>
      </c>
      <c r="D25" s="189" t="str">
        <f t="shared" si="0"/>
        <v>ฉีดวัคซีน</v>
      </c>
      <c r="E25" s="189">
        <f t="shared" ref="E25:E28" si="1">SUM(C25:D25)</f>
        <v>0</v>
      </c>
      <c r="F25" s="188">
        <v>16</v>
      </c>
      <c r="G25" s="183"/>
      <c r="H25" s="183"/>
      <c r="I25" s="183"/>
      <c r="J25" s="183"/>
      <c r="K25" s="183"/>
      <c r="L25" s="183"/>
      <c r="M25" s="183"/>
      <c r="N25" s="183"/>
      <c r="O25" s="183"/>
      <c r="P25" s="183"/>
      <c r="Q25" s="183"/>
      <c r="R25" s="183"/>
      <c r="S25" s="183"/>
      <c r="T25" s="183"/>
      <c r="U25" s="183"/>
      <c r="V25" s="183"/>
      <c r="W25" s="183"/>
      <c r="X25" s="183"/>
      <c r="Y25" s="183"/>
      <c r="Z25" s="183"/>
    </row>
    <row r="26" spans="1:26">
      <c r="A26" s="186"/>
      <c r="B26" s="188" t="s">
        <v>2</v>
      </c>
      <c r="C26" s="189" t="str">
        <f t="shared" ref="C26:D26" si="2">E93</f>
        <v>จำนวนผู้เข้าร่วมอบรม (คน)</v>
      </c>
      <c r="D26" s="189">
        <f t="shared" si="2"/>
        <v>0</v>
      </c>
      <c r="E26" s="189">
        <f t="shared" si="1"/>
        <v>0</v>
      </c>
      <c r="F26" s="188">
        <v>10</v>
      </c>
      <c r="G26" s="183"/>
      <c r="H26" s="183"/>
      <c r="I26" s="183"/>
      <c r="J26" s="183"/>
      <c r="K26" s="183"/>
      <c r="L26" s="183"/>
      <c r="M26" s="183"/>
      <c r="N26" s="183"/>
      <c r="O26" s="183"/>
      <c r="P26" s="183"/>
      <c r="Q26" s="183"/>
      <c r="R26" s="183"/>
      <c r="S26" s="183"/>
      <c r="T26" s="183"/>
      <c r="U26" s="183"/>
      <c r="V26" s="183"/>
      <c r="W26" s="183"/>
      <c r="X26" s="183"/>
      <c r="Y26" s="183"/>
      <c r="Z26" s="183"/>
    </row>
    <row r="27" spans="1:26">
      <c r="A27" s="186"/>
      <c r="B27" s="188" t="s">
        <v>3</v>
      </c>
      <c r="C27" s="188">
        <f>E100</f>
        <v>0</v>
      </c>
      <c r="D27" s="188" t="s">
        <v>15</v>
      </c>
      <c r="E27" s="189">
        <f t="shared" si="1"/>
        <v>0</v>
      </c>
      <c r="F27" s="188">
        <v>3</v>
      </c>
      <c r="G27" s="183"/>
      <c r="H27" s="183"/>
      <c r="I27" s="183"/>
      <c r="J27" s="183"/>
      <c r="K27" s="183"/>
      <c r="L27" s="183"/>
      <c r="M27" s="183"/>
      <c r="N27" s="183"/>
      <c r="O27" s="183"/>
      <c r="P27" s="183"/>
      <c r="Q27" s="183"/>
      <c r="R27" s="183"/>
      <c r="S27" s="183"/>
      <c r="T27" s="183"/>
      <c r="U27" s="183"/>
      <c r="V27" s="183"/>
      <c r="W27" s="183"/>
      <c r="X27" s="183"/>
      <c r="Y27" s="183"/>
      <c r="Z27" s="183"/>
    </row>
    <row r="28" spans="1:26">
      <c r="A28" s="186"/>
      <c r="B28" s="188" t="s">
        <v>4</v>
      </c>
      <c r="C28" s="188">
        <f t="shared" ref="C28:D28" si="3">E107</f>
        <v>33</v>
      </c>
      <c r="D28" s="188">
        <f t="shared" si="3"/>
        <v>53</v>
      </c>
      <c r="E28" s="189">
        <f t="shared" si="1"/>
        <v>86</v>
      </c>
      <c r="F28" s="188">
        <v>3</v>
      </c>
      <c r="G28" s="183"/>
      <c r="H28" s="183"/>
      <c r="I28" s="183"/>
      <c r="J28" s="183"/>
      <c r="K28" s="183"/>
      <c r="L28" s="183"/>
      <c r="M28" s="183"/>
      <c r="N28" s="183"/>
      <c r="O28" s="183"/>
      <c r="P28" s="183"/>
      <c r="Q28" s="183"/>
      <c r="R28" s="183"/>
      <c r="S28" s="183"/>
      <c r="T28" s="183"/>
      <c r="U28" s="183"/>
      <c r="V28" s="183"/>
      <c r="W28" s="183"/>
      <c r="X28" s="183"/>
      <c r="Y28" s="183"/>
      <c r="Z28" s="183"/>
    </row>
    <row r="29" spans="1:26">
      <c r="A29" s="186"/>
      <c r="B29" s="188" t="s">
        <v>10</v>
      </c>
      <c r="C29" s="189">
        <f t="shared" ref="C29:F29" si="4">SUM(C25:C28)</f>
        <v>33</v>
      </c>
      <c r="D29" s="189">
        <f t="shared" si="4"/>
        <v>53</v>
      </c>
      <c r="E29" s="189">
        <f t="shared" si="4"/>
        <v>86</v>
      </c>
      <c r="F29" s="189">
        <f t="shared" si="4"/>
        <v>32</v>
      </c>
      <c r="G29" s="183"/>
      <c r="H29" s="183"/>
      <c r="I29" s="183"/>
      <c r="J29" s="183"/>
      <c r="K29" s="183"/>
      <c r="L29" s="183"/>
      <c r="M29" s="183"/>
      <c r="N29" s="183"/>
      <c r="O29" s="183"/>
      <c r="P29" s="183"/>
      <c r="Q29" s="183"/>
      <c r="R29" s="183"/>
      <c r="S29" s="183"/>
      <c r="T29" s="183"/>
      <c r="U29" s="183"/>
      <c r="V29" s="183"/>
      <c r="W29" s="183"/>
      <c r="X29" s="183"/>
      <c r="Y29" s="183"/>
      <c r="Z29" s="183"/>
    </row>
    <row r="30" spans="1:26">
      <c r="A30" s="186"/>
      <c r="B30" s="190"/>
      <c r="C30" s="186"/>
      <c r="D30" s="183"/>
      <c r="E30" s="186"/>
      <c r="F30" s="183"/>
      <c r="G30" s="183"/>
      <c r="H30" s="183"/>
      <c r="I30" s="183"/>
      <c r="J30" s="183"/>
      <c r="K30" s="183"/>
      <c r="L30" s="183"/>
      <c r="M30" s="183"/>
      <c r="N30" s="183"/>
      <c r="O30" s="183"/>
      <c r="P30" s="183"/>
      <c r="Q30" s="183"/>
      <c r="R30" s="183"/>
      <c r="S30" s="183"/>
      <c r="T30" s="183"/>
      <c r="U30" s="183"/>
      <c r="V30" s="183"/>
      <c r="W30" s="183"/>
      <c r="X30" s="183"/>
      <c r="Y30" s="183"/>
      <c r="Z30" s="183"/>
    </row>
    <row r="31" spans="1:26">
      <c r="A31" s="259" t="s">
        <v>25</v>
      </c>
      <c r="B31" s="243"/>
      <c r="C31" s="243"/>
      <c r="D31" s="243"/>
      <c r="E31" s="243"/>
      <c r="F31" s="243"/>
      <c r="G31" s="243"/>
      <c r="H31" s="243"/>
      <c r="I31" s="243"/>
      <c r="J31" s="184"/>
      <c r="K31" s="184"/>
      <c r="L31" s="184"/>
      <c r="M31" s="184"/>
      <c r="N31" s="184"/>
      <c r="O31" s="184"/>
      <c r="P31" s="184"/>
      <c r="Q31" s="184"/>
      <c r="R31" s="184"/>
      <c r="S31" s="184"/>
      <c r="T31" s="184"/>
      <c r="U31" s="184"/>
      <c r="V31" s="184"/>
      <c r="W31" s="184"/>
      <c r="X31" s="184"/>
      <c r="Y31" s="184"/>
      <c r="Z31" s="184"/>
    </row>
    <row r="32" spans="1:26">
      <c r="A32" s="185"/>
      <c r="B32" s="263" t="s">
        <v>0</v>
      </c>
      <c r="C32" s="265" t="s">
        <v>26</v>
      </c>
      <c r="D32" s="251"/>
      <c r="E32" s="251"/>
      <c r="F32" s="251"/>
      <c r="G32" s="252"/>
      <c r="H32" s="263" t="s">
        <v>27</v>
      </c>
      <c r="I32" s="266" t="s">
        <v>22</v>
      </c>
      <c r="J32" s="184"/>
      <c r="K32" s="184"/>
      <c r="L32" s="184"/>
      <c r="M32" s="184"/>
      <c r="N32" s="184"/>
      <c r="O32" s="184"/>
      <c r="P32" s="184"/>
      <c r="Q32" s="184"/>
      <c r="R32" s="184"/>
      <c r="S32" s="184"/>
      <c r="T32" s="184"/>
      <c r="U32" s="184"/>
      <c r="V32" s="184"/>
      <c r="W32" s="184"/>
      <c r="X32" s="184"/>
      <c r="Y32" s="184"/>
      <c r="Z32" s="184"/>
    </row>
    <row r="33" spans="1:26">
      <c r="A33" s="185"/>
      <c r="B33" s="264"/>
      <c r="C33" s="187" t="s">
        <v>28</v>
      </c>
      <c r="D33" s="187" t="s">
        <v>29</v>
      </c>
      <c r="E33" s="187" t="s">
        <v>30</v>
      </c>
      <c r="F33" s="187" t="s">
        <v>31</v>
      </c>
      <c r="G33" s="187" t="s">
        <v>32</v>
      </c>
      <c r="H33" s="264"/>
      <c r="I33" s="264"/>
      <c r="J33" s="184"/>
      <c r="K33" s="184"/>
      <c r="L33" s="184"/>
      <c r="M33" s="184"/>
      <c r="N33" s="184"/>
      <c r="O33" s="184"/>
      <c r="P33" s="184"/>
      <c r="Q33" s="184"/>
      <c r="R33" s="184"/>
      <c r="S33" s="184"/>
      <c r="T33" s="184"/>
      <c r="U33" s="184"/>
      <c r="V33" s="184"/>
      <c r="W33" s="184"/>
      <c r="X33" s="184"/>
      <c r="Y33" s="184"/>
      <c r="Z33" s="184"/>
    </row>
    <row r="34" spans="1:26">
      <c r="A34" s="185"/>
      <c r="B34" s="188" t="s">
        <v>1</v>
      </c>
      <c r="C34" s="188">
        <v>274</v>
      </c>
      <c r="D34" s="188">
        <v>337</v>
      </c>
      <c r="E34" s="188">
        <v>96</v>
      </c>
      <c r="F34" s="188">
        <v>258</v>
      </c>
      <c r="G34" s="188" t="s">
        <v>15</v>
      </c>
      <c r="H34" s="188">
        <f>J116</f>
        <v>0</v>
      </c>
      <c r="I34" s="188">
        <v>4</v>
      </c>
      <c r="J34" s="184"/>
      <c r="K34" s="184"/>
      <c r="L34" s="184"/>
      <c r="M34" s="184"/>
      <c r="N34" s="184"/>
      <c r="O34" s="184"/>
      <c r="P34" s="184"/>
      <c r="Q34" s="184"/>
      <c r="R34" s="184"/>
      <c r="S34" s="184"/>
      <c r="T34" s="184"/>
      <c r="U34" s="184"/>
      <c r="V34" s="184"/>
      <c r="W34" s="184"/>
      <c r="X34" s="184"/>
      <c r="Y34" s="184"/>
      <c r="Z34" s="184"/>
    </row>
    <row r="35" spans="1:26">
      <c r="A35" s="185"/>
      <c r="B35" s="188" t="s">
        <v>2</v>
      </c>
      <c r="C35" s="188">
        <v>371</v>
      </c>
      <c r="D35" s="188">
        <v>470</v>
      </c>
      <c r="E35" s="188">
        <v>179</v>
      </c>
      <c r="F35" s="188">
        <v>538</v>
      </c>
      <c r="G35" s="188">
        <v>163</v>
      </c>
      <c r="H35" s="189">
        <f>J130</f>
        <v>0</v>
      </c>
      <c r="I35" s="188">
        <v>10</v>
      </c>
      <c r="J35" s="184"/>
      <c r="K35" s="184"/>
      <c r="L35" s="184"/>
      <c r="M35" s="184"/>
      <c r="N35" s="184"/>
      <c r="O35" s="184"/>
      <c r="P35" s="184"/>
      <c r="Q35" s="184"/>
      <c r="R35" s="184"/>
      <c r="S35" s="184"/>
      <c r="T35" s="184"/>
      <c r="U35" s="184"/>
      <c r="V35" s="184"/>
      <c r="W35" s="184"/>
      <c r="X35" s="184"/>
      <c r="Y35" s="184"/>
      <c r="Z35" s="184"/>
    </row>
    <row r="36" spans="1:26">
      <c r="A36" s="185"/>
      <c r="B36" s="188" t="s">
        <v>3</v>
      </c>
      <c r="C36" s="188">
        <v>314</v>
      </c>
      <c r="D36" s="188">
        <v>270</v>
      </c>
      <c r="E36" s="188">
        <v>105</v>
      </c>
      <c r="F36" s="188">
        <v>507</v>
      </c>
      <c r="G36" s="188">
        <v>215</v>
      </c>
      <c r="H36" s="189">
        <f>J144</f>
        <v>0</v>
      </c>
      <c r="I36" s="188">
        <v>10</v>
      </c>
      <c r="J36" s="184"/>
      <c r="K36" s="184"/>
      <c r="L36" s="184"/>
      <c r="M36" s="184"/>
      <c r="N36" s="184"/>
      <c r="O36" s="184"/>
      <c r="P36" s="184"/>
      <c r="Q36" s="184"/>
      <c r="R36" s="184"/>
      <c r="S36" s="184"/>
      <c r="T36" s="184"/>
      <c r="U36" s="184"/>
      <c r="V36" s="184"/>
      <c r="W36" s="184"/>
      <c r="X36" s="184"/>
      <c r="Y36" s="184"/>
      <c r="Z36" s="184"/>
    </row>
    <row r="37" spans="1:26">
      <c r="A37" s="185"/>
      <c r="B37" s="188" t="s">
        <v>4</v>
      </c>
      <c r="C37" s="188">
        <v>143</v>
      </c>
      <c r="D37" s="188">
        <v>149</v>
      </c>
      <c r="E37" s="188" t="s">
        <v>15</v>
      </c>
      <c r="F37" s="188">
        <v>330</v>
      </c>
      <c r="G37" s="188">
        <v>120</v>
      </c>
      <c r="H37" s="188">
        <f>J153</f>
        <v>0</v>
      </c>
      <c r="I37" s="188">
        <v>5</v>
      </c>
      <c r="J37" s="184"/>
      <c r="K37" s="184"/>
      <c r="L37" s="184"/>
      <c r="M37" s="184"/>
      <c r="N37" s="184"/>
      <c r="O37" s="184"/>
      <c r="P37" s="184"/>
      <c r="Q37" s="184"/>
      <c r="R37" s="184"/>
      <c r="S37" s="184"/>
      <c r="T37" s="184"/>
      <c r="U37" s="184"/>
      <c r="V37" s="184"/>
      <c r="W37" s="184"/>
      <c r="X37" s="184"/>
      <c r="Y37" s="184"/>
      <c r="Z37" s="184"/>
    </row>
    <row r="38" spans="1:26">
      <c r="A38" s="185"/>
      <c r="B38" s="188" t="s">
        <v>10</v>
      </c>
      <c r="C38" s="189">
        <v>1102</v>
      </c>
      <c r="D38" s="189">
        <v>1226</v>
      </c>
      <c r="E38" s="188">
        <v>380</v>
      </c>
      <c r="F38" s="189">
        <v>1633</v>
      </c>
      <c r="G38" s="188">
        <v>498</v>
      </c>
      <c r="H38" s="189">
        <v>4839</v>
      </c>
      <c r="I38" s="188">
        <v>29</v>
      </c>
      <c r="J38" s="184"/>
      <c r="K38" s="184"/>
      <c r="L38" s="184"/>
      <c r="M38" s="184"/>
      <c r="N38" s="184"/>
      <c r="O38" s="184"/>
      <c r="P38" s="184"/>
      <c r="Q38" s="184"/>
      <c r="R38" s="184"/>
      <c r="S38" s="184"/>
      <c r="T38" s="184"/>
      <c r="U38" s="184"/>
      <c r="V38" s="184"/>
      <c r="W38" s="184"/>
      <c r="X38" s="184"/>
      <c r="Y38" s="184"/>
      <c r="Z38" s="184"/>
    </row>
    <row r="41" spans="1:26" ht="24" customHeight="1">
      <c r="A41" s="259" t="s">
        <v>34</v>
      </c>
      <c r="B41" s="243"/>
      <c r="C41" s="243"/>
      <c r="D41" s="243"/>
      <c r="E41" s="243"/>
      <c r="F41" s="243"/>
      <c r="G41" s="243"/>
      <c r="H41" s="243"/>
      <c r="I41" s="243"/>
      <c r="J41" s="184"/>
      <c r="K41" s="184"/>
      <c r="L41" s="184"/>
      <c r="M41" s="184"/>
      <c r="N41" s="184"/>
      <c r="O41" s="184"/>
      <c r="P41" s="184"/>
      <c r="Q41" s="184"/>
      <c r="R41" s="184"/>
      <c r="S41" s="184"/>
      <c r="T41" s="184"/>
      <c r="U41" s="184"/>
      <c r="V41" s="184"/>
      <c r="W41" s="184"/>
      <c r="X41" s="184"/>
      <c r="Y41" s="184"/>
      <c r="Z41" s="184"/>
    </row>
    <row r="42" spans="1:26">
      <c r="A42" s="262" t="s">
        <v>35</v>
      </c>
      <c r="B42" s="243"/>
      <c r="C42" s="243"/>
      <c r="D42" s="243"/>
      <c r="E42" s="243"/>
      <c r="F42" s="243"/>
      <c r="G42" s="243"/>
      <c r="H42" s="243"/>
      <c r="I42" s="243"/>
      <c r="J42" s="184"/>
      <c r="K42" s="184"/>
      <c r="L42" s="184"/>
      <c r="M42" s="184"/>
      <c r="N42" s="184"/>
      <c r="O42" s="184"/>
      <c r="P42" s="184"/>
      <c r="Q42" s="184"/>
      <c r="R42" s="184"/>
      <c r="S42" s="184"/>
      <c r="T42" s="184"/>
      <c r="U42" s="184"/>
      <c r="V42" s="184"/>
      <c r="W42" s="184"/>
      <c r="X42" s="184"/>
      <c r="Y42" s="184"/>
      <c r="Z42" s="184"/>
    </row>
    <row r="43" spans="1:26">
      <c r="A43" s="259" t="s">
        <v>36</v>
      </c>
      <c r="B43" s="243"/>
      <c r="C43" s="243"/>
      <c r="D43" s="243"/>
      <c r="E43" s="243"/>
      <c r="F43" s="243"/>
      <c r="G43" s="243"/>
      <c r="H43" s="243"/>
      <c r="I43" s="243"/>
      <c r="J43" s="184"/>
      <c r="K43" s="184"/>
      <c r="L43" s="184"/>
      <c r="M43" s="184"/>
      <c r="N43" s="184"/>
      <c r="O43" s="184"/>
      <c r="P43" s="184"/>
      <c r="Q43" s="184"/>
      <c r="R43" s="184"/>
      <c r="S43" s="184"/>
      <c r="T43" s="184"/>
      <c r="U43" s="184"/>
      <c r="V43" s="184"/>
      <c r="W43" s="184"/>
      <c r="X43" s="184"/>
      <c r="Y43" s="184"/>
      <c r="Z43" s="184"/>
    </row>
    <row r="44" spans="1:26" ht="24" customHeight="1">
      <c r="A44" s="257" t="s">
        <v>11</v>
      </c>
      <c r="B44" s="251"/>
      <c r="C44" s="251"/>
      <c r="D44" s="252"/>
      <c r="E44" s="260" t="s">
        <v>37</v>
      </c>
      <c r="F44" s="251"/>
      <c r="G44" s="252"/>
      <c r="H44" s="191"/>
      <c r="I44" s="191"/>
      <c r="J44" s="191"/>
      <c r="K44" s="191"/>
      <c r="L44" s="191"/>
      <c r="M44" s="191"/>
      <c r="N44" s="191"/>
      <c r="O44" s="191"/>
      <c r="P44" s="191"/>
      <c r="Q44" s="191"/>
      <c r="R44" s="191"/>
      <c r="S44" s="191"/>
      <c r="T44" s="191"/>
      <c r="U44" s="191"/>
      <c r="V44" s="191"/>
      <c r="W44" s="191"/>
      <c r="X44" s="191"/>
      <c r="Y44" s="191"/>
      <c r="Z44" s="191"/>
    </row>
    <row r="45" spans="1:26" ht="24" customHeight="1">
      <c r="A45" s="192" t="s">
        <v>5</v>
      </c>
      <c r="B45" s="192" t="s">
        <v>16</v>
      </c>
      <c r="C45" s="192" t="s">
        <v>38</v>
      </c>
      <c r="D45" s="192" t="s">
        <v>39</v>
      </c>
      <c r="E45" s="192" t="s">
        <v>40</v>
      </c>
      <c r="F45" s="192" t="s">
        <v>41</v>
      </c>
      <c r="G45" s="192" t="s">
        <v>10</v>
      </c>
      <c r="H45" s="191"/>
      <c r="I45" s="191"/>
      <c r="J45" s="191"/>
      <c r="K45" s="191"/>
      <c r="L45" s="191"/>
      <c r="M45" s="191"/>
      <c r="N45" s="191"/>
      <c r="O45" s="191"/>
      <c r="P45" s="191"/>
      <c r="Q45" s="191"/>
      <c r="R45" s="191"/>
      <c r="S45" s="191"/>
      <c r="T45" s="191"/>
      <c r="U45" s="191"/>
      <c r="V45" s="191"/>
      <c r="W45" s="191"/>
      <c r="X45" s="191"/>
      <c r="Y45" s="191"/>
      <c r="Z45" s="191"/>
    </row>
    <row r="46" spans="1:26" ht="138">
      <c r="A46" s="193">
        <v>1</v>
      </c>
      <c r="B46" s="69" t="s">
        <v>42</v>
      </c>
      <c r="C46" s="193" t="s">
        <v>43</v>
      </c>
      <c r="D46" s="69" t="s">
        <v>44</v>
      </c>
      <c r="E46" s="193">
        <v>21</v>
      </c>
      <c r="F46" s="193" t="s">
        <v>15</v>
      </c>
      <c r="G46" s="193">
        <v>21</v>
      </c>
      <c r="H46" s="183"/>
      <c r="I46" s="183"/>
      <c r="J46" s="183"/>
      <c r="K46" s="183"/>
      <c r="L46" s="183"/>
      <c r="M46" s="183"/>
      <c r="N46" s="183"/>
      <c r="O46" s="183"/>
      <c r="P46" s="183"/>
      <c r="Q46" s="183"/>
      <c r="R46" s="183"/>
      <c r="S46" s="183"/>
      <c r="T46" s="183"/>
      <c r="U46" s="183"/>
      <c r="V46" s="183"/>
      <c r="W46" s="183"/>
      <c r="X46" s="183"/>
      <c r="Y46" s="183"/>
      <c r="Z46" s="183"/>
    </row>
    <row r="47" spans="1:26" ht="184">
      <c r="A47" s="193">
        <v>2</v>
      </c>
      <c r="B47" s="69" t="s">
        <v>45</v>
      </c>
      <c r="C47" s="193" t="s">
        <v>46</v>
      </c>
      <c r="D47" s="69" t="s">
        <v>47</v>
      </c>
      <c r="E47" s="193">
        <v>19</v>
      </c>
      <c r="F47" s="193" t="s">
        <v>15</v>
      </c>
      <c r="G47" s="193">
        <v>19</v>
      </c>
      <c r="H47" s="183"/>
      <c r="I47" s="183"/>
      <c r="J47" s="183"/>
      <c r="K47" s="183"/>
      <c r="L47" s="183"/>
      <c r="M47" s="183"/>
      <c r="N47" s="183"/>
      <c r="O47" s="183"/>
      <c r="P47" s="183"/>
      <c r="Q47" s="183"/>
      <c r="R47" s="183"/>
      <c r="S47" s="183"/>
      <c r="T47" s="183"/>
      <c r="U47" s="183"/>
      <c r="V47" s="183"/>
      <c r="W47" s="183"/>
      <c r="X47" s="183"/>
      <c r="Y47" s="183"/>
      <c r="Z47" s="183"/>
    </row>
    <row r="48" spans="1:26" ht="138">
      <c r="A48" s="193">
        <v>3</v>
      </c>
      <c r="B48" s="69" t="s">
        <v>45</v>
      </c>
      <c r="C48" s="193" t="s">
        <v>48</v>
      </c>
      <c r="D48" s="69" t="s">
        <v>49</v>
      </c>
      <c r="E48" s="193">
        <v>565</v>
      </c>
      <c r="F48" s="193">
        <v>872</v>
      </c>
      <c r="G48" s="194">
        <v>1437</v>
      </c>
      <c r="H48" s="183"/>
      <c r="I48" s="183"/>
      <c r="J48" s="183"/>
      <c r="K48" s="183"/>
      <c r="L48" s="183"/>
      <c r="M48" s="183"/>
      <c r="N48" s="183"/>
      <c r="O48" s="183"/>
      <c r="P48" s="183"/>
      <c r="Q48" s="183"/>
      <c r="R48" s="183"/>
      <c r="S48" s="183"/>
      <c r="T48" s="183"/>
      <c r="U48" s="183"/>
      <c r="V48" s="183"/>
      <c r="W48" s="183"/>
      <c r="X48" s="183"/>
      <c r="Y48" s="183"/>
      <c r="Z48" s="183"/>
    </row>
    <row r="49" spans="1:26" ht="161">
      <c r="A49" s="193">
        <v>4</v>
      </c>
      <c r="B49" s="69" t="s">
        <v>50</v>
      </c>
      <c r="C49" s="193" t="s">
        <v>51</v>
      </c>
      <c r="D49" s="69" t="s">
        <v>52</v>
      </c>
      <c r="E49" s="193" t="s">
        <v>15</v>
      </c>
      <c r="F49" s="193">
        <v>696</v>
      </c>
      <c r="G49" s="193">
        <v>696</v>
      </c>
      <c r="H49" s="183"/>
      <c r="I49" s="183"/>
      <c r="J49" s="183"/>
      <c r="K49" s="183"/>
      <c r="L49" s="183"/>
      <c r="M49" s="183"/>
      <c r="N49" s="183"/>
      <c r="O49" s="183"/>
      <c r="P49" s="183"/>
      <c r="Q49" s="183"/>
      <c r="R49" s="183"/>
      <c r="S49" s="183"/>
      <c r="T49" s="183"/>
      <c r="U49" s="183"/>
      <c r="V49" s="183"/>
      <c r="W49" s="183"/>
      <c r="X49" s="183"/>
      <c r="Y49" s="183"/>
      <c r="Z49" s="183"/>
    </row>
    <row r="50" spans="1:26" ht="322">
      <c r="A50" s="193">
        <v>5</v>
      </c>
      <c r="B50" s="69" t="s">
        <v>42</v>
      </c>
      <c r="C50" s="193" t="s">
        <v>53</v>
      </c>
      <c r="D50" s="69" t="s">
        <v>54</v>
      </c>
      <c r="E50" s="193">
        <v>81</v>
      </c>
      <c r="F50" s="193" t="s">
        <v>15</v>
      </c>
      <c r="G50" s="193">
        <v>81</v>
      </c>
      <c r="H50" s="183"/>
      <c r="I50" s="183"/>
      <c r="J50" s="183"/>
      <c r="K50" s="183"/>
      <c r="L50" s="183"/>
      <c r="M50" s="183"/>
      <c r="N50" s="183"/>
      <c r="O50" s="183"/>
      <c r="P50" s="183"/>
      <c r="Q50" s="183"/>
      <c r="R50" s="183"/>
      <c r="S50" s="183"/>
      <c r="T50" s="183"/>
      <c r="U50" s="183"/>
      <c r="V50" s="183"/>
      <c r="W50" s="183"/>
      <c r="X50" s="183"/>
      <c r="Y50" s="183"/>
      <c r="Z50" s="183"/>
    </row>
    <row r="51" spans="1:26" ht="207">
      <c r="A51" s="193">
        <v>6</v>
      </c>
      <c r="B51" s="69" t="s">
        <v>45</v>
      </c>
      <c r="C51" s="193" t="s">
        <v>55</v>
      </c>
      <c r="D51" s="69" t="s">
        <v>56</v>
      </c>
      <c r="E51" s="193">
        <v>510</v>
      </c>
      <c r="F51" s="193" t="s">
        <v>15</v>
      </c>
      <c r="G51" s="193">
        <v>510</v>
      </c>
      <c r="H51" s="183"/>
      <c r="I51" s="183"/>
      <c r="J51" s="183"/>
      <c r="K51" s="183"/>
      <c r="L51" s="183"/>
      <c r="M51" s="183"/>
      <c r="N51" s="183"/>
      <c r="O51" s="183"/>
      <c r="P51" s="183"/>
      <c r="Q51" s="183"/>
      <c r="R51" s="183"/>
      <c r="S51" s="183"/>
      <c r="T51" s="183"/>
      <c r="U51" s="183"/>
      <c r="V51" s="183"/>
      <c r="W51" s="183"/>
      <c r="X51" s="183"/>
      <c r="Y51" s="183"/>
      <c r="Z51" s="183"/>
    </row>
    <row r="52" spans="1:26" ht="15.75" customHeight="1">
      <c r="A52" s="193">
        <v>7</v>
      </c>
      <c r="B52" s="69" t="s">
        <v>45</v>
      </c>
      <c r="C52" s="193" t="s">
        <v>57</v>
      </c>
      <c r="D52" s="69" t="s">
        <v>56</v>
      </c>
      <c r="E52" s="193">
        <v>347</v>
      </c>
      <c r="F52" s="193">
        <v>58</v>
      </c>
      <c r="G52" s="193">
        <v>405</v>
      </c>
      <c r="H52" s="183"/>
      <c r="I52" s="183"/>
      <c r="J52" s="183"/>
      <c r="K52" s="183"/>
      <c r="L52" s="183"/>
      <c r="M52" s="183"/>
      <c r="N52" s="183"/>
      <c r="O52" s="183"/>
      <c r="P52" s="183"/>
      <c r="Q52" s="183"/>
      <c r="R52" s="183"/>
      <c r="S52" s="183"/>
      <c r="T52" s="183"/>
      <c r="U52" s="183"/>
      <c r="V52" s="183"/>
      <c r="W52" s="183"/>
      <c r="X52" s="183"/>
      <c r="Y52" s="183"/>
      <c r="Z52" s="183"/>
    </row>
    <row r="53" spans="1:26" ht="15.75" customHeight="1">
      <c r="A53" s="193">
        <v>8</v>
      </c>
      <c r="B53" s="69" t="s">
        <v>45</v>
      </c>
      <c r="C53" s="193" t="s">
        <v>58</v>
      </c>
      <c r="D53" s="69" t="s">
        <v>59</v>
      </c>
      <c r="E53" s="193">
        <v>156</v>
      </c>
      <c r="F53" s="193">
        <v>34</v>
      </c>
      <c r="G53" s="193">
        <v>190</v>
      </c>
      <c r="H53" s="183"/>
      <c r="I53" s="183"/>
      <c r="J53" s="183"/>
      <c r="K53" s="183"/>
      <c r="L53" s="183"/>
      <c r="M53" s="183"/>
      <c r="N53" s="183"/>
      <c r="O53" s="183"/>
      <c r="P53" s="183"/>
      <c r="Q53" s="183"/>
      <c r="R53" s="183"/>
      <c r="S53" s="183"/>
      <c r="T53" s="183"/>
      <c r="U53" s="183"/>
      <c r="V53" s="183"/>
      <c r="W53" s="183"/>
      <c r="X53" s="183"/>
      <c r="Y53" s="183"/>
      <c r="Z53" s="183"/>
    </row>
    <row r="54" spans="1:26" ht="115">
      <c r="A54" s="193">
        <v>9</v>
      </c>
      <c r="B54" s="69" t="s">
        <v>60</v>
      </c>
      <c r="C54" s="193" t="s">
        <v>61</v>
      </c>
      <c r="D54" s="69" t="s">
        <v>62</v>
      </c>
      <c r="E54" s="193">
        <v>89</v>
      </c>
      <c r="F54" s="193" t="s">
        <v>15</v>
      </c>
      <c r="G54" s="193">
        <v>89</v>
      </c>
      <c r="H54" s="183"/>
      <c r="I54" s="183"/>
      <c r="J54" s="183"/>
      <c r="K54" s="183"/>
      <c r="L54" s="183"/>
      <c r="M54" s="183"/>
      <c r="N54" s="183"/>
      <c r="O54" s="183"/>
      <c r="P54" s="183"/>
      <c r="Q54" s="183"/>
      <c r="R54" s="183"/>
      <c r="S54" s="183"/>
      <c r="T54" s="183"/>
      <c r="U54" s="183"/>
      <c r="V54" s="183"/>
      <c r="W54" s="183"/>
      <c r="X54" s="183"/>
      <c r="Y54" s="183"/>
      <c r="Z54" s="183"/>
    </row>
    <row r="55" spans="1:26" ht="15.75" customHeight="1">
      <c r="A55" s="193">
        <v>10</v>
      </c>
      <c r="B55" s="69" t="s">
        <v>45</v>
      </c>
      <c r="C55" s="193" t="s">
        <v>63</v>
      </c>
      <c r="D55" s="69" t="s">
        <v>64</v>
      </c>
      <c r="E55" s="193">
        <v>216</v>
      </c>
      <c r="F55" s="193">
        <v>77</v>
      </c>
      <c r="G55" s="193">
        <v>293</v>
      </c>
      <c r="H55" s="183"/>
      <c r="I55" s="183"/>
      <c r="J55" s="183"/>
      <c r="K55" s="183"/>
      <c r="L55" s="183"/>
      <c r="M55" s="183"/>
      <c r="N55" s="183"/>
      <c r="O55" s="183"/>
      <c r="P55" s="183"/>
      <c r="Q55" s="183"/>
      <c r="R55" s="183"/>
      <c r="S55" s="183"/>
      <c r="T55" s="183"/>
      <c r="U55" s="183"/>
      <c r="V55" s="183"/>
      <c r="W55" s="183"/>
      <c r="X55" s="183"/>
      <c r="Y55" s="183"/>
      <c r="Z55" s="183"/>
    </row>
    <row r="56" spans="1:26" ht="15.75" customHeight="1">
      <c r="A56" s="193">
        <v>11</v>
      </c>
      <c r="B56" s="69" t="s">
        <v>65</v>
      </c>
      <c r="C56" s="193" t="s">
        <v>66</v>
      </c>
      <c r="D56" s="69" t="s">
        <v>67</v>
      </c>
      <c r="E56" s="193">
        <v>171</v>
      </c>
      <c r="F56" s="193" t="s">
        <v>15</v>
      </c>
      <c r="G56" s="193">
        <v>171</v>
      </c>
      <c r="H56" s="183"/>
      <c r="I56" s="183"/>
      <c r="J56" s="183"/>
      <c r="K56" s="183"/>
      <c r="L56" s="183"/>
      <c r="M56" s="183"/>
      <c r="N56" s="183"/>
      <c r="O56" s="183"/>
      <c r="P56" s="183"/>
      <c r="Q56" s="183"/>
      <c r="R56" s="183"/>
      <c r="S56" s="183"/>
      <c r="T56" s="183"/>
      <c r="U56" s="183"/>
      <c r="V56" s="183"/>
      <c r="W56" s="183"/>
      <c r="X56" s="183"/>
      <c r="Y56" s="183"/>
      <c r="Z56" s="183"/>
    </row>
    <row r="57" spans="1:26" ht="41.25" customHeight="1">
      <c r="A57" s="193">
        <v>12</v>
      </c>
      <c r="B57" s="69" t="s">
        <v>60</v>
      </c>
      <c r="C57" s="193" t="s">
        <v>68</v>
      </c>
      <c r="D57" s="69" t="s">
        <v>69</v>
      </c>
      <c r="E57" s="193">
        <v>75</v>
      </c>
      <c r="F57" s="193" t="s">
        <v>15</v>
      </c>
      <c r="G57" s="193">
        <v>75</v>
      </c>
      <c r="H57" s="183"/>
      <c r="I57" s="183"/>
      <c r="J57" s="183"/>
      <c r="K57" s="183"/>
      <c r="L57" s="183"/>
      <c r="M57" s="183"/>
      <c r="N57" s="183"/>
      <c r="O57" s="183"/>
      <c r="P57" s="183"/>
      <c r="Q57" s="183"/>
      <c r="R57" s="183"/>
      <c r="S57" s="183"/>
      <c r="T57" s="183"/>
      <c r="U57" s="183"/>
      <c r="V57" s="183"/>
      <c r="W57" s="183"/>
      <c r="X57" s="183"/>
      <c r="Y57" s="183"/>
      <c r="Z57" s="183"/>
    </row>
    <row r="58" spans="1:26" ht="15.75" customHeight="1">
      <c r="A58" s="193">
        <v>13</v>
      </c>
      <c r="B58" s="69" t="s">
        <v>70</v>
      </c>
      <c r="C58" s="193" t="s">
        <v>71</v>
      </c>
      <c r="D58" s="69" t="s">
        <v>72</v>
      </c>
      <c r="E58" s="193">
        <v>300</v>
      </c>
      <c r="F58" s="193">
        <v>259</v>
      </c>
      <c r="G58" s="193">
        <v>559</v>
      </c>
      <c r="H58" s="183"/>
      <c r="I58" s="183"/>
      <c r="J58" s="183"/>
      <c r="K58" s="183"/>
      <c r="L58" s="183"/>
      <c r="M58" s="183"/>
      <c r="N58" s="183"/>
      <c r="O58" s="183"/>
      <c r="P58" s="183"/>
      <c r="Q58" s="183"/>
      <c r="R58" s="183"/>
      <c r="S58" s="183"/>
      <c r="T58" s="183"/>
      <c r="U58" s="183"/>
      <c r="V58" s="183"/>
      <c r="W58" s="183"/>
      <c r="X58" s="183"/>
      <c r="Y58" s="183"/>
      <c r="Z58" s="183"/>
    </row>
    <row r="59" spans="1:26" ht="15.75" customHeight="1">
      <c r="A59" s="193">
        <v>14</v>
      </c>
      <c r="B59" s="69" t="s">
        <v>70</v>
      </c>
      <c r="C59" s="193" t="s">
        <v>73</v>
      </c>
      <c r="D59" s="69" t="s">
        <v>74</v>
      </c>
      <c r="E59" s="193">
        <v>248</v>
      </c>
      <c r="F59" s="193">
        <v>151</v>
      </c>
      <c r="G59" s="193">
        <v>399</v>
      </c>
      <c r="H59" s="183"/>
      <c r="I59" s="183"/>
      <c r="J59" s="183"/>
      <c r="K59" s="183"/>
      <c r="L59" s="183"/>
      <c r="M59" s="183"/>
      <c r="N59" s="183"/>
      <c r="O59" s="183"/>
      <c r="P59" s="183"/>
      <c r="Q59" s="183"/>
      <c r="R59" s="183"/>
      <c r="S59" s="183"/>
      <c r="T59" s="183"/>
      <c r="U59" s="183"/>
      <c r="V59" s="183"/>
      <c r="W59" s="183"/>
      <c r="X59" s="183"/>
      <c r="Y59" s="183"/>
      <c r="Z59" s="183"/>
    </row>
    <row r="60" spans="1:26" ht="22.5" customHeight="1">
      <c r="A60" s="193">
        <v>15</v>
      </c>
      <c r="B60" s="69" t="s">
        <v>60</v>
      </c>
      <c r="C60" s="195">
        <v>23974</v>
      </c>
      <c r="D60" s="69" t="s">
        <v>75</v>
      </c>
      <c r="E60" s="193">
        <v>134</v>
      </c>
      <c r="F60" s="193" t="s">
        <v>15</v>
      </c>
      <c r="G60" s="193">
        <v>134</v>
      </c>
      <c r="H60" s="183"/>
      <c r="I60" s="183"/>
      <c r="J60" s="183"/>
      <c r="K60" s="183"/>
      <c r="L60" s="183"/>
      <c r="M60" s="183"/>
      <c r="N60" s="183"/>
      <c r="O60" s="183"/>
      <c r="P60" s="183"/>
      <c r="Q60" s="183"/>
      <c r="R60" s="183"/>
      <c r="S60" s="183"/>
      <c r="T60" s="183"/>
      <c r="U60" s="183"/>
      <c r="V60" s="183"/>
      <c r="W60" s="183"/>
      <c r="X60" s="183"/>
      <c r="Y60" s="183"/>
      <c r="Z60" s="183"/>
    </row>
    <row r="61" spans="1:26" ht="15.75" customHeight="1">
      <c r="A61" s="193">
        <v>16</v>
      </c>
      <c r="B61" s="69" t="s">
        <v>60</v>
      </c>
      <c r="C61" s="195">
        <v>23995</v>
      </c>
      <c r="D61" s="69" t="s">
        <v>76</v>
      </c>
      <c r="E61" s="193">
        <v>110</v>
      </c>
      <c r="F61" s="193" t="s">
        <v>15</v>
      </c>
      <c r="G61" s="193">
        <v>110</v>
      </c>
      <c r="H61" s="183"/>
      <c r="I61" s="183"/>
      <c r="J61" s="183"/>
      <c r="K61" s="183"/>
      <c r="L61" s="183"/>
      <c r="M61" s="183"/>
      <c r="N61" s="183"/>
      <c r="O61" s="183"/>
      <c r="P61" s="183"/>
      <c r="Q61" s="183"/>
      <c r="R61" s="183"/>
      <c r="S61" s="183"/>
      <c r="T61" s="183"/>
      <c r="U61" s="183"/>
      <c r="V61" s="183"/>
      <c r="W61" s="183"/>
      <c r="X61" s="183"/>
      <c r="Y61" s="183"/>
      <c r="Z61" s="183"/>
    </row>
    <row r="62" spans="1:26" ht="24" customHeight="1">
      <c r="A62" s="257" t="s">
        <v>10</v>
      </c>
      <c r="B62" s="251"/>
      <c r="C62" s="251"/>
      <c r="D62" s="258"/>
      <c r="E62" s="196">
        <f t="shared" ref="E62:G62" si="5">SUM(E46:E61)</f>
        <v>3042</v>
      </c>
      <c r="F62" s="196">
        <f t="shared" si="5"/>
        <v>2147</v>
      </c>
      <c r="G62" s="196">
        <f t="shared" si="5"/>
        <v>5189</v>
      </c>
      <c r="H62" s="184"/>
      <c r="I62" s="184"/>
      <c r="J62" s="184"/>
      <c r="K62" s="184"/>
      <c r="L62" s="184"/>
      <c r="M62" s="184"/>
      <c r="N62" s="184"/>
      <c r="O62" s="184"/>
      <c r="P62" s="184"/>
      <c r="Q62" s="184"/>
      <c r="R62" s="184"/>
      <c r="S62" s="184"/>
      <c r="T62" s="184"/>
      <c r="U62" s="184"/>
      <c r="V62" s="184"/>
      <c r="W62" s="184"/>
      <c r="X62" s="184"/>
      <c r="Y62" s="184"/>
      <c r="Z62" s="184"/>
    </row>
    <row r="63" spans="1:26" ht="24" customHeight="1">
      <c r="A63" s="186"/>
      <c r="B63" s="183"/>
      <c r="C63" s="186"/>
      <c r="D63" s="183"/>
      <c r="E63" s="186"/>
      <c r="F63" s="183"/>
      <c r="G63" s="183"/>
      <c r="H63" s="183"/>
      <c r="I63" s="183"/>
      <c r="J63" s="183"/>
      <c r="K63" s="183"/>
      <c r="L63" s="183"/>
      <c r="M63" s="183"/>
      <c r="N63" s="183"/>
      <c r="O63" s="183"/>
      <c r="P63" s="183"/>
      <c r="Q63" s="183"/>
      <c r="R63" s="183"/>
      <c r="S63" s="183"/>
      <c r="T63" s="183"/>
      <c r="U63" s="183"/>
      <c r="V63" s="183"/>
      <c r="W63" s="183"/>
      <c r="X63" s="183"/>
      <c r="Y63" s="183"/>
      <c r="Z63" s="183"/>
    </row>
    <row r="64" spans="1:26" ht="24" customHeight="1">
      <c r="A64" s="257" t="s">
        <v>12</v>
      </c>
      <c r="B64" s="251"/>
      <c r="C64" s="251"/>
      <c r="D64" s="252"/>
      <c r="E64" s="260" t="s">
        <v>37</v>
      </c>
      <c r="F64" s="251"/>
      <c r="G64" s="252"/>
      <c r="H64" s="183"/>
      <c r="I64" s="183"/>
      <c r="J64" s="183"/>
      <c r="K64" s="183"/>
      <c r="L64" s="183"/>
      <c r="M64" s="183"/>
      <c r="N64" s="183"/>
      <c r="O64" s="183"/>
      <c r="P64" s="183"/>
      <c r="Q64" s="183"/>
      <c r="R64" s="183"/>
      <c r="S64" s="183"/>
      <c r="T64" s="183"/>
      <c r="U64" s="183"/>
      <c r="V64" s="183"/>
      <c r="W64" s="183"/>
      <c r="X64" s="183"/>
      <c r="Y64" s="183"/>
      <c r="Z64" s="183"/>
    </row>
    <row r="65" spans="1:26" ht="24" customHeight="1">
      <c r="A65" s="192" t="s">
        <v>5</v>
      </c>
      <c r="B65" s="192" t="s">
        <v>16</v>
      </c>
      <c r="C65" s="192" t="s">
        <v>38</v>
      </c>
      <c r="D65" s="192" t="s">
        <v>39</v>
      </c>
      <c r="E65" s="192" t="s">
        <v>40</v>
      </c>
      <c r="F65" s="192" t="s">
        <v>41</v>
      </c>
      <c r="G65" s="192" t="s">
        <v>10</v>
      </c>
      <c r="H65" s="183"/>
      <c r="I65" s="183"/>
      <c r="J65" s="183"/>
      <c r="K65" s="183"/>
      <c r="L65" s="183"/>
      <c r="M65" s="183"/>
      <c r="N65" s="183"/>
      <c r="O65" s="183"/>
      <c r="P65" s="183"/>
      <c r="Q65" s="183"/>
      <c r="R65" s="183"/>
      <c r="S65" s="183"/>
      <c r="T65" s="183"/>
      <c r="U65" s="183"/>
      <c r="V65" s="183"/>
      <c r="W65" s="183"/>
      <c r="X65" s="183"/>
      <c r="Y65" s="183"/>
      <c r="Z65" s="183"/>
    </row>
    <row r="66" spans="1:26" ht="69">
      <c r="A66" s="193">
        <v>1</v>
      </c>
      <c r="B66" s="69" t="s">
        <v>77</v>
      </c>
      <c r="C66" s="195">
        <v>24044</v>
      </c>
      <c r="D66" s="69" t="s">
        <v>78</v>
      </c>
      <c r="E66" s="193">
        <v>229</v>
      </c>
      <c r="F66" s="193">
        <v>99</v>
      </c>
      <c r="G66" s="193">
        <v>328</v>
      </c>
      <c r="H66" s="183"/>
      <c r="I66" s="183"/>
      <c r="J66" s="183"/>
      <c r="K66" s="183"/>
      <c r="L66" s="183"/>
      <c r="M66" s="183"/>
      <c r="N66" s="183"/>
      <c r="O66" s="183"/>
      <c r="P66" s="183"/>
      <c r="Q66" s="183"/>
      <c r="R66" s="183"/>
      <c r="S66" s="183"/>
      <c r="T66" s="183"/>
      <c r="U66" s="183"/>
      <c r="V66" s="183"/>
      <c r="W66" s="183"/>
      <c r="X66" s="183"/>
      <c r="Y66" s="183"/>
      <c r="Z66" s="183"/>
    </row>
    <row r="67" spans="1:26" ht="15.75" customHeight="1">
      <c r="A67" s="193">
        <v>2</v>
      </c>
      <c r="B67" s="69" t="s">
        <v>77</v>
      </c>
      <c r="C67" s="195">
        <v>24075</v>
      </c>
      <c r="D67" s="69" t="s">
        <v>79</v>
      </c>
      <c r="E67" s="193">
        <v>151</v>
      </c>
      <c r="F67" s="193">
        <v>94</v>
      </c>
      <c r="G67" s="193">
        <v>245</v>
      </c>
      <c r="H67" s="183"/>
      <c r="I67" s="183"/>
      <c r="J67" s="183"/>
      <c r="K67" s="183"/>
      <c r="L67" s="183"/>
      <c r="M67" s="183"/>
      <c r="N67" s="183"/>
      <c r="O67" s="183"/>
      <c r="P67" s="183"/>
      <c r="Q67" s="183"/>
      <c r="R67" s="183"/>
      <c r="S67" s="183"/>
      <c r="T67" s="183"/>
      <c r="U67" s="183"/>
      <c r="V67" s="183"/>
      <c r="W67" s="183"/>
      <c r="X67" s="183"/>
      <c r="Y67" s="183"/>
      <c r="Z67" s="183"/>
    </row>
    <row r="68" spans="1:26" ht="15.75" customHeight="1">
      <c r="A68" s="193">
        <v>3</v>
      </c>
      <c r="B68" s="69" t="s">
        <v>77</v>
      </c>
      <c r="C68" s="195">
        <v>24105</v>
      </c>
      <c r="D68" s="69" t="s">
        <v>80</v>
      </c>
      <c r="E68" s="193">
        <v>130</v>
      </c>
      <c r="F68" s="193">
        <v>76</v>
      </c>
      <c r="G68" s="193">
        <v>206</v>
      </c>
      <c r="H68" s="183"/>
      <c r="I68" s="183"/>
      <c r="J68" s="183"/>
      <c r="K68" s="183"/>
      <c r="L68" s="183"/>
      <c r="M68" s="183"/>
      <c r="N68" s="183"/>
      <c r="O68" s="183"/>
      <c r="P68" s="183"/>
      <c r="Q68" s="183"/>
      <c r="R68" s="183"/>
      <c r="S68" s="183"/>
      <c r="T68" s="183"/>
      <c r="U68" s="183"/>
      <c r="V68" s="183"/>
      <c r="W68" s="183"/>
      <c r="X68" s="183"/>
      <c r="Y68" s="183"/>
      <c r="Z68" s="183"/>
    </row>
    <row r="69" spans="1:26" ht="38.25" customHeight="1">
      <c r="A69" s="193">
        <v>4</v>
      </c>
      <c r="B69" s="69" t="s">
        <v>81</v>
      </c>
      <c r="C69" s="195">
        <v>24114</v>
      </c>
      <c r="D69" s="69" t="s">
        <v>82</v>
      </c>
      <c r="E69" s="193">
        <v>29</v>
      </c>
      <c r="F69" s="193">
        <v>9</v>
      </c>
      <c r="G69" s="193">
        <v>38</v>
      </c>
      <c r="H69" s="183"/>
      <c r="I69" s="183"/>
      <c r="J69" s="183"/>
      <c r="K69" s="183"/>
      <c r="L69" s="183"/>
      <c r="M69" s="183"/>
      <c r="N69" s="183"/>
      <c r="O69" s="183"/>
      <c r="P69" s="183"/>
      <c r="Q69" s="183"/>
      <c r="R69" s="183"/>
      <c r="S69" s="183"/>
      <c r="T69" s="183"/>
      <c r="U69" s="183"/>
      <c r="V69" s="183"/>
      <c r="W69" s="183"/>
      <c r="X69" s="183"/>
      <c r="Y69" s="183"/>
      <c r="Z69" s="183"/>
    </row>
    <row r="70" spans="1:26" ht="15.75" customHeight="1">
      <c r="A70" s="193">
        <v>5</v>
      </c>
      <c r="B70" s="69" t="s">
        <v>42</v>
      </c>
      <c r="C70" s="195">
        <v>24190</v>
      </c>
      <c r="D70" s="69" t="s">
        <v>83</v>
      </c>
      <c r="E70" s="193">
        <v>17</v>
      </c>
      <c r="F70" s="193" t="s">
        <v>15</v>
      </c>
      <c r="G70" s="193">
        <v>17</v>
      </c>
      <c r="H70" s="183"/>
      <c r="I70" s="183"/>
      <c r="J70" s="183"/>
      <c r="K70" s="183"/>
      <c r="L70" s="183"/>
      <c r="M70" s="183"/>
      <c r="N70" s="183"/>
      <c r="O70" s="183"/>
      <c r="P70" s="183"/>
      <c r="Q70" s="183"/>
      <c r="R70" s="183"/>
      <c r="S70" s="183"/>
      <c r="T70" s="183"/>
      <c r="U70" s="183"/>
      <c r="V70" s="183"/>
      <c r="W70" s="183"/>
      <c r="X70" s="183"/>
      <c r="Y70" s="183"/>
      <c r="Z70" s="183"/>
    </row>
    <row r="71" spans="1:26" ht="15.75" customHeight="1">
      <c r="A71" s="193">
        <v>6</v>
      </c>
      <c r="B71" s="69" t="s">
        <v>84</v>
      </c>
      <c r="C71" s="195">
        <v>24191</v>
      </c>
      <c r="D71" s="69" t="s">
        <v>85</v>
      </c>
      <c r="E71" s="193">
        <v>90</v>
      </c>
      <c r="F71" s="193">
        <v>82</v>
      </c>
      <c r="G71" s="193">
        <v>172</v>
      </c>
      <c r="H71" s="183"/>
      <c r="I71" s="183"/>
      <c r="J71" s="183"/>
      <c r="K71" s="183"/>
      <c r="L71" s="183"/>
      <c r="M71" s="183"/>
      <c r="N71" s="183"/>
      <c r="O71" s="183"/>
      <c r="P71" s="183"/>
      <c r="Q71" s="183"/>
      <c r="R71" s="183"/>
      <c r="S71" s="183"/>
      <c r="T71" s="183"/>
      <c r="U71" s="183"/>
      <c r="V71" s="183"/>
      <c r="W71" s="183"/>
      <c r="X71" s="183"/>
      <c r="Y71" s="183"/>
      <c r="Z71" s="183"/>
    </row>
    <row r="72" spans="1:26" ht="15.75" customHeight="1">
      <c r="A72" s="193">
        <v>7</v>
      </c>
      <c r="B72" s="69" t="s">
        <v>84</v>
      </c>
      <c r="C72" s="195">
        <v>24192</v>
      </c>
      <c r="D72" s="69" t="s">
        <v>86</v>
      </c>
      <c r="E72" s="193">
        <v>81</v>
      </c>
      <c r="F72" s="193">
        <v>76</v>
      </c>
      <c r="G72" s="193">
        <v>157</v>
      </c>
      <c r="H72" s="183"/>
      <c r="I72" s="183"/>
      <c r="J72" s="183"/>
      <c r="K72" s="183"/>
      <c r="L72" s="183"/>
      <c r="M72" s="183"/>
      <c r="N72" s="183"/>
      <c r="O72" s="183"/>
      <c r="P72" s="183"/>
      <c r="Q72" s="183"/>
      <c r="R72" s="183"/>
      <c r="S72" s="183"/>
      <c r="T72" s="183"/>
      <c r="U72" s="183"/>
      <c r="V72" s="183"/>
      <c r="W72" s="183"/>
      <c r="X72" s="183"/>
      <c r="Y72" s="183"/>
      <c r="Z72" s="183"/>
    </row>
    <row r="73" spans="1:26" ht="15.75" customHeight="1">
      <c r="A73" s="193">
        <v>8</v>
      </c>
      <c r="B73" s="69" t="s">
        <v>84</v>
      </c>
      <c r="C73" s="193" t="s">
        <v>87</v>
      </c>
      <c r="D73" s="69" t="s">
        <v>88</v>
      </c>
      <c r="E73" s="193">
        <v>833</v>
      </c>
      <c r="F73" s="193">
        <v>550</v>
      </c>
      <c r="G73" s="194">
        <v>1383</v>
      </c>
      <c r="H73" s="183"/>
      <c r="I73" s="183"/>
      <c r="J73" s="183"/>
      <c r="K73" s="183"/>
      <c r="L73" s="183"/>
      <c r="M73" s="183"/>
      <c r="N73" s="183"/>
      <c r="O73" s="183"/>
      <c r="P73" s="183"/>
      <c r="Q73" s="183"/>
      <c r="R73" s="183"/>
      <c r="S73" s="183"/>
      <c r="T73" s="183"/>
      <c r="U73" s="183"/>
      <c r="V73" s="183"/>
      <c r="W73" s="183"/>
      <c r="X73" s="183"/>
      <c r="Y73" s="183"/>
      <c r="Z73" s="183"/>
    </row>
    <row r="74" spans="1:26" ht="42" customHeight="1">
      <c r="A74" s="193">
        <v>9</v>
      </c>
      <c r="B74" s="69" t="s">
        <v>81</v>
      </c>
      <c r="C74" s="195">
        <v>24303</v>
      </c>
      <c r="D74" s="69" t="s">
        <v>82</v>
      </c>
      <c r="E74" s="193">
        <v>29</v>
      </c>
      <c r="F74" s="193">
        <v>9</v>
      </c>
      <c r="G74" s="193">
        <v>38</v>
      </c>
      <c r="H74" s="183"/>
      <c r="I74" s="183"/>
      <c r="J74" s="183"/>
      <c r="K74" s="183"/>
      <c r="L74" s="183"/>
      <c r="M74" s="183"/>
      <c r="N74" s="183"/>
      <c r="O74" s="183"/>
      <c r="P74" s="183"/>
      <c r="Q74" s="183"/>
      <c r="R74" s="183"/>
      <c r="S74" s="183"/>
      <c r="T74" s="183"/>
      <c r="U74" s="183"/>
      <c r="V74" s="183"/>
      <c r="W74" s="183"/>
      <c r="X74" s="183"/>
      <c r="Y74" s="183"/>
      <c r="Z74" s="183"/>
    </row>
    <row r="75" spans="1:26" ht="15.75" customHeight="1">
      <c r="A75" s="193">
        <v>10</v>
      </c>
      <c r="B75" s="69" t="s">
        <v>84</v>
      </c>
      <c r="C75" s="193" t="s">
        <v>89</v>
      </c>
      <c r="D75" s="69" t="s">
        <v>90</v>
      </c>
      <c r="E75" s="193">
        <v>903</v>
      </c>
      <c r="F75" s="193">
        <v>968</v>
      </c>
      <c r="G75" s="194">
        <v>1871</v>
      </c>
      <c r="H75" s="183"/>
      <c r="I75" s="183"/>
      <c r="J75" s="183"/>
      <c r="K75" s="183"/>
      <c r="L75" s="183"/>
      <c r="M75" s="183"/>
      <c r="N75" s="183"/>
      <c r="O75" s="183"/>
      <c r="P75" s="183"/>
      <c r="Q75" s="183"/>
      <c r="R75" s="183"/>
      <c r="S75" s="183"/>
      <c r="T75" s="183"/>
      <c r="U75" s="183"/>
      <c r="V75" s="183"/>
      <c r="W75" s="183"/>
      <c r="X75" s="183"/>
      <c r="Y75" s="183"/>
      <c r="Z75" s="183"/>
    </row>
    <row r="76" spans="1:26" ht="24" customHeight="1">
      <c r="A76" s="257" t="s">
        <v>10</v>
      </c>
      <c r="B76" s="251"/>
      <c r="C76" s="251"/>
      <c r="D76" s="258"/>
      <c r="E76" s="196">
        <f t="shared" ref="E76:G76" si="6">SUM(E66:E75)</f>
        <v>2492</v>
      </c>
      <c r="F76" s="196">
        <f t="shared" si="6"/>
        <v>1963</v>
      </c>
      <c r="G76" s="196">
        <f t="shared" si="6"/>
        <v>4455</v>
      </c>
      <c r="H76" s="184"/>
      <c r="I76" s="184"/>
      <c r="J76" s="184"/>
      <c r="K76" s="184"/>
      <c r="L76" s="184"/>
      <c r="M76" s="184"/>
      <c r="N76" s="184"/>
      <c r="O76" s="184"/>
      <c r="P76" s="184"/>
      <c r="Q76" s="184"/>
      <c r="R76" s="184"/>
      <c r="S76" s="184"/>
      <c r="T76" s="184"/>
      <c r="U76" s="184"/>
      <c r="V76" s="184"/>
      <c r="W76" s="184"/>
      <c r="X76" s="184"/>
      <c r="Y76" s="184"/>
      <c r="Z76" s="184"/>
    </row>
    <row r="77" spans="1:26" ht="24" customHeight="1">
      <c r="A77" s="186"/>
      <c r="B77" s="183"/>
      <c r="C77" s="186"/>
      <c r="D77" s="183"/>
      <c r="E77" s="186"/>
      <c r="F77" s="183"/>
      <c r="G77" s="183"/>
      <c r="H77" s="183"/>
      <c r="I77" s="183"/>
      <c r="J77" s="183"/>
      <c r="K77" s="183"/>
      <c r="L77" s="183"/>
      <c r="M77" s="183"/>
      <c r="N77" s="183"/>
      <c r="O77" s="183"/>
      <c r="P77" s="183"/>
      <c r="Q77" s="183"/>
      <c r="R77" s="183"/>
      <c r="S77" s="183"/>
      <c r="T77" s="183"/>
      <c r="U77" s="183"/>
      <c r="V77" s="183"/>
      <c r="W77" s="183"/>
      <c r="X77" s="183"/>
      <c r="Y77" s="183"/>
      <c r="Z77" s="183"/>
    </row>
    <row r="78" spans="1:26" ht="24" customHeight="1">
      <c r="A78" s="257" t="s">
        <v>13</v>
      </c>
      <c r="B78" s="251"/>
      <c r="C78" s="251"/>
      <c r="D78" s="252"/>
      <c r="E78" s="260" t="s">
        <v>37</v>
      </c>
      <c r="F78" s="251"/>
      <c r="G78" s="252"/>
      <c r="H78" s="183"/>
      <c r="I78" s="183"/>
      <c r="J78" s="183"/>
      <c r="K78" s="183"/>
      <c r="L78" s="183"/>
      <c r="M78" s="183"/>
      <c r="N78" s="183"/>
      <c r="O78" s="183"/>
      <c r="P78" s="183"/>
      <c r="Q78" s="183"/>
      <c r="R78" s="183"/>
      <c r="S78" s="183"/>
      <c r="T78" s="183"/>
      <c r="U78" s="183"/>
      <c r="V78" s="183"/>
      <c r="W78" s="183"/>
      <c r="X78" s="183"/>
      <c r="Y78" s="183"/>
      <c r="Z78" s="183"/>
    </row>
    <row r="79" spans="1:26" ht="24" customHeight="1">
      <c r="A79" s="192" t="s">
        <v>5</v>
      </c>
      <c r="B79" s="192" t="s">
        <v>16</v>
      </c>
      <c r="C79" s="192" t="s">
        <v>38</v>
      </c>
      <c r="D79" s="192" t="s">
        <v>39</v>
      </c>
      <c r="E79" s="192" t="s">
        <v>40</v>
      </c>
      <c r="F79" s="192" t="s">
        <v>41</v>
      </c>
      <c r="G79" s="192" t="s">
        <v>10</v>
      </c>
      <c r="H79" s="183"/>
      <c r="I79" s="183"/>
      <c r="J79" s="183"/>
      <c r="K79" s="183"/>
      <c r="L79" s="183"/>
      <c r="M79" s="183"/>
      <c r="N79" s="183"/>
      <c r="O79" s="183"/>
      <c r="P79" s="183"/>
      <c r="Q79" s="183"/>
      <c r="R79" s="183"/>
      <c r="S79" s="183"/>
      <c r="T79" s="183"/>
      <c r="U79" s="183"/>
      <c r="V79" s="183"/>
      <c r="W79" s="183"/>
      <c r="X79" s="183"/>
      <c r="Y79" s="183"/>
      <c r="Z79" s="183"/>
    </row>
    <row r="80" spans="1:26" ht="24" customHeight="1">
      <c r="A80" s="193">
        <v>1</v>
      </c>
      <c r="B80" s="197" t="s">
        <v>77</v>
      </c>
      <c r="C80" s="198">
        <v>24645</v>
      </c>
      <c r="D80" s="197" t="s">
        <v>91</v>
      </c>
      <c r="E80" s="193">
        <v>86</v>
      </c>
      <c r="F80" s="193" t="s">
        <v>15</v>
      </c>
      <c r="G80" s="193">
        <v>86</v>
      </c>
      <c r="H80" s="183"/>
      <c r="I80" s="183"/>
      <c r="J80" s="183"/>
      <c r="K80" s="183"/>
      <c r="L80" s="183"/>
      <c r="M80" s="183"/>
      <c r="N80" s="183"/>
      <c r="O80" s="183"/>
      <c r="P80" s="183"/>
      <c r="Q80" s="183"/>
      <c r="R80" s="183"/>
      <c r="S80" s="183"/>
      <c r="T80" s="183"/>
      <c r="U80" s="183"/>
      <c r="V80" s="183"/>
      <c r="W80" s="183"/>
      <c r="X80" s="183"/>
      <c r="Y80" s="183"/>
      <c r="Z80" s="183"/>
    </row>
    <row r="81" spans="1:26" ht="24" customHeight="1">
      <c r="A81" s="193">
        <v>2</v>
      </c>
      <c r="B81" s="197" t="s">
        <v>77</v>
      </c>
      <c r="C81" s="199">
        <v>24657</v>
      </c>
      <c r="D81" s="200" t="s">
        <v>92</v>
      </c>
      <c r="E81" s="193">
        <v>33</v>
      </c>
      <c r="F81" s="193" t="s">
        <v>15</v>
      </c>
      <c r="G81" s="193">
        <v>33</v>
      </c>
      <c r="H81" s="183"/>
      <c r="I81" s="183"/>
      <c r="J81" s="183"/>
      <c r="K81" s="183"/>
      <c r="L81" s="183"/>
      <c r="M81" s="183"/>
      <c r="N81" s="183"/>
      <c r="O81" s="183"/>
      <c r="P81" s="183"/>
      <c r="Q81" s="183"/>
      <c r="R81" s="183"/>
      <c r="S81" s="183"/>
      <c r="T81" s="183"/>
      <c r="U81" s="183"/>
      <c r="V81" s="183"/>
      <c r="W81" s="183"/>
      <c r="X81" s="183"/>
      <c r="Y81" s="183"/>
      <c r="Z81" s="183"/>
    </row>
    <row r="82" spans="1:26" ht="24" customHeight="1">
      <c r="A82" s="193">
        <v>3</v>
      </c>
      <c r="B82" s="197" t="s">
        <v>77</v>
      </c>
      <c r="C82" s="199">
        <v>24736</v>
      </c>
      <c r="D82" s="200" t="s">
        <v>93</v>
      </c>
      <c r="E82" s="193">
        <v>48</v>
      </c>
      <c r="F82" s="193" t="s">
        <v>15</v>
      </c>
      <c r="G82" s="193">
        <v>48</v>
      </c>
      <c r="H82" s="183"/>
      <c r="I82" s="183"/>
      <c r="J82" s="183"/>
      <c r="K82" s="183"/>
      <c r="L82" s="183"/>
      <c r="M82" s="183"/>
      <c r="N82" s="183"/>
      <c r="O82" s="183"/>
      <c r="P82" s="183"/>
      <c r="Q82" s="183"/>
      <c r="R82" s="183"/>
      <c r="S82" s="183"/>
      <c r="T82" s="183"/>
      <c r="U82" s="183"/>
      <c r="V82" s="183"/>
      <c r="W82" s="183"/>
      <c r="X82" s="183"/>
      <c r="Y82" s="183"/>
      <c r="Z82" s="183"/>
    </row>
    <row r="83" spans="1:26" ht="24" customHeight="1">
      <c r="A83" s="257" t="s">
        <v>10</v>
      </c>
      <c r="B83" s="251"/>
      <c r="C83" s="251"/>
      <c r="D83" s="258"/>
      <c r="E83" s="192">
        <f t="shared" ref="E83:G83" si="7">SUM(E80:E82)</f>
        <v>167</v>
      </c>
      <c r="F83" s="192">
        <f t="shared" si="7"/>
        <v>0</v>
      </c>
      <c r="G83" s="192">
        <f t="shared" si="7"/>
        <v>167</v>
      </c>
      <c r="H83" s="184"/>
      <c r="I83" s="184"/>
      <c r="J83" s="184"/>
      <c r="K83" s="184"/>
      <c r="L83" s="184"/>
      <c r="M83" s="184"/>
      <c r="N83" s="184"/>
      <c r="O83" s="184"/>
      <c r="P83" s="184"/>
      <c r="Q83" s="184"/>
      <c r="R83" s="184"/>
      <c r="S83" s="184"/>
      <c r="T83" s="184"/>
      <c r="U83" s="184"/>
      <c r="V83" s="184"/>
      <c r="W83" s="184"/>
      <c r="X83" s="184"/>
      <c r="Y83" s="184"/>
      <c r="Z83" s="184"/>
    </row>
    <row r="84" spans="1:26" ht="24" customHeight="1">
      <c r="A84" s="186"/>
      <c r="B84" s="183"/>
      <c r="C84" s="186"/>
      <c r="D84" s="183"/>
      <c r="E84" s="186"/>
      <c r="F84" s="183"/>
      <c r="G84" s="183"/>
      <c r="H84" s="183"/>
      <c r="I84" s="183"/>
      <c r="J84" s="183"/>
      <c r="K84" s="183"/>
      <c r="L84" s="183"/>
      <c r="M84" s="183"/>
      <c r="N84" s="183"/>
      <c r="O84" s="183"/>
      <c r="P84" s="183"/>
      <c r="Q84" s="183"/>
      <c r="R84" s="183"/>
      <c r="S84" s="183"/>
      <c r="T84" s="183"/>
      <c r="U84" s="183"/>
      <c r="V84" s="183"/>
      <c r="W84" s="183"/>
      <c r="X84" s="183"/>
      <c r="Y84" s="183"/>
      <c r="Z84" s="183"/>
    </row>
    <row r="85" spans="1:26" ht="24" customHeight="1">
      <c r="A85" s="257" t="s">
        <v>14</v>
      </c>
      <c r="B85" s="251"/>
      <c r="C85" s="251"/>
      <c r="D85" s="252"/>
      <c r="E85" s="260" t="s">
        <v>37</v>
      </c>
      <c r="F85" s="251"/>
      <c r="G85" s="252"/>
      <c r="H85" s="183"/>
      <c r="I85" s="183"/>
      <c r="J85" s="183"/>
      <c r="K85" s="183"/>
      <c r="L85" s="183"/>
      <c r="M85" s="183"/>
      <c r="N85" s="183"/>
      <c r="O85" s="183"/>
      <c r="P85" s="183"/>
      <c r="Q85" s="183"/>
      <c r="R85" s="183"/>
      <c r="S85" s="183"/>
      <c r="T85" s="183"/>
      <c r="U85" s="183"/>
      <c r="V85" s="183"/>
      <c r="W85" s="183"/>
      <c r="X85" s="183"/>
      <c r="Y85" s="183"/>
      <c r="Z85" s="183"/>
    </row>
    <row r="86" spans="1:26" ht="24" customHeight="1">
      <c r="A86" s="192" t="s">
        <v>5</v>
      </c>
      <c r="B86" s="192" t="s">
        <v>16</v>
      </c>
      <c r="C86" s="192" t="s">
        <v>38</v>
      </c>
      <c r="D86" s="192" t="s">
        <v>39</v>
      </c>
      <c r="E86" s="192" t="s">
        <v>40</v>
      </c>
      <c r="F86" s="192" t="s">
        <v>41</v>
      </c>
      <c r="G86" s="192" t="s">
        <v>10</v>
      </c>
      <c r="H86" s="183"/>
      <c r="I86" s="183"/>
      <c r="J86" s="183"/>
      <c r="K86" s="183"/>
      <c r="L86" s="183"/>
      <c r="M86" s="183"/>
      <c r="N86" s="183"/>
      <c r="O86" s="183"/>
      <c r="P86" s="183"/>
      <c r="Q86" s="183"/>
      <c r="R86" s="183"/>
      <c r="S86" s="183"/>
      <c r="T86" s="183"/>
      <c r="U86" s="183"/>
      <c r="V86" s="183"/>
      <c r="W86" s="183"/>
      <c r="X86" s="183"/>
      <c r="Y86" s="183"/>
      <c r="Z86" s="183"/>
    </row>
    <row r="87" spans="1:26" ht="24" customHeight="1">
      <c r="A87" s="193">
        <v>1</v>
      </c>
      <c r="B87" s="197" t="s">
        <v>77</v>
      </c>
      <c r="C87" s="198">
        <v>24890</v>
      </c>
      <c r="D87" s="197" t="s">
        <v>94</v>
      </c>
      <c r="E87" s="193">
        <v>49</v>
      </c>
      <c r="F87" s="193">
        <v>32</v>
      </c>
      <c r="G87" s="193">
        <v>81</v>
      </c>
      <c r="H87" s="183"/>
      <c r="I87" s="183"/>
      <c r="J87" s="183"/>
      <c r="K87" s="183"/>
      <c r="L87" s="183"/>
      <c r="M87" s="183"/>
      <c r="N87" s="183"/>
      <c r="O87" s="183"/>
      <c r="P87" s="183"/>
      <c r="Q87" s="183"/>
      <c r="R87" s="183"/>
      <c r="S87" s="183"/>
      <c r="T87" s="183"/>
      <c r="U87" s="183"/>
      <c r="V87" s="183"/>
      <c r="W87" s="183"/>
      <c r="X87" s="183"/>
      <c r="Y87" s="183"/>
      <c r="Z87" s="183"/>
    </row>
    <row r="88" spans="1:26" ht="24" customHeight="1">
      <c r="A88" s="193">
        <v>2</v>
      </c>
      <c r="B88" s="197" t="s">
        <v>77</v>
      </c>
      <c r="C88" s="199">
        <v>24975</v>
      </c>
      <c r="D88" s="200" t="s">
        <v>91</v>
      </c>
      <c r="E88" s="193">
        <v>81</v>
      </c>
      <c r="F88" s="193" t="s">
        <v>15</v>
      </c>
      <c r="G88" s="193">
        <v>81</v>
      </c>
      <c r="H88" s="183"/>
      <c r="I88" s="183"/>
      <c r="J88" s="183"/>
      <c r="K88" s="183"/>
      <c r="L88" s="183"/>
      <c r="M88" s="183"/>
      <c r="N88" s="183"/>
      <c r="O88" s="183"/>
      <c r="P88" s="183"/>
      <c r="Q88" s="183"/>
      <c r="R88" s="183"/>
      <c r="S88" s="183"/>
      <c r="T88" s="183"/>
      <c r="U88" s="183"/>
      <c r="V88" s="183"/>
      <c r="W88" s="183"/>
      <c r="X88" s="183"/>
      <c r="Y88" s="183"/>
      <c r="Z88" s="183"/>
    </row>
    <row r="89" spans="1:26" ht="24" customHeight="1">
      <c r="A89" s="193">
        <v>3</v>
      </c>
      <c r="B89" s="197" t="s">
        <v>77</v>
      </c>
      <c r="C89" s="199">
        <v>25101</v>
      </c>
      <c r="D89" s="200" t="s">
        <v>91</v>
      </c>
      <c r="E89" s="193">
        <v>92</v>
      </c>
      <c r="F89" s="193" t="s">
        <v>15</v>
      </c>
      <c r="G89" s="193">
        <v>92</v>
      </c>
      <c r="H89" s="183"/>
      <c r="I89" s="183"/>
      <c r="J89" s="183"/>
      <c r="K89" s="183"/>
      <c r="L89" s="183"/>
      <c r="M89" s="183"/>
      <c r="N89" s="183"/>
      <c r="O89" s="183"/>
      <c r="P89" s="183"/>
      <c r="Q89" s="183"/>
      <c r="R89" s="183"/>
      <c r="S89" s="183"/>
      <c r="T89" s="183"/>
      <c r="U89" s="183"/>
      <c r="V89" s="183"/>
      <c r="W89" s="183"/>
      <c r="X89" s="183"/>
      <c r="Y89" s="183"/>
      <c r="Z89" s="183"/>
    </row>
    <row r="90" spans="1:26" ht="24" customHeight="1">
      <c r="A90" s="257" t="s">
        <v>10</v>
      </c>
      <c r="B90" s="251"/>
      <c r="C90" s="251"/>
      <c r="D90" s="258"/>
      <c r="E90" s="192">
        <f t="shared" ref="E90:G90" si="8">SUM(E87:E89)</f>
        <v>222</v>
      </c>
      <c r="F90" s="192">
        <f t="shared" si="8"/>
        <v>32</v>
      </c>
      <c r="G90" s="192">
        <f t="shared" si="8"/>
        <v>254</v>
      </c>
      <c r="H90" s="183"/>
      <c r="I90" s="183"/>
      <c r="J90" s="183"/>
      <c r="K90" s="183"/>
      <c r="L90" s="183"/>
      <c r="M90" s="183"/>
      <c r="N90" s="183"/>
      <c r="O90" s="183"/>
      <c r="P90" s="183"/>
      <c r="Q90" s="183"/>
      <c r="R90" s="183"/>
      <c r="S90" s="183"/>
      <c r="T90" s="183"/>
      <c r="U90" s="183"/>
      <c r="V90" s="183"/>
      <c r="W90" s="183"/>
      <c r="X90" s="183"/>
      <c r="Y90" s="183"/>
      <c r="Z90" s="183"/>
    </row>
    <row r="91" spans="1:26" ht="24" customHeight="1">
      <c r="A91" s="186"/>
      <c r="B91" s="183"/>
      <c r="C91" s="186"/>
      <c r="D91" s="183"/>
      <c r="E91" s="186"/>
      <c r="F91" s="183"/>
      <c r="G91" s="183"/>
      <c r="H91" s="183"/>
      <c r="I91" s="183"/>
      <c r="J91" s="183"/>
      <c r="K91" s="183"/>
      <c r="L91" s="183"/>
      <c r="M91" s="183"/>
      <c r="N91" s="183"/>
      <c r="O91" s="183"/>
      <c r="P91" s="183"/>
      <c r="Q91" s="183"/>
      <c r="R91" s="183"/>
      <c r="S91" s="183"/>
      <c r="T91" s="183"/>
      <c r="U91" s="183"/>
      <c r="V91" s="183"/>
      <c r="W91" s="183"/>
      <c r="X91" s="183"/>
      <c r="Y91" s="183"/>
      <c r="Z91" s="183"/>
    </row>
    <row r="92" spans="1:26">
      <c r="A92" s="259" t="s">
        <v>25</v>
      </c>
      <c r="B92" s="243"/>
      <c r="C92" s="243"/>
      <c r="D92" s="243"/>
      <c r="E92" s="243"/>
      <c r="F92" s="243"/>
      <c r="G92" s="243"/>
      <c r="H92" s="243"/>
      <c r="I92" s="243"/>
      <c r="J92" s="184"/>
      <c r="K92" s="184"/>
      <c r="L92" s="184"/>
      <c r="M92" s="184"/>
      <c r="N92" s="184"/>
      <c r="O92" s="184"/>
      <c r="P92" s="184"/>
      <c r="Q92" s="184"/>
      <c r="R92" s="184"/>
      <c r="S92" s="184"/>
      <c r="T92" s="184"/>
      <c r="U92" s="184"/>
      <c r="V92" s="184"/>
      <c r="W92" s="184"/>
      <c r="X92" s="184"/>
      <c r="Y92" s="184"/>
      <c r="Z92" s="184"/>
    </row>
    <row r="93" spans="1:26" ht="24" customHeight="1">
      <c r="A93" s="250" t="s">
        <v>11</v>
      </c>
      <c r="B93" s="251"/>
      <c r="C93" s="251"/>
      <c r="D93" s="252"/>
      <c r="E93" s="253" t="s">
        <v>95</v>
      </c>
      <c r="F93" s="251"/>
      <c r="G93" s="251"/>
      <c r="H93" s="251"/>
      <c r="I93" s="252"/>
      <c r="J93" s="245" t="s">
        <v>10</v>
      </c>
      <c r="K93" s="183"/>
      <c r="L93" s="183"/>
      <c r="M93" s="183"/>
      <c r="N93" s="183"/>
      <c r="O93" s="183"/>
      <c r="P93" s="183"/>
      <c r="Q93" s="183"/>
      <c r="R93" s="183"/>
      <c r="S93" s="183"/>
      <c r="T93" s="183"/>
      <c r="U93" s="183"/>
      <c r="V93" s="183"/>
      <c r="W93" s="183"/>
      <c r="X93" s="183"/>
      <c r="Y93" s="183"/>
      <c r="Z93" s="183"/>
    </row>
    <row r="94" spans="1:26" ht="24" customHeight="1">
      <c r="A94" s="201" t="s">
        <v>9</v>
      </c>
      <c r="B94" s="202" t="s">
        <v>16</v>
      </c>
      <c r="C94" s="202" t="s">
        <v>96</v>
      </c>
      <c r="D94" s="202" t="s">
        <v>39</v>
      </c>
      <c r="E94" s="202" t="s">
        <v>28</v>
      </c>
      <c r="F94" s="202" t="s">
        <v>29</v>
      </c>
      <c r="G94" s="202" t="s">
        <v>30</v>
      </c>
      <c r="H94" s="202" t="s">
        <v>31</v>
      </c>
      <c r="I94" s="202" t="s">
        <v>32</v>
      </c>
      <c r="J94" s="246"/>
      <c r="K94" s="183"/>
      <c r="L94" s="183"/>
      <c r="M94" s="183"/>
      <c r="N94" s="183"/>
      <c r="O94" s="183"/>
      <c r="P94" s="183"/>
      <c r="Q94" s="183"/>
      <c r="R94" s="183"/>
      <c r="S94" s="183"/>
      <c r="T94" s="183"/>
      <c r="U94" s="183"/>
      <c r="V94" s="183"/>
      <c r="W94" s="183"/>
      <c r="X94" s="183"/>
      <c r="Y94" s="183"/>
      <c r="Z94" s="183"/>
    </row>
    <row r="95" spans="1:26" ht="15.75" customHeight="1">
      <c r="A95" s="193">
        <v>1</v>
      </c>
      <c r="B95" s="69" t="s">
        <v>97</v>
      </c>
      <c r="C95" s="195">
        <v>23911</v>
      </c>
      <c r="D95" s="69" t="s">
        <v>98</v>
      </c>
      <c r="E95" s="193">
        <v>31</v>
      </c>
      <c r="F95" s="193">
        <v>61</v>
      </c>
      <c r="G95" s="193">
        <v>55</v>
      </c>
      <c r="H95" s="193">
        <v>71</v>
      </c>
      <c r="I95" s="193">
        <v>0</v>
      </c>
      <c r="J95" s="193">
        <v>218</v>
      </c>
      <c r="K95" s="183"/>
      <c r="L95" s="183"/>
      <c r="M95" s="183"/>
      <c r="N95" s="183"/>
      <c r="O95" s="183"/>
      <c r="P95" s="183"/>
      <c r="Q95" s="183"/>
      <c r="R95" s="183"/>
      <c r="S95" s="183"/>
      <c r="T95" s="183"/>
      <c r="U95" s="183"/>
      <c r="V95" s="183"/>
      <c r="W95" s="183"/>
      <c r="X95" s="183"/>
      <c r="Y95" s="183"/>
      <c r="Z95" s="183"/>
    </row>
    <row r="96" spans="1:26" ht="15.75" customHeight="1">
      <c r="A96" s="193">
        <v>2</v>
      </c>
      <c r="B96" s="69" t="s">
        <v>97</v>
      </c>
      <c r="C96" s="195">
        <v>23946</v>
      </c>
      <c r="D96" s="69" t="s">
        <v>99</v>
      </c>
      <c r="E96" s="193">
        <v>91</v>
      </c>
      <c r="F96" s="193">
        <v>119</v>
      </c>
      <c r="G96" s="193">
        <v>14</v>
      </c>
      <c r="H96" s="193">
        <v>44</v>
      </c>
      <c r="I96" s="193">
        <v>0</v>
      </c>
      <c r="J96" s="193">
        <v>268</v>
      </c>
      <c r="K96" s="183"/>
      <c r="L96" s="183"/>
      <c r="M96" s="183"/>
      <c r="N96" s="183"/>
      <c r="O96" s="183"/>
      <c r="P96" s="183"/>
      <c r="Q96" s="183"/>
      <c r="R96" s="183"/>
      <c r="S96" s="183"/>
      <c r="T96" s="183"/>
      <c r="U96" s="183"/>
      <c r="V96" s="183"/>
      <c r="W96" s="183"/>
      <c r="X96" s="183"/>
      <c r="Y96" s="183"/>
      <c r="Z96" s="183"/>
    </row>
    <row r="97" spans="1:26" ht="15.75" customHeight="1">
      <c r="A97" s="193">
        <v>3</v>
      </c>
      <c r="B97" s="69" t="s">
        <v>97</v>
      </c>
      <c r="C97" s="195">
        <v>23974</v>
      </c>
      <c r="D97" s="69" t="s">
        <v>100</v>
      </c>
      <c r="E97" s="193">
        <v>30</v>
      </c>
      <c r="F97" s="193">
        <v>53</v>
      </c>
      <c r="G97" s="193">
        <v>27</v>
      </c>
      <c r="H97" s="193">
        <v>68</v>
      </c>
      <c r="I97" s="193">
        <v>0</v>
      </c>
      <c r="J97" s="193">
        <v>178</v>
      </c>
      <c r="K97" s="183"/>
      <c r="L97" s="183"/>
      <c r="M97" s="183"/>
      <c r="N97" s="183"/>
      <c r="O97" s="183"/>
      <c r="P97" s="183"/>
      <c r="Q97" s="183"/>
      <c r="R97" s="183"/>
      <c r="S97" s="183"/>
      <c r="T97" s="183"/>
      <c r="U97" s="183"/>
      <c r="V97" s="183"/>
      <c r="W97" s="183"/>
      <c r="X97" s="183"/>
      <c r="Y97" s="183"/>
      <c r="Z97" s="183"/>
    </row>
    <row r="98" spans="1:26" ht="15.75" customHeight="1">
      <c r="A98" s="193">
        <v>4</v>
      </c>
      <c r="B98" s="69" t="s">
        <v>97</v>
      </c>
      <c r="C98" s="195">
        <v>23995</v>
      </c>
      <c r="D98" s="69" t="s">
        <v>101</v>
      </c>
      <c r="E98" s="193">
        <v>122</v>
      </c>
      <c r="F98" s="193">
        <v>104</v>
      </c>
      <c r="G98" s="193">
        <v>0</v>
      </c>
      <c r="H98" s="193">
        <v>75</v>
      </c>
      <c r="I98" s="193">
        <v>0</v>
      </c>
      <c r="J98" s="193">
        <v>301</v>
      </c>
      <c r="K98" s="183"/>
      <c r="L98" s="183"/>
      <c r="M98" s="183"/>
      <c r="N98" s="183"/>
      <c r="O98" s="183"/>
      <c r="P98" s="183"/>
      <c r="Q98" s="183"/>
      <c r="R98" s="183"/>
      <c r="S98" s="183"/>
      <c r="T98" s="183"/>
      <c r="U98" s="183"/>
      <c r="V98" s="183"/>
      <c r="W98" s="183"/>
      <c r="X98" s="183"/>
      <c r="Y98" s="183"/>
      <c r="Z98" s="183"/>
    </row>
    <row r="99" spans="1:26" ht="24" customHeight="1">
      <c r="A99" s="247" t="s">
        <v>10</v>
      </c>
      <c r="B99" s="248"/>
      <c r="C99" s="248"/>
      <c r="D99" s="249"/>
      <c r="E99" s="203">
        <v>274</v>
      </c>
      <c r="F99" s="204">
        <v>337</v>
      </c>
      <c r="G99" s="204">
        <v>96</v>
      </c>
      <c r="H99" s="204">
        <v>258</v>
      </c>
      <c r="I99" s="204" t="s">
        <v>15</v>
      </c>
      <c r="J99" s="204">
        <v>965</v>
      </c>
      <c r="K99" s="183"/>
      <c r="L99" s="183"/>
      <c r="M99" s="183"/>
      <c r="N99" s="183"/>
      <c r="O99" s="183"/>
      <c r="P99" s="183"/>
      <c r="Q99" s="183"/>
      <c r="R99" s="183"/>
      <c r="S99" s="183"/>
      <c r="T99" s="183"/>
      <c r="U99" s="183"/>
      <c r="V99" s="183"/>
      <c r="W99" s="183"/>
      <c r="X99" s="183"/>
      <c r="Y99" s="183"/>
      <c r="Z99" s="183"/>
    </row>
    <row r="100" spans="1:26">
      <c r="A100" s="186"/>
      <c r="B100" s="183"/>
      <c r="C100" s="186"/>
      <c r="D100" s="190"/>
      <c r="E100" s="186"/>
      <c r="F100" s="186"/>
      <c r="G100" s="186"/>
      <c r="H100" s="186"/>
      <c r="I100" s="186"/>
      <c r="J100" s="186">
        <v>0</v>
      </c>
      <c r="K100" s="183"/>
      <c r="L100" s="183"/>
      <c r="M100" s="183"/>
      <c r="N100" s="183"/>
      <c r="O100" s="183"/>
      <c r="P100" s="183"/>
      <c r="Q100" s="183"/>
      <c r="R100" s="183"/>
      <c r="S100" s="183"/>
      <c r="T100" s="183"/>
      <c r="U100" s="183"/>
      <c r="V100" s="183"/>
      <c r="W100" s="183"/>
      <c r="X100" s="183"/>
      <c r="Y100" s="183"/>
      <c r="Z100" s="183"/>
    </row>
    <row r="101" spans="1:26" ht="24" customHeight="1">
      <c r="A101" s="250" t="s">
        <v>12</v>
      </c>
      <c r="B101" s="251"/>
      <c r="C101" s="251"/>
      <c r="D101" s="252"/>
      <c r="E101" s="254" t="s">
        <v>95</v>
      </c>
      <c r="F101" s="255"/>
      <c r="G101" s="255"/>
      <c r="H101" s="255"/>
      <c r="I101" s="256"/>
      <c r="J101" s="245" t="s">
        <v>10</v>
      </c>
      <c r="K101" s="183"/>
      <c r="L101" s="183"/>
      <c r="M101" s="183"/>
      <c r="N101" s="183"/>
      <c r="O101" s="183"/>
      <c r="P101" s="183"/>
      <c r="Q101" s="183"/>
      <c r="R101" s="183"/>
      <c r="S101" s="183"/>
      <c r="T101" s="183"/>
      <c r="U101" s="183"/>
      <c r="V101" s="183"/>
      <c r="W101" s="183"/>
      <c r="X101" s="183"/>
      <c r="Y101" s="183"/>
      <c r="Z101" s="183"/>
    </row>
    <row r="102" spans="1:26" ht="24" customHeight="1">
      <c r="A102" s="201" t="s">
        <v>9</v>
      </c>
      <c r="B102" s="205" t="s">
        <v>16</v>
      </c>
      <c r="C102" s="206" t="s">
        <v>96</v>
      </c>
      <c r="D102" s="206" t="s">
        <v>39</v>
      </c>
      <c r="E102" s="206" t="s">
        <v>28</v>
      </c>
      <c r="F102" s="206" t="s">
        <v>29</v>
      </c>
      <c r="G102" s="206" t="s">
        <v>30</v>
      </c>
      <c r="H102" s="206" t="s">
        <v>31</v>
      </c>
      <c r="I102" s="206" t="s">
        <v>32</v>
      </c>
      <c r="J102" s="246"/>
      <c r="K102" s="183"/>
      <c r="L102" s="183"/>
      <c r="M102" s="183"/>
      <c r="N102" s="183"/>
      <c r="O102" s="183"/>
      <c r="P102" s="183"/>
      <c r="Q102" s="183"/>
      <c r="R102" s="183"/>
      <c r="S102" s="183"/>
      <c r="T102" s="183"/>
      <c r="U102" s="183"/>
      <c r="V102" s="183"/>
      <c r="W102" s="183"/>
      <c r="X102" s="183"/>
      <c r="Y102" s="183"/>
      <c r="Z102" s="183"/>
    </row>
    <row r="103" spans="1:26" ht="15.75" customHeight="1">
      <c r="A103" s="193">
        <v>1</v>
      </c>
      <c r="B103" s="69" t="s">
        <v>97</v>
      </c>
      <c r="C103" s="207">
        <v>24044</v>
      </c>
      <c r="D103" s="208" t="s">
        <v>78</v>
      </c>
      <c r="E103" s="209">
        <v>51</v>
      </c>
      <c r="F103" s="209">
        <v>61</v>
      </c>
      <c r="G103" s="209">
        <v>50</v>
      </c>
      <c r="H103" s="209">
        <v>66</v>
      </c>
      <c r="I103" s="209" t="s">
        <v>15</v>
      </c>
      <c r="J103" s="193">
        <v>228</v>
      </c>
      <c r="K103" s="183"/>
      <c r="L103" s="183"/>
      <c r="M103" s="183"/>
      <c r="N103" s="183"/>
      <c r="O103" s="183"/>
      <c r="P103" s="183"/>
      <c r="Q103" s="183"/>
      <c r="R103" s="183"/>
      <c r="S103" s="183"/>
      <c r="T103" s="183"/>
      <c r="U103" s="183"/>
      <c r="V103" s="183"/>
      <c r="W103" s="183"/>
      <c r="X103" s="183"/>
      <c r="Y103" s="183"/>
      <c r="Z103" s="183"/>
    </row>
    <row r="104" spans="1:26" ht="15.75" customHeight="1">
      <c r="A104" s="193">
        <v>2</v>
      </c>
      <c r="B104" s="69" t="s">
        <v>97</v>
      </c>
      <c r="C104" s="207">
        <v>24065</v>
      </c>
      <c r="D104" s="208" t="s">
        <v>102</v>
      </c>
      <c r="E104" s="209">
        <v>49</v>
      </c>
      <c r="F104" s="209">
        <v>46</v>
      </c>
      <c r="G104" s="209">
        <v>35</v>
      </c>
      <c r="H104" s="209">
        <v>43</v>
      </c>
      <c r="I104" s="209" t="s">
        <v>15</v>
      </c>
      <c r="J104" s="193">
        <v>173</v>
      </c>
      <c r="K104" s="183"/>
      <c r="L104" s="183"/>
      <c r="M104" s="183"/>
      <c r="N104" s="183"/>
      <c r="O104" s="183"/>
      <c r="P104" s="183"/>
      <c r="Q104" s="183"/>
      <c r="R104" s="183"/>
      <c r="S104" s="183"/>
      <c r="T104" s="183"/>
      <c r="U104" s="183"/>
      <c r="V104" s="183"/>
      <c r="W104" s="183"/>
      <c r="X104" s="183"/>
      <c r="Y104" s="183"/>
      <c r="Z104" s="183"/>
    </row>
    <row r="105" spans="1:26" ht="15.75" customHeight="1">
      <c r="A105" s="193">
        <v>3</v>
      </c>
      <c r="B105" s="69" t="s">
        <v>97</v>
      </c>
      <c r="C105" s="207">
        <v>24100</v>
      </c>
      <c r="D105" s="208" t="s">
        <v>103</v>
      </c>
      <c r="E105" s="209">
        <v>23</v>
      </c>
      <c r="F105" s="209">
        <v>37</v>
      </c>
      <c r="G105" s="209">
        <v>9</v>
      </c>
      <c r="H105" s="209">
        <v>27</v>
      </c>
      <c r="I105" s="209">
        <v>12</v>
      </c>
      <c r="J105" s="193">
        <v>108</v>
      </c>
      <c r="K105" s="183"/>
      <c r="L105" s="183"/>
      <c r="M105" s="183"/>
      <c r="N105" s="183"/>
      <c r="O105" s="183"/>
      <c r="P105" s="183"/>
      <c r="Q105" s="183"/>
      <c r="R105" s="183"/>
      <c r="S105" s="183"/>
      <c r="T105" s="183"/>
      <c r="U105" s="183"/>
      <c r="V105" s="183"/>
      <c r="W105" s="183"/>
      <c r="X105" s="183"/>
      <c r="Y105" s="183"/>
      <c r="Z105" s="183"/>
    </row>
    <row r="106" spans="1:26" ht="15.75" customHeight="1">
      <c r="A106" s="193">
        <v>4</v>
      </c>
      <c r="B106" s="69" t="s">
        <v>97</v>
      </c>
      <c r="C106" s="207">
        <v>24156</v>
      </c>
      <c r="D106" s="208" t="s">
        <v>104</v>
      </c>
      <c r="E106" s="209">
        <v>32</v>
      </c>
      <c r="F106" s="209">
        <v>77</v>
      </c>
      <c r="G106" s="209" t="s">
        <v>15</v>
      </c>
      <c r="H106" s="209">
        <v>72</v>
      </c>
      <c r="I106" s="209">
        <v>20</v>
      </c>
      <c r="J106" s="193">
        <v>201</v>
      </c>
      <c r="K106" s="183"/>
      <c r="L106" s="183"/>
      <c r="M106" s="183"/>
      <c r="N106" s="183"/>
      <c r="O106" s="183"/>
      <c r="P106" s="183"/>
      <c r="Q106" s="183"/>
      <c r="R106" s="183"/>
      <c r="S106" s="183"/>
      <c r="T106" s="183"/>
      <c r="U106" s="183"/>
      <c r="V106" s="183"/>
      <c r="W106" s="183"/>
      <c r="X106" s="183"/>
      <c r="Y106" s="183"/>
      <c r="Z106" s="183"/>
    </row>
    <row r="107" spans="1:26" ht="15.75" customHeight="1">
      <c r="A107" s="193">
        <v>5</v>
      </c>
      <c r="B107" s="69" t="s">
        <v>97</v>
      </c>
      <c r="C107" s="207">
        <v>24184</v>
      </c>
      <c r="D107" s="208" t="s">
        <v>105</v>
      </c>
      <c r="E107" s="209">
        <v>33</v>
      </c>
      <c r="F107" s="209">
        <v>53</v>
      </c>
      <c r="G107" s="209">
        <v>10</v>
      </c>
      <c r="H107" s="209">
        <v>31</v>
      </c>
      <c r="I107" s="209">
        <v>27</v>
      </c>
      <c r="J107" s="193">
        <v>154</v>
      </c>
      <c r="K107" s="183"/>
      <c r="L107" s="183"/>
      <c r="M107" s="183"/>
      <c r="N107" s="183"/>
      <c r="O107" s="183"/>
      <c r="P107" s="183"/>
      <c r="Q107" s="183"/>
      <c r="R107" s="183"/>
      <c r="S107" s="183"/>
      <c r="T107" s="183"/>
      <c r="U107" s="183"/>
      <c r="V107" s="183"/>
      <c r="W107" s="183"/>
      <c r="X107" s="183"/>
      <c r="Y107" s="183"/>
      <c r="Z107" s="183"/>
    </row>
    <row r="108" spans="1:26" ht="15.75" customHeight="1">
      <c r="A108" s="193">
        <v>6</v>
      </c>
      <c r="B108" s="69" t="s">
        <v>97</v>
      </c>
      <c r="C108" s="207">
        <v>24219</v>
      </c>
      <c r="D108" s="208" t="s">
        <v>106</v>
      </c>
      <c r="E108" s="209">
        <v>49</v>
      </c>
      <c r="F108" s="209">
        <v>53</v>
      </c>
      <c r="G108" s="209">
        <v>5</v>
      </c>
      <c r="H108" s="209">
        <v>75</v>
      </c>
      <c r="I108" s="209">
        <v>20</v>
      </c>
      <c r="J108" s="193">
        <v>202</v>
      </c>
      <c r="K108" s="183"/>
      <c r="L108" s="183"/>
      <c r="M108" s="183"/>
      <c r="N108" s="183"/>
      <c r="O108" s="183"/>
      <c r="P108" s="183"/>
      <c r="Q108" s="183"/>
      <c r="R108" s="183"/>
      <c r="S108" s="183"/>
      <c r="T108" s="183"/>
      <c r="U108" s="183"/>
      <c r="V108" s="183"/>
      <c r="W108" s="183"/>
      <c r="X108" s="183"/>
      <c r="Y108" s="183"/>
      <c r="Z108" s="183"/>
    </row>
    <row r="109" spans="1:26" ht="15.75" customHeight="1">
      <c r="A109" s="193">
        <v>7</v>
      </c>
      <c r="B109" s="69" t="s">
        <v>97</v>
      </c>
      <c r="C109" s="207">
        <v>24247</v>
      </c>
      <c r="D109" s="208" t="s">
        <v>107</v>
      </c>
      <c r="E109" s="209">
        <v>60</v>
      </c>
      <c r="F109" s="209">
        <v>33</v>
      </c>
      <c r="G109" s="209">
        <v>7</v>
      </c>
      <c r="H109" s="209">
        <v>40</v>
      </c>
      <c r="I109" s="209">
        <v>18</v>
      </c>
      <c r="J109" s="193">
        <v>158</v>
      </c>
      <c r="K109" s="183"/>
      <c r="L109" s="183"/>
      <c r="M109" s="183"/>
      <c r="N109" s="183"/>
      <c r="O109" s="183"/>
      <c r="P109" s="183"/>
      <c r="Q109" s="183"/>
      <c r="R109" s="183"/>
      <c r="S109" s="183"/>
      <c r="T109" s="183"/>
      <c r="U109" s="183"/>
      <c r="V109" s="183"/>
      <c r="W109" s="183"/>
      <c r="X109" s="183"/>
      <c r="Y109" s="183"/>
      <c r="Z109" s="183"/>
    </row>
    <row r="110" spans="1:26" ht="15.75" customHeight="1">
      <c r="A110" s="193">
        <v>8</v>
      </c>
      <c r="B110" s="69" t="s">
        <v>97</v>
      </c>
      <c r="C110" s="207">
        <v>24275</v>
      </c>
      <c r="D110" s="208" t="s">
        <v>108</v>
      </c>
      <c r="E110" s="209">
        <v>35</v>
      </c>
      <c r="F110" s="209">
        <v>20</v>
      </c>
      <c r="G110" s="209">
        <v>30</v>
      </c>
      <c r="H110" s="209">
        <v>60</v>
      </c>
      <c r="I110" s="209">
        <v>28</v>
      </c>
      <c r="J110" s="193">
        <v>173</v>
      </c>
      <c r="K110" s="183"/>
      <c r="L110" s="183"/>
      <c r="M110" s="183"/>
      <c r="N110" s="183"/>
      <c r="O110" s="183"/>
      <c r="P110" s="183"/>
      <c r="Q110" s="183"/>
      <c r="R110" s="183"/>
      <c r="S110" s="183"/>
      <c r="T110" s="183"/>
      <c r="U110" s="183"/>
      <c r="V110" s="183"/>
      <c r="W110" s="183"/>
      <c r="X110" s="183"/>
      <c r="Y110" s="183"/>
      <c r="Z110" s="183"/>
    </row>
    <row r="111" spans="1:26" ht="15.75" customHeight="1">
      <c r="A111" s="193">
        <v>9</v>
      </c>
      <c r="B111" s="69" t="s">
        <v>97</v>
      </c>
      <c r="C111" s="207">
        <v>24303</v>
      </c>
      <c r="D111" s="208" t="s">
        <v>109</v>
      </c>
      <c r="E111" s="209">
        <v>27</v>
      </c>
      <c r="F111" s="209">
        <v>51</v>
      </c>
      <c r="G111" s="209">
        <v>19</v>
      </c>
      <c r="H111" s="209">
        <v>44</v>
      </c>
      <c r="I111" s="209">
        <v>19</v>
      </c>
      <c r="J111" s="193">
        <v>160</v>
      </c>
      <c r="K111" s="183"/>
      <c r="L111" s="183"/>
      <c r="M111" s="183"/>
      <c r="N111" s="183"/>
      <c r="O111" s="183"/>
      <c r="P111" s="183"/>
      <c r="Q111" s="183"/>
      <c r="R111" s="183"/>
      <c r="S111" s="183"/>
      <c r="T111" s="183"/>
      <c r="U111" s="183"/>
      <c r="V111" s="183"/>
      <c r="W111" s="183"/>
      <c r="X111" s="183"/>
      <c r="Y111" s="183"/>
      <c r="Z111" s="183"/>
    </row>
    <row r="112" spans="1:26" ht="15.75" customHeight="1">
      <c r="A112" s="193">
        <v>10</v>
      </c>
      <c r="B112" s="69" t="s">
        <v>97</v>
      </c>
      <c r="C112" s="207">
        <v>24338</v>
      </c>
      <c r="D112" s="208" t="s">
        <v>110</v>
      </c>
      <c r="E112" s="209">
        <v>12</v>
      </c>
      <c r="F112" s="209">
        <v>39</v>
      </c>
      <c r="G112" s="209">
        <v>14</v>
      </c>
      <c r="H112" s="209">
        <v>80</v>
      </c>
      <c r="I112" s="209">
        <v>19</v>
      </c>
      <c r="J112" s="193">
        <v>164</v>
      </c>
      <c r="K112" s="183"/>
      <c r="L112" s="183"/>
      <c r="M112" s="183"/>
      <c r="N112" s="183"/>
      <c r="O112" s="183"/>
      <c r="P112" s="183"/>
      <c r="Q112" s="183"/>
      <c r="R112" s="183"/>
      <c r="S112" s="183"/>
      <c r="T112" s="183"/>
      <c r="U112" s="183"/>
      <c r="V112" s="183"/>
      <c r="W112" s="183"/>
      <c r="X112" s="183"/>
      <c r="Y112" s="183"/>
      <c r="Z112" s="183"/>
    </row>
    <row r="113" spans="1:26" ht="24" customHeight="1">
      <c r="A113" s="247" t="s">
        <v>10</v>
      </c>
      <c r="B113" s="248"/>
      <c r="C113" s="248"/>
      <c r="D113" s="249"/>
      <c r="E113" s="203">
        <v>371</v>
      </c>
      <c r="F113" s="204">
        <v>470</v>
      </c>
      <c r="G113" s="204">
        <v>179</v>
      </c>
      <c r="H113" s="204">
        <v>538</v>
      </c>
      <c r="I113" s="204">
        <v>163</v>
      </c>
      <c r="J113" s="210">
        <v>1721</v>
      </c>
      <c r="K113" s="183"/>
      <c r="L113" s="183"/>
      <c r="M113" s="183"/>
      <c r="N113" s="183"/>
      <c r="O113" s="183"/>
      <c r="P113" s="183"/>
      <c r="Q113" s="183"/>
      <c r="R113" s="183"/>
      <c r="S113" s="183"/>
      <c r="T113" s="183"/>
      <c r="U113" s="183"/>
      <c r="V113" s="183"/>
      <c r="W113" s="183"/>
      <c r="X113" s="183"/>
      <c r="Y113" s="183"/>
      <c r="Z113" s="183"/>
    </row>
    <row r="114" spans="1:26" ht="24" customHeight="1">
      <c r="A114" s="186"/>
      <c r="B114" s="183"/>
      <c r="C114" s="186"/>
      <c r="D114" s="190"/>
      <c r="E114" s="186"/>
      <c r="F114" s="183"/>
      <c r="G114" s="183"/>
      <c r="H114" s="183"/>
      <c r="I114" s="183"/>
      <c r="J114" s="183"/>
      <c r="K114" s="183"/>
      <c r="L114" s="183"/>
      <c r="M114" s="183"/>
      <c r="N114" s="183"/>
      <c r="O114" s="183"/>
      <c r="P114" s="183"/>
      <c r="Q114" s="183"/>
      <c r="R114" s="183"/>
      <c r="S114" s="183"/>
      <c r="T114" s="183"/>
      <c r="U114" s="183"/>
      <c r="V114" s="183"/>
      <c r="W114" s="183"/>
      <c r="X114" s="183"/>
      <c r="Y114" s="183"/>
      <c r="Z114" s="183"/>
    </row>
    <row r="115" spans="1:26" ht="24" customHeight="1">
      <c r="A115" s="250" t="s">
        <v>13</v>
      </c>
      <c r="B115" s="251"/>
      <c r="C115" s="251"/>
      <c r="D115" s="252"/>
      <c r="E115" s="254" t="s">
        <v>95</v>
      </c>
      <c r="F115" s="255"/>
      <c r="G115" s="255"/>
      <c r="H115" s="255"/>
      <c r="I115" s="256"/>
      <c r="J115" s="245" t="s">
        <v>10</v>
      </c>
      <c r="K115" s="183"/>
      <c r="L115" s="183"/>
      <c r="M115" s="183"/>
      <c r="N115" s="183"/>
      <c r="O115" s="183"/>
      <c r="P115" s="183"/>
      <c r="Q115" s="183"/>
      <c r="R115" s="183"/>
      <c r="S115" s="183"/>
      <c r="T115" s="183"/>
      <c r="U115" s="183"/>
      <c r="V115" s="183"/>
      <c r="W115" s="183"/>
      <c r="X115" s="183"/>
      <c r="Y115" s="183"/>
      <c r="Z115" s="183"/>
    </row>
    <row r="116" spans="1:26" ht="24" customHeight="1">
      <c r="A116" s="201" t="s">
        <v>9</v>
      </c>
      <c r="B116" s="205" t="s">
        <v>16</v>
      </c>
      <c r="C116" s="206" t="s">
        <v>96</v>
      </c>
      <c r="D116" s="206" t="s">
        <v>39</v>
      </c>
      <c r="E116" s="206" t="s">
        <v>28</v>
      </c>
      <c r="F116" s="206" t="s">
        <v>29</v>
      </c>
      <c r="G116" s="206" t="s">
        <v>30</v>
      </c>
      <c r="H116" s="206" t="s">
        <v>31</v>
      </c>
      <c r="I116" s="206" t="s">
        <v>32</v>
      </c>
      <c r="J116" s="246"/>
      <c r="K116" s="183"/>
      <c r="L116" s="183"/>
      <c r="M116" s="183"/>
      <c r="N116" s="183"/>
      <c r="O116" s="183"/>
      <c r="P116" s="183"/>
      <c r="Q116" s="183"/>
      <c r="R116" s="183"/>
      <c r="S116" s="183"/>
      <c r="T116" s="183"/>
      <c r="U116" s="183"/>
      <c r="V116" s="183"/>
      <c r="W116" s="183"/>
      <c r="X116" s="183"/>
      <c r="Y116" s="183"/>
      <c r="Z116" s="183"/>
    </row>
    <row r="117" spans="1:26" ht="15.75" customHeight="1">
      <c r="A117" s="193">
        <v>1</v>
      </c>
      <c r="B117" s="69" t="s">
        <v>97</v>
      </c>
      <c r="C117" s="207">
        <v>24436</v>
      </c>
      <c r="D117" s="208" t="s">
        <v>111</v>
      </c>
      <c r="E117" s="209">
        <v>31</v>
      </c>
      <c r="F117" s="209">
        <v>28</v>
      </c>
      <c r="G117" s="209">
        <v>11</v>
      </c>
      <c r="H117" s="209">
        <v>53</v>
      </c>
      <c r="I117" s="209">
        <v>20</v>
      </c>
      <c r="J117" s="193">
        <v>143</v>
      </c>
      <c r="K117" s="183"/>
      <c r="L117" s="183"/>
      <c r="M117" s="183"/>
      <c r="N117" s="183"/>
      <c r="O117" s="183"/>
      <c r="P117" s="183"/>
      <c r="Q117" s="183"/>
      <c r="R117" s="183"/>
      <c r="S117" s="183"/>
      <c r="T117" s="183"/>
      <c r="U117" s="183"/>
      <c r="V117" s="183"/>
      <c r="W117" s="183"/>
      <c r="X117" s="183"/>
      <c r="Y117" s="183"/>
      <c r="Z117" s="183"/>
    </row>
    <row r="118" spans="1:26" ht="15.75" customHeight="1">
      <c r="A118" s="193">
        <v>2</v>
      </c>
      <c r="B118" s="69" t="s">
        <v>97</v>
      </c>
      <c r="C118" s="207">
        <v>24457</v>
      </c>
      <c r="D118" s="208" t="s">
        <v>112</v>
      </c>
      <c r="E118" s="209">
        <v>35</v>
      </c>
      <c r="F118" s="209">
        <v>32</v>
      </c>
      <c r="G118" s="209">
        <v>10</v>
      </c>
      <c r="H118" s="209">
        <v>70</v>
      </c>
      <c r="I118" s="209">
        <v>20</v>
      </c>
      <c r="J118" s="193">
        <v>167</v>
      </c>
      <c r="K118" s="183"/>
      <c r="L118" s="183"/>
      <c r="M118" s="183"/>
      <c r="N118" s="183"/>
      <c r="O118" s="183"/>
      <c r="P118" s="183"/>
      <c r="Q118" s="183"/>
      <c r="R118" s="183"/>
      <c r="S118" s="183"/>
      <c r="T118" s="183"/>
      <c r="U118" s="183"/>
      <c r="V118" s="183"/>
      <c r="W118" s="183"/>
      <c r="X118" s="183"/>
      <c r="Y118" s="183"/>
      <c r="Z118" s="183"/>
    </row>
    <row r="119" spans="1:26" ht="15.75" customHeight="1">
      <c r="A119" s="193">
        <v>3</v>
      </c>
      <c r="B119" s="69" t="s">
        <v>97</v>
      </c>
      <c r="C119" s="207">
        <v>24492</v>
      </c>
      <c r="D119" s="208" t="s">
        <v>113</v>
      </c>
      <c r="E119" s="209">
        <v>37</v>
      </c>
      <c r="F119" s="209">
        <v>34</v>
      </c>
      <c r="G119" s="209">
        <v>11</v>
      </c>
      <c r="H119" s="209">
        <v>53</v>
      </c>
      <c r="I119" s="209">
        <v>20</v>
      </c>
      <c r="J119" s="193">
        <v>155</v>
      </c>
      <c r="K119" s="183"/>
      <c r="L119" s="183"/>
      <c r="M119" s="183"/>
      <c r="N119" s="183"/>
      <c r="O119" s="183"/>
      <c r="P119" s="183"/>
      <c r="Q119" s="183"/>
      <c r="R119" s="183"/>
      <c r="S119" s="183"/>
      <c r="T119" s="183"/>
      <c r="U119" s="183"/>
      <c r="V119" s="183"/>
      <c r="W119" s="183"/>
      <c r="X119" s="183"/>
      <c r="Y119" s="183"/>
      <c r="Z119" s="183"/>
    </row>
    <row r="120" spans="1:26" ht="15.75" customHeight="1">
      <c r="A120" s="193">
        <v>4</v>
      </c>
      <c r="B120" s="69" t="s">
        <v>97</v>
      </c>
      <c r="C120" s="207">
        <v>24520</v>
      </c>
      <c r="D120" s="208" t="s">
        <v>114</v>
      </c>
      <c r="E120" s="209">
        <v>34</v>
      </c>
      <c r="F120" s="209">
        <v>20</v>
      </c>
      <c r="G120" s="209">
        <v>5</v>
      </c>
      <c r="H120" s="209">
        <v>46</v>
      </c>
      <c r="I120" s="209">
        <v>15</v>
      </c>
      <c r="J120" s="193">
        <v>120</v>
      </c>
      <c r="K120" s="183"/>
      <c r="L120" s="183"/>
      <c r="M120" s="183"/>
      <c r="N120" s="183"/>
      <c r="O120" s="183"/>
      <c r="P120" s="183"/>
      <c r="Q120" s="183"/>
      <c r="R120" s="183"/>
      <c r="S120" s="183"/>
      <c r="T120" s="183"/>
      <c r="U120" s="183"/>
      <c r="V120" s="183"/>
      <c r="W120" s="183"/>
      <c r="X120" s="183"/>
      <c r="Y120" s="183"/>
      <c r="Z120" s="183"/>
    </row>
    <row r="121" spans="1:26" ht="15.75" customHeight="1">
      <c r="A121" s="193">
        <v>5</v>
      </c>
      <c r="B121" s="69" t="s">
        <v>97</v>
      </c>
      <c r="C121" s="207">
        <v>24547</v>
      </c>
      <c r="D121" s="208" t="s">
        <v>115</v>
      </c>
      <c r="E121" s="209">
        <v>43</v>
      </c>
      <c r="F121" s="209">
        <v>32</v>
      </c>
      <c r="G121" s="209">
        <v>11</v>
      </c>
      <c r="H121" s="209">
        <v>49</v>
      </c>
      <c r="I121" s="209">
        <v>25</v>
      </c>
      <c r="J121" s="193">
        <v>160</v>
      </c>
      <c r="K121" s="183"/>
      <c r="L121" s="183"/>
      <c r="M121" s="183"/>
      <c r="N121" s="183"/>
      <c r="O121" s="183"/>
      <c r="P121" s="183"/>
      <c r="Q121" s="183"/>
      <c r="R121" s="183"/>
      <c r="S121" s="183"/>
      <c r="T121" s="183"/>
      <c r="U121" s="183"/>
      <c r="V121" s="183"/>
      <c r="W121" s="183"/>
      <c r="X121" s="183"/>
      <c r="Y121" s="183"/>
      <c r="Z121" s="183"/>
    </row>
    <row r="122" spans="1:26" ht="15.75" customHeight="1">
      <c r="A122" s="193">
        <v>6</v>
      </c>
      <c r="B122" s="69" t="s">
        <v>97</v>
      </c>
      <c r="C122" s="207">
        <v>24582</v>
      </c>
      <c r="D122" s="208" t="s">
        <v>116</v>
      </c>
      <c r="E122" s="209">
        <v>31</v>
      </c>
      <c r="F122" s="209">
        <v>20</v>
      </c>
      <c r="G122" s="209">
        <v>8</v>
      </c>
      <c r="H122" s="209">
        <v>40</v>
      </c>
      <c r="I122" s="209">
        <v>22</v>
      </c>
      <c r="J122" s="193">
        <v>121</v>
      </c>
      <c r="K122" s="183"/>
      <c r="L122" s="183"/>
      <c r="M122" s="183"/>
      <c r="N122" s="183"/>
      <c r="O122" s="183"/>
      <c r="P122" s="183"/>
      <c r="Q122" s="183"/>
      <c r="R122" s="183"/>
      <c r="S122" s="183"/>
      <c r="T122" s="183"/>
      <c r="U122" s="183"/>
      <c r="V122" s="183"/>
      <c r="W122" s="183"/>
      <c r="X122" s="183"/>
      <c r="Y122" s="183"/>
      <c r="Z122" s="183"/>
    </row>
    <row r="123" spans="1:26" ht="15.75" customHeight="1">
      <c r="A123" s="193">
        <v>7</v>
      </c>
      <c r="B123" s="69" t="s">
        <v>97</v>
      </c>
      <c r="C123" s="207">
        <v>24638</v>
      </c>
      <c r="D123" s="208" t="s">
        <v>117</v>
      </c>
      <c r="E123" s="209">
        <v>16</v>
      </c>
      <c r="F123" s="209">
        <v>23</v>
      </c>
      <c r="G123" s="209">
        <v>22</v>
      </c>
      <c r="H123" s="209">
        <v>52</v>
      </c>
      <c r="I123" s="209">
        <v>25</v>
      </c>
      <c r="J123" s="193">
        <v>138</v>
      </c>
      <c r="K123" s="183"/>
      <c r="L123" s="183"/>
      <c r="M123" s="183"/>
      <c r="N123" s="183"/>
      <c r="O123" s="183"/>
      <c r="P123" s="183"/>
      <c r="Q123" s="183"/>
      <c r="R123" s="183"/>
      <c r="S123" s="183"/>
      <c r="T123" s="183"/>
      <c r="U123" s="183"/>
      <c r="V123" s="183"/>
      <c r="W123" s="183"/>
      <c r="X123" s="183"/>
      <c r="Y123" s="183"/>
      <c r="Z123" s="183"/>
    </row>
    <row r="124" spans="1:26" ht="15.75" customHeight="1">
      <c r="A124" s="193">
        <v>8</v>
      </c>
      <c r="B124" s="69" t="s">
        <v>97</v>
      </c>
      <c r="C124" s="207">
        <v>24666</v>
      </c>
      <c r="D124" s="208" t="s">
        <v>118</v>
      </c>
      <c r="E124" s="209">
        <v>29</v>
      </c>
      <c r="F124" s="209">
        <v>22</v>
      </c>
      <c r="G124" s="209">
        <v>10</v>
      </c>
      <c r="H124" s="209">
        <v>54</v>
      </c>
      <c r="I124" s="209">
        <v>26</v>
      </c>
      <c r="J124" s="193">
        <v>141</v>
      </c>
      <c r="K124" s="183"/>
      <c r="L124" s="183"/>
      <c r="M124" s="183"/>
      <c r="N124" s="183"/>
      <c r="O124" s="183"/>
      <c r="P124" s="183"/>
      <c r="Q124" s="183"/>
      <c r="R124" s="183"/>
      <c r="S124" s="183"/>
      <c r="T124" s="183"/>
      <c r="U124" s="183"/>
      <c r="V124" s="183"/>
      <c r="W124" s="183"/>
      <c r="X124" s="183"/>
      <c r="Y124" s="183"/>
      <c r="Z124" s="183"/>
    </row>
    <row r="125" spans="1:26" ht="15.75" customHeight="1">
      <c r="A125" s="193">
        <v>9</v>
      </c>
      <c r="B125" s="69" t="s">
        <v>97</v>
      </c>
      <c r="C125" s="207">
        <v>24708</v>
      </c>
      <c r="D125" s="208" t="s">
        <v>119</v>
      </c>
      <c r="E125" s="209">
        <v>25</v>
      </c>
      <c r="F125" s="209">
        <v>21</v>
      </c>
      <c r="G125" s="209">
        <v>3</v>
      </c>
      <c r="H125" s="209">
        <v>72</v>
      </c>
      <c r="I125" s="209">
        <v>23</v>
      </c>
      <c r="J125" s="193">
        <v>144</v>
      </c>
      <c r="K125" s="183"/>
      <c r="L125" s="183"/>
      <c r="M125" s="183"/>
      <c r="N125" s="183"/>
      <c r="O125" s="183"/>
      <c r="P125" s="183"/>
      <c r="Q125" s="183"/>
      <c r="R125" s="183"/>
      <c r="S125" s="183"/>
      <c r="T125" s="183"/>
      <c r="U125" s="183"/>
      <c r="V125" s="183"/>
      <c r="W125" s="183"/>
      <c r="X125" s="183"/>
      <c r="Y125" s="183"/>
      <c r="Z125" s="183"/>
    </row>
    <row r="126" spans="1:26" ht="15.75" customHeight="1">
      <c r="A126" s="193">
        <v>10</v>
      </c>
      <c r="B126" s="69" t="s">
        <v>97</v>
      </c>
      <c r="C126" s="207">
        <v>24736</v>
      </c>
      <c r="D126" s="208" t="s">
        <v>120</v>
      </c>
      <c r="E126" s="209">
        <v>33</v>
      </c>
      <c r="F126" s="209">
        <v>38</v>
      </c>
      <c r="G126" s="209">
        <v>14</v>
      </c>
      <c r="H126" s="209">
        <v>18</v>
      </c>
      <c r="I126" s="209">
        <v>19</v>
      </c>
      <c r="J126" s="193">
        <v>122</v>
      </c>
      <c r="K126" s="183"/>
      <c r="L126" s="183"/>
      <c r="M126" s="183"/>
      <c r="N126" s="183"/>
      <c r="O126" s="183"/>
      <c r="P126" s="183"/>
      <c r="Q126" s="183"/>
      <c r="R126" s="183"/>
      <c r="S126" s="183"/>
      <c r="T126" s="183"/>
      <c r="U126" s="183"/>
      <c r="V126" s="183"/>
      <c r="W126" s="183"/>
      <c r="X126" s="183"/>
      <c r="Y126" s="183"/>
      <c r="Z126" s="183"/>
    </row>
    <row r="127" spans="1:26" ht="24" customHeight="1">
      <c r="A127" s="247" t="s">
        <v>10</v>
      </c>
      <c r="B127" s="248"/>
      <c r="C127" s="248"/>
      <c r="D127" s="249"/>
      <c r="E127" s="203">
        <v>314</v>
      </c>
      <c r="F127" s="204">
        <v>270</v>
      </c>
      <c r="G127" s="204">
        <v>105</v>
      </c>
      <c r="H127" s="204">
        <v>507</v>
      </c>
      <c r="I127" s="204">
        <v>215</v>
      </c>
      <c r="J127" s="210">
        <v>1411</v>
      </c>
      <c r="K127" s="183"/>
      <c r="L127" s="183"/>
      <c r="M127" s="183"/>
      <c r="N127" s="183"/>
      <c r="O127" s="183"/>
      <c r="P127" s="183"/>
      <c r="Q127" s="183"/>
      <c r="R127" s="183"/>
      <c r="S127" s="183"/>
      <c r="T127" s="183"/>
      <c r="U127" s="183"/>
      <c r="V127" s="183"/>
      <c r="W127" s="183"/>
      <c r="X127" s="183"/>
      <c r="Y127" s="183"/>
      <c r="Z127" s="183"/>
    </row>
    <row r="128" spans="1:26" ht="24" customHeight="1">
      <c r="A128" s="186"/>
      <c r="B128" s="183"/>
      <c r="C128" s="186"/>
      <c r="D128" s="190"/>
      <c r="E128" s="186"/>
      <c r="F128" s="183"/>
      <c r="G128" s="183"/>
      <c r="H128" s="183"/>
      <c r="I128" s="183"/>
      <c r="J128" s="183"/>
      <c r="K128" s="183"/>
      <c r="L128" s="183"/>
      <c r="M128" s="183"/>
      <c r="N128" s="183"/>
      <c r="O128" s="183"/>
      <c r="P128" s="183"/>
      <c r="Q128" s="183"/>
      <c r="R128" s="183"/>
      <c r="S128" s="183"/>
      <c r="T128" s="183"/>
      <c r="U128" s="183"/>
      <c r="V128" s="183"/>
      <c r="W128" s="183"/>
      <c r="X128" s="183"/>
      <c r="Y128" s="183"/>
      <c r="Z128" s="183"/>
    </row>
    <row r="129" spans="1:26" ht="24" customHeight="1">
      <c r="A129" s="250" t="s">
        <v>14</v>
      </c>
      <c r="B129" s="251"/>
      <c r="C129" s="251"/>
      <c r="D129" s="252"/>
      <c r="E129" s="253" t="s">
        <v>95</v>
      </c>
      <c r="F129" s="251"/>
      <c r="G129" s="251"/>
      <c r="H129" s="251"/>
      <c r="I129" s="252"/>
      <c r="J129" s="245" t="s">
        <v>10</v>
      </c>
      <c r="K129" s="183"/>
      <c r="L129" s="183"/>
      <c r="M129" s="183"/>
      <c r="N129" s="183"/>
      <c r="O129" s="183"/>
      <c r="P129" s="183"/>
      <c r="Q129" s="183"/>
      <c r="R129" s="183"/>
      <c r="S129" s="183"/>
      <c r="T129" s="183"/>
      <c r="U129" s="183"/>
      <c r="V129" s="183"/>
      <c r="W129" s="183"/>
      <c r="X129" s="183"/>
      <c r="Y129" s="183"/>
      <c r="Z129" s="183"/>
    </row>
    <row r="130" spans="1:26" ht="24" customHeight="1">
      <c r="A130" s="201" t="s">
        <v>9</v>
      </c>
      <c r="B130" s="206" t="s">
        <v>16</v>
      </c>
      <c r="C130" s="206" t="s">
        <v>96</v>
      </c>
      <c r="D130" s="206" t="s">
        <v>39</v>
      </c>
      <c r="E130" s="206" t="s">
        <v>28</v>
      </c>
      <c r="F130" s="206" t="s">
        <v>29</v>
      </c>
      <c r="G130" s="206" t="s">
        <v>30</v>
      </c>
      <c r="H130" s="206" t="s">
        <v>31</v>
      </c>
      <c r="I130" s="206" t="s">
        <v>32</v>
      </c>
      <c r="J130" s="246"/>
      <c r="K130" s="183"/>
      <c r="L130" s="183"/>
      <c r="M130" s="183"/>
      <c r="N130" s="183"/>
      <c r="O130" s="183"/>
      <c r="P130" s="183"/>
      <c r="Q130" s="183"/>
      <c r="R130" s="183"/>
      <c r="S130" s="183"/>
      <c r="T130" s="183"/>
      <c r="U130" s="183"/>
      <c r="V130" s="183"/>
      <c r="W130" s="183"/>
      <c r="X130" s="183"/>
      <c r="Y130" s="183"/>
      <c r="Z130" s="183"/>
    </row>
    <row r="131" spans="1:26" ht="15.75" customHeight="1">
      <c r="A131" s="193">
        <v>1</v>
      </c>
      <c r="B131" s="69" t="s">
        <v>97</v>
      </c>
      <c r="C131" s="207">
        <v>24764</v>
      </c>
      <c r="D131" s="209" t="s">
        <v>121</v>
      </c>
      <c r="E131" s="209">
        <v>25</v>
      </c>
      <c r="F131" s="209">
        <v>24</v>
      </c>
      <c r="G131" s="209" t="s">
        <v>15</v>
      </c>
      <c r="H131" s="209">
        <v>67</v>
      </c>
      <c r="I131" s="209">
        <v>21</v>
      </c>
      <c r="J131" s="193">
        <v>137</v>
      </c>
      <c r="K131" s="183"/>
      <c r="L131" s="183"/>
      <c r="M131" s="183"/>
      <c r="N131" s="183"/>
      <c r="O131" s="183"/>
      <c r="P131" s="183"/>
      <c r="Q131" s="183"/>
      <c r="R131" s="183"/>
      <c r="S131" s="183"/>
      <c r="T131" s="183"/>
      <c r="U131" s="183"/>
      <c r="V131" s="183"/>
      <c r="W131" s="183"/>
      <c r="X131" s="183"/>
      <c r="Y131" s="183"/>
      <c r="Z131" s="183"/>
    </row>
    <row r="132" spans="1:26" ht="15.75" customHeight="1">
      <c r="A132" s="193">
        <v>2</v>
      </c>
      <c r="B132" s="69" t="s">
        <v>97</v>
      </c>
      <c r="C132" s="207">
        <v>24919</v>
      </c>
      <c r="D132" s="209" t="s">
        <v>122</v>
      </c>
      <c r="E132" s="209">
        <v>21</v>
      </c>
      <c r="F132" s="209">
        <v>22</v>
      </c>
      <c r="G132" s="209" t="s">
        <v>15</v>
      </c>
      <c r="H132" s="209">
        <v>111</v>
      </c>
      <c r="I132" s="209">
        <v>20</v>
      </c>
      <c r="J132" s="193">
        <v>174</v>
      </c>
      <c r="K132" s="183"/>
      <c r="L132" s="183"/>
      <c r="M132" s="183"/>
      <c r="N132" s="183"/>
      <c r="O132" s="183"/>
      <c r="P132" s="183"/>
      <c r="Q132" s="183"/>
      <c r="R132" s="183"/>
      <c r="S132" s="183"/>
      <c r="T132" s="183"/>
      <c r="U132" s="183"/>
      <c r="V132" s="183"/>
      <c r="W132" s="183"/>
      <c r="X132" s="183"/>
      <c r="Y132" s="183"/>
      <c r="Z132" s="183"/>
    </row>
    <row r="133" spans="1:26" ht="15.75" customHeight="1">
      <c r="A133" s="193">
        <v>3</v>
      </c>
      <c r="B133" s="69" t="s">
        <v>97</v>
      </c>
      <c r="C133" s="207">
        <v>24975</v>
      </c>
      <c r="D133" s="209" t="s">
        <v>123</v>
      </c>
      <c r="E133" s="209">
        <v>36</v>
      </c>
      <c r="F133" s="209">
        <v>25</v>
      </c>
      <c r="G133" s="209" t="s">
        <v>15</v>
      </c>
      <c r="H133" s="209">
        <v>53</v>
      </c>
      <c r="I133" s="209">
        <v>33</v>
      </c>
      <c r="J133" s="193">
        <v>147</v>
      </c>
      <c r="K133" s="183"/>
      <c r="L133" s="183"/>
      <c r="M133" s="183"/>
      <c r="N133" s="183"/>
      <c r="O133" s="183"/>
      <c r="P133" s="183"/>
      <c r="Q133" s="183"/>
      <c r="R133" s="183"/>
      <c r="S133" s="183"/>
      <c r="T133" s="183"/>
      <c r="U133" s="183"/>
      <c r="V133" s="183"/>
      <c r="W133" s="183"/>
      <c r="X133" s="183"/>
      <c r="Y133" s="183"/>
      <c r="Z133" s="183"/>
    </row>
    <row r="134" spans="1:26" ht="15.75" customHeight="1">
      <c r="A134" s="193">
        <v>4</v>
      </c>
      <c r="B134" s="69" t="s">
        <v>97</v>
      </c>
      <c r="C134" s="207">
        <v>25073</v>
      </c>
      <c r="D134" s="209" t="s">
        <v>124</v>
      </c>
      <c r="E134" s="209">
        <v>26</v>
      </c>
      <c r="F134" s="209">
        <v>38</v>
      </c>
      <c r="G134" s="211" t="s">
        <v>15</v>
      </c>
      <c r="H134" s="209">
        <v>58</v>
      </c>
      <c r="I134" s="209">
        <v>26</v>
      </c>
      <c r="J134" s="193">
        <v>148</v>
      </c>
      <c r="K134" s="183"/>
      <c r="L134" s="183"/>
      <c r="M134" s="183"/>
      <c r="N134" s="183"/>
      <c r="O134" s="183"/>
      <c r="P134" s="183"/>
      <c r="Q134" s="183"/>
      <c r="R134" s="183"/>
      <c r="S134" s="183"/>
      <c r="T134" s="183"/>
      <c r="U134" s="183"/>
      <c r="V134" s="183"/>
      <c r="W134" s="183"/>
      <c r="X134" s="183"/>
      <c r="Y134" s="183"/>
      <c r="Z134" s="183"/>
    </row>
    <row r="135" spans="1:26" ht="15.75" customHeight="1">
      <c r="A135" s="193">
        <v>5</v>
      </c>
      <c r="B135" s="69" t="s">
        <v>97</v>
      </c>
      <c r="C135" s="207">
        <v>25101</v>
      </c>
      <c r="D135" s="209" t="s">
        <v>125</v>
      </c>
      <c r="E135" s="209">
        <v>35</v>
      </c>
      <c r="F135" s="209">
        <v>40</v>
      </c>
      <c r="G135" s="211" t="s">
        <v>15</v>
      </c>
      <c r="H135" s="209">
        <v>41</v>
      </c>
      <c r="I135" s="209">
        <v>20</v>
      </c>
      <c r="J135" s="193">
        <v>136</v>
      </c>
      <c r="K135" s="183"/>
      <c r="L135" s="183"/>
      <c r="M135" s="183"/>
      <c r="N135" s="183"/>
      <c r="O135" s="183"/>
      <c r="P135" s="183"/>
      <c r="Q135" s="183"/>
      <c r="R135" s="183"/>
      <c r="S135" s="183"/>
      <c r="T135" s="183"/>
      <c r="U135" s="183"/>
      <c r="V135" s="183"/>
      <c r="W135" s="183"/>
      <c r="X135" s="183"/>
      <c r="Y135" s="183"/>
      <c r="Z135" s="183"/>
    </row>
    <row r="136" spans="1:26" ht="24" customHeight="1">
      <c r="A136" s="247" t="s">
        <v>10</v>
      </c>
      <c r="B136" s="248"/>
      <c r="C136" s="248"/>
      <c r="D136" s="249"/>
      <c r="E136" s="203">
        <v>143</v>
      </c>
      <c r="F136" s="204">
        <v>149</v>
      </c>
      <c r="G136" s="204" t="s">
        <v>15</v>
      </c>
      <c r="H136" s="204">
        <v>330</v>
      </c>
      <c r="I136" s="204">
        <v>120</v>
      </c>
      <c r="J136" s="204">
        <v>742</v>
      </c>
      <c r="K136" s="183"/>
      <c r="L136" s="183"/>
      <c r="M136" s="183"/>
      <c r="N136" s="183"/>
      <c r="O136" s="183"/>
      <c r="P136" s="183"/>
      <c r="Q136" s="183"/>
      <c r="R136" s="183"/>
      <c r="S136" s="183"/>
      <c r="T136" s="183"/>
      <c r="U136" s="183"/>
      <c r="V136" s="183"/>
      <c r="W136" s="183"/>
      <c r="X136" s="183"/>
      <c r="Y136" s="183"/>
      <c r="Z136" s="183"/>
    </row>
    <row r="137" spans="1:26" ht="24" customHeight="1">
      <c r="A137" s="186"/>
      <c r="B137" s="183"/>
      <c r="C137" s="186"/>
      <c r="D137" s="190"/>
      <c r="E137" s="186"/>
      <c r="F137" s="183"/>
      <c r="G137" s="183"/>
      <c r="H137" s="183"/>
      <c r="I137" s="183"/>
      <c r="J137" s="183"/>
      <c r="K137" s="183"/>
      <c r="L137" s="183"/>
      <c r="M137" s="183"/>
      <c r="N137" s="183"/>
      <c r="O137" s="183"/>
      <c r="P137" s="183"/>
      <c r="Q137" s="183"/>
      <c r="R137" s="183"/>
      <c r="S137" s="183"/>
      <c r="T137" s="183"/>
      <c r="U137" s="183"/>
      <c r="V137" s="183"/>
      <c r="W137" s="183"/>
      <c r="X137" s="183"/>
      <c r="Y137" s="183"/>
      <c r="Z137" s="183"/>
    </row>
    <row r="138" spans="1:26" ht="24" customHeight="1">
      <c r="A138" s="186"/>
      <c r="B138" s="183"/>
      <c r="C138" s="186"/>
      <c r="D138" s="190"/>
      <c r="E138" s="186"/>
      <c r="F138" s="183"/>
      <c r="G138" s="183"/>
      <c r="H138" s="183"/>
      <c r="I138" s="183"/>
      <c r="J138" s="183"/>
      <c r="K138" s="183"/>
      <c r="L138" s="183"/>
      <c r="M138" s="183"/>
      <c r="N138" s="183"/>
      <c r="O138" s="183"/>
      <c r="P138" s="183"/>
      <c r="Q138" s="183"/>
      <c r="R138" s="183"/>
      <c r="S138" s="183"/>
      <c r="T138" s="183"/>
      <c r="U138" s="183"/>
      <c r="V138" s="183"/>
      <c r="W138" s="183"/>
      <c r="X138" s="183"/>
      <c r="Y138" s="183"/>
      <c r="Z138" s="183"/>
    </row>
    <row r="139" spans="1:26" ht="24" customHeight="1">
      <c r="A139" s="186"/>
      <c r="B139" s="183"/>
      <c r="C139" s="186"/>
      <c r="D139" s="190"/>
      <c r="E139" s="186"/>
      <c r="F139" s="183"/>
      <c r="G139" s="183"/>
      <c r="H139" s="183"/>
      <c r="I139" s="183"/>
      <c r="J139" s="183"/>
      <c r="K139" s="183"/>
      <c r="L139" s="183"/>
      <c r="M139" s="183"/>
      <c r="N139" s="183"/>
      <c r="O139" s="183"/>
      <c r="P139" s="183"/>
      <c r="Q139" s="183"/>
      <c r="R139" s="183"/>
      <c r="S139" s="183"/>
      <c r="T139" s="183"/>
      <c r="U139" s="183"/>
      <c r="V139" s="183"/>
      <c r="W139" s="183"/>
      <c r="X139" s="183"/>
      <c r="Y139" s="183"/>
      <c r="Z139" s="183"/>
    </row>
    <row r="140" spans="1:26" ht="24" customHeight="1">
      <c r="A140" s="186"/>
      <c r="B140" s="183"/>
      <c r="C140" s="186"/>
      <c r="D140" s="183"/>
      <c r="E140" s="186"/>
      <c r="F140" s="183"/>
      <c r="G140" s="183"/>
      <c r="H140" s="183"/>
      <c r="I140" s="183"/>
      <c r="J140" s="183"/>
      <c r="K140" s="183"/>
      <c r="L140" s="183"/>
      <c r="M140" s="183"/>
      <c r="N140" s="183"/>
      <c r="O140" s="183"/>
      <c r="P140" s="183"/>
      <c r="Q140" s="183"/>
      <c r="R140" s="183"/>
      <c r="S140" s="183"/>
      <c r="T140" s="183"/>
      <c r="U140" s="183"/>
      <c r="V140" s="183"/>
      <c r="W140" s="183"/>
      <c r="X140" s="183"/>
      <c r="Y140" s="183"/>
      <c r="Z140" s="183"/>
    </row>
    <row r="141" spans="1:26" ht="24" customHeight="1">
      <c r="A141" s="186"/>
      <c r="B141" s="183"/>
      <c r="C141" s="186"/>
      <c r="D141" s="183"/>
      <c r="E141" s="186"/>
      <c r="F141" s="183"/>
      <c r="G141" s="183"/>
      <c r="H141" s="183"/>
      <c r="I141" s="183"/>
      <c r="J141" s="183"/>
      <c r="K141" s="183"/>
      <c r="L141" s="183"/>
      <c r="M141" s="183"/>
      <c r="N141" s="183"/>
      <c r="O141" s="183"/>
      <c r="P141" s="183"/>
      <c r="Q141" s="183"/>
      <c r="R141" s="183"/>
      <c r="S141" s="183"/>
      <c r="T141" s="183"/>
      <c r="U141" s="183"/>
      <c r="V141" s="183"/>
      <c r="W141" s="183"/>
      <c r="X141" s="183"/>
      <c r="Y141" s="183"/>
      <c r="Z141" s="183"/>
    </row>
    <row r="142" spans="1:26" ht="24" customHeight="1">
      <c r="A142" s="186"/>
      <c r="B142" s="183"/>
      <c r="C142" s="186"/>
      <c r="D142" s="183"/>
      <c r="E142" s="186"/>
      <c r="F142" s="183"/>
      <c r="G142" s="183"/>
      <c r="H142" s="183"/>
      <c r="I142" s="183"/>
      <c r="J142" s="183"/>
      <c r="K142" s="183"/>
      <c r="L142" s="183"/>
      <c r="M142" s="183"/>
      <c r="N142" s="183"/>
      <c r="O142" s="183"/>
      <c r="P142" s="183"/>
      <c r="Q142" s="183"/>
      <c r="R142" s="183"/>
      <c r="S142" s="183"/>
      <c r="T142" s="183"/>
      <c r="U142" s="183"/>
      <c r="V142" s="183"/>
      <c r="W142" s="183"/>
      <c r="X142" s="183"/>
      <c r="Y142" s="183"/>
      <c r="Z142" s="183"/>
    </row>
    <row r="143" spans="1:26" ht="24" customHeight="1">
      <c r="A143" s="186"/>
      <c r="B143" s="183"/>
      <c r="C143" s="186"/>
      <c r="D143" s="183"/>
      <c r="E143" s="186"/>
      <c r="F143" s="183"/>
      <c r="G143" s="183"/>
      <c r="H143" s="183"/>
      <c r="I143" s="183"/>
      <c r="J143" s="183"/>
      <c r="K143" s="183"/>
      <c r="L143" s="183"/>
      <c r="M143" s="183"/>
      <c r="N143" s="183"/>
      <c r="O143" s="183"/>
      <c r="P143" s="183"/>
      <c r="Q143" s="183"/>
      <c r="R143" s="183"/>
      <c r="S143" s="183"/>
      <c r="T143" s="183"/>
      <c r="U143" s="183"/>
      <c r="V143" s="183"/>
      <c r="W143" s="183"/>
      <c r="X143" s="183"/>
      <c r="Y143" s="183"/>
      <c r="Z143" s="183"/>
    </row>
    <row r="144" spans="1:26" ht="24" customHeight="1">
      <c r="A144" s="186"/>
      <c r="B144" s="183"/>
      <c r="C144" s="186"/>
      <c r="D144" s="183"/>
      <c r="E144" s="186"/>
      <c r="F144" s="183"/>
      <c r="G144" s="183"/>
      <c r="H144" s="183"/>
      <c r="I144" s="183"/>
      <c r="J144" s="183"/>
      <c r="K144" s="183"/>
      <c r="L144" s="183"/>
      <c r="M144" s="183"/>
      <c r="N144" s="183"/>
      <c r="O144" s="183"/>
      <c r="P144" s="183"/>
      <c r="Q144" s="183"/>
      <c r="R144" s="183"/>
      <c r="S144" s="183"/>
      <c r="T144" s="183"/>
      <c r="U144" s="183"/>
      <c r="V144" s="183"/>
      <c r="W144" s="183"/>
      <c r="X144" s="183"/>
      <c r="Y144" s="183"/>
      <c r="Z144" s="183"/>
    </row>
    <row r="145" spans="1:26" ht="24" customHeight="1">
      <c r="A145" s="186"/>
      <c r="B145" s="183"/>
      <c r="C145" s="186"/>
      <c r="D145" s="183"/>
      <c r="E145" s="186"/>
      <c r="F145" s="183"/>
      <c r="G145" s="183"/>
      <c r="H145" s="183"/>
      <c r="I145" s="183"/>
      <c r="J145" s="183"/>
      <c r="K145" s="183"/>
      <c r="L145" s="183"/>
      <c r="M145" s="183"/>
      <c r="N145" s="183"/>
      <c r="O145" s="183"/>
      <c r="P145" s="183"/>
      <c r="Q145" s="183"/>
      <c r="R145" s="183"/>
      <c r="S145" s="183"/>
      <c r="T145" s="183"/>
      <c r="U145" s="183"/>
      <c r="V145" s="183"/>
      <c r="W145" s="183"/>
      <c r="X145" s="183"/>
      <c r="Y145" s="183"/>
      <c r="Z145" s="183"/>
    </row>
    <row r="146" spans="1:26" ht="24" customHeight="1">
      <c r="A146" s="186"/>
      <c r="B146" s="183"/>
      <c r="C146" s="186"/>
      <c r="D146" s="183"/>
      <c r="E146" s="186"/>
      <c r="F146" s="183"/>
      <c r="G146" s="183"/>
      <c r="H146" s="183"/>
      <c r="I146" s="183"/>
      <c r="J146" s="183"/>
      <c r="K146" s="183"/>
      <c r="L146" s="183"/>
      <c r="M146" s="183"/>
      <c r="N146" s="183"/>
      <c r="O146" s="183"/>
      <c r="P146" s="183"/>
      <c r="Q146" s="183"/>
      <c r="R146" s="183"/>
      <c r="S146" s="183"/>
      <c r="T146" s="183"/>
      <c r="U146" s="183"/>
      <c r="V146" s="183"/>
      <c r="W146" s="183"/>
      <c r="X146" s="183"/>
      <c r="Y146" s="183"/>
      <c r="Z146" s="183"/>
    </row>
    <row r="147" spans="1:26" ht="24" customHeight="1">
      <c r="A147" s="186"/>
      <c r="B147" s="183"/>
      <c r="C147" s="186"/>
      <c r="D147" s="183"/>
      <c r="E147" s="186"/>
      <c r="F147" s="183"/>
      <c r="G147" s="183"/>
      <c r="H147" s="183"/>
      <c r="I147" s="183"/>
      <c r="J147" s="183"/>
      <c r="K147" s="183"/>
      <c r="L147" s="183"/>
      <c r="M147" s="183"/>
      <c r="N147" s="183"/>
      <c r="O147" s="183"/>
      <c r="P147" s="183"/>
      <c r="Q147" s="183"/>
      <c r="R147" s="183"/>
      <c r="S147" s="183"/>
      <c r="T147" s="183"/>
      <c r="U147" s="183"/>
      <c r="V147" s="183"/>
      <c r="W147" s="183"/>
      <c r="X147" s="183"/>
      <c r="Y147" s="183"/>
      <c r="Z147" s="183"/>
    </row>
    <row r="148" spans="1:26" ht="24" customHeight="1">
      <c r="A148" s="186"/>
      <c r="B148" s="183"/>
      <c r="C148" s="186"/>
      <c r="D148" s="183"/>
      <c r="E148" s="186"/>
      <c r="F148" s="183"/>
      <c r="G148" s="183"/>
      <c r="H148" s="183"/>
      <c r="I148" s="183"/>
      <c r="J148" s="183"/>
      <c r="K148" s="183"/>
      <c r="L148" s="183"/>
      <c r="M148" s="183"/>
      <c r="N148" s="183"/>
      <c r="O148" s="183"/>
      <c r="P148" s="183"/>
      <c r="Q148" s="183"/>
      <c r="R148" s="183"/>
      <c r="S148" s="183"/>
      <c r="T148" s="183"/>
      <c r="U148" s="183"/>
      <c r="V148" s="183"/>
      <c r="W148" s="183"/>
      <c r="X148" s="183"/>
      <c r="Y148" s="183"/>
      <c r="Z148" s="183"/>
    </row>
    <row r="149" spans="1:26" ht="24" customHeight="1">
      <c r="A149" s="186"/>
      <c r="B149" s="183"/>
      <c r="C149" s="186"/>
      <c r="D149" s="183"/>
      <c r="E149" s="186"/>
      <c r="F149" s="183"/>
      <c r="G149" s="183"/>
      <c r="H149" s="183"/>
      <c r="I149" s="183"/>
      <c r="J149" s="183"/>
      <c r="K149" s="183"/>
      <c r="L149" s="183"/>
      <c r="M149" s="183"/>
      <c r="N149" s="183"/>
      <c r="O149" s="183"/>
      <c r="P149" s="183"/>
      <c r="Q149" s="183"/>
      <c r="R149" s="183"/>
      <c r="S149" s="183"/>
      <c r="T149" s="183"/>
      <c r="U149" s="183"/>
      <c r="V149" s="183"/>
      <c r="W149" s="183"/>
      <c r="X149" s="183"/>
      <c r="Y149" s="183"/>
      <c r="Z149" s="183"/>
    </row>
    <row r="150" spans="1:26" ht="24" customHeight="1">
      <c r="A150" s="186"/>
      <c r="B150" s="183"/>
      <c r="C150" s="186"/>
      <c r="D150" s="183"/>
      <c r="E150" s="186"/>
      <c r="F150" s="183"/>
      <c r="G150" s="183"/>
      <c r="H150" s="183"/>
      <c r="I150" s="183"/>
      <c r="J150" s="183"/>
      <c r="K150" s="183"/>
      <c r="L150" s="183"/>
      <c r="M150" s="183"/>
      <c r="N150" s="183"/>
      <c r="O150" s="183"/>
      <c r="P150" s="183"/>
      <c r="Q150" s="183"/>
      <c r="R150" s="183"/>
      <c r="S150" s="183"/>
      <c r="T150" s="183"/>
      <c r="U150" s="183"/>
      <c r="V150" s="183"/>
      <c r="W150" s="183"/>
      <c r="X150" s="183"/>
      <c r="Y150" s="183"/>
      <c r="Z150" s="183"/>
    </row>
    <row r="151" spans="1:26" ht="24" customHeight="1">
      <c r="A151" s="186"/>
      <c r="B151" s="183"/>
      <c r="C151" s="186"/>
      <c r="D151" s="183"/>
      <c r="E151" s="186"/>
      <c r="F151" s="183"/>
      <c r="G151" s="183"/>
      <c r="H151" s="183"/>
      <c r="I151" s="183"/>
      <c r="J151" s="183"/>
      <c r="K151" s="183"/>
      <c r="L151" s="183"/>
      <c r="M151" s="183"/>
      <c r="N151" s="183"/>
      <c r="O151" s="183"/>
      <c r="P151" s="183"/>
      <c r="Q151" s="183"/>
      <c r="R151" s="183"/>
      <c r="S151" s="183"/>
      <c r="T151" s="183"/>
      <c r="U151" s="183"/>
      <c r="V151" s="183"/>
      <c r="W151" s="183"/>
      <c r="X151" s="183"/>
      <c r="Y151" s="183"/>
      <c r="Z151" s="183"/>
    </row>
    <row r="152" spans="1:26" ht="24" customHeight="1">
      <c r="A152" s="186"/>
      <c r="B152" s="183"/>
      <c r="C152" s="186"/>
      <c r="D152" s="183"/>
      <c r="E152" s="186"/>
      <c r="F152" s="183"/>
      <c r="G152" s="183"/>
      <c r="H152" s="183"/>
      <c r="I152" s="183"/>
      <c r="J152" s="183"/>
      <c r="K152" s="183"/>
      <c r="L152" s="183"/>
      <c r="M152" s="183"/>
      <c r="N152" s="183"/>
      <c r="O152" s="183"/>
      <c r="P152" s="183"/>
      <c r="Q152" s="183"/>
      <c r="R152" s="183"/>
      <c r="S152" s="183"/>
      <c r="T152" s="183"/>
      <c r="U152" s="183"/>
      <c r="V152" s="183"/>
      <c r="W152" s="183"/>
      <c r="X152" s="183"/>
      <c r="Y152" s="183"/>
      <c r="Z152" s="183"/>
    </row>
    <row r="153" spans="1:26" ht="24" customHeight="1">
      <c r="A153" s="186"/>
      <c r="B153" s="183"/>
      <c r="C153" s="186"/>
      <c r="D153" s="183"/>
      <c r="E153" s="186"/>
      <c r="F153" s="183"/>
      <c r="G153" s="183"/>
      <c r="H153" s="183"/>
      <c r="I153" s="183"/>
      <c r="J153" s="183"/>
      <c r="K153" s="183"/>
      <c r="L153" s="183"/>
      <c r="M153" s="183"/>
      <c r="N153" s="183"/>
      <c r="O153" s="183"/>
      <c r="P153" s="183"/>
      <c r="Q153" s="183"/>
      <c r="R153" s="183"/>
      <c r="S153" s="183"/>
      <c r="T153" s="183"/>
      <c r="U153" s="183"/>
      <c r="V153" s="183"/>
      <c r="W153" s="183"/>
      <c r="X153" s="183"/>
      <c r="Y153" s="183"/>
      <c r="Z153" s="183"/>
    </row>
    <row r="154" spans="1:26" ht="24" customHeight="1">
      <c r="A154" s="186"/>
      <c r="B154" s="183"/>
      <c r="C154" s="186"/>
      <c r="D154" s="183"/>
      <c r="E154" s="186"/>
      <c r="F154" s="183"/>
      <c r="G154" s="183"/>
      <c r="H154" s="183"/>
      <c r="I154" s="183"/>
      <c r="J154" s="183"/>
      <c r="K154" s="183"/>
      <c r="L154" s="183"/>
      <c r="M154" s="183"/>
      <c r="N154" s="183"/>
      <c r="O154" s="183"/>
      <c r="P154" s="183"/>
      <c r="Q154" s="183"/>
      <c r="R154" s="183"/>
      <c r="S154" s="183"/>
      <c r="T154" s="183"/>
      <c r="U154" s="183"/>
      <c r="V154" s="183"/>
      <c r="W154" s="183"/>
      <c r="X154" s="183"/>
      <c r="Y154" s="183"/>
      <c r="Z154" s="183"/>
    </row>
    <row r="155" spans="1:26" ht="24" customHeight="1">
      <c r="A155" s="186"/>
      <c r="B155" s="183"/>
      <c r="C155" s="186"/>
      <c r="D155" s="183"/>
      <c r="E155" s="186"/>
      <c r="F155" s="183"/>
      <c r="G155" s="183"/>
      <c r="H155" s="183"/>
      <c r="I155" s="183"/>
      <c r="J155" s="183"/>
      <c r="K155" s="183"/>
      <c r="L155" s="183"/>
      <c r="M155" s="183"/>
      <c r="N155" s="183"/>
      <c r="O155" s="183"/>
      <c r="P155" s="183"/>
      <c r="Q155" s="183"/>
      <c r="R155" s="183"/>
      <c r="S155" s="183"/>
      <c r="T155" s="183"/>
      <c r="U155" s="183"/>
      <c r="V155" s="183"/>
      <c r="W155" s="183"/>
      <c r="X155" s="183"/>
      <c r="Y155" s="183"/>
      <c r="Z155" s="183"/>
    </row>
    <row r="156" spans="1:26" ht="24" customHeight="1">
      <c r="A156" s="186"/>
      <c r="B156" s="183"/>
      <c r="C156" s="186"/>
      <c r="D156" s="183"/>
      <c r="E156" s="186"/>
      <c r="F156" s="183"/>
      <c r="G156" s="183"/>
      <c r="H156" s="183"/>
      <c r="I156" s="183"/>
      <c r="J156" s="183"/>
      <c r="K156" s="183"/>
      <c r="L156" s="183"/>
      <c r="M156" s="183"/>
      <c r="N156" s="183"/>
      <c r="O156" s="183"/>
      <c r="P156" s="183"/>
      <c r="Q156" s="183"/>
      <c r="R156" s="183"/>
      <c r="S156" s="183"/>
      <c r="T156" s="183"/>
      <c r="U156" s="183"/>
      <c r="V156" s="183"/>
      <c r="W156" s="183"/>
      <c r="X156" s="183"/>
      <c r="Y156" s="183"/>
      <c r="Z156" s="183"/>
    </row>
    <row r="157" spans="1:26" ht="24" customHeight="1">
      <c r="A157" s="186"/>
      <c r="B157" s="183"/>
      <c r="C157" s="186"/>
      <c r="D157" s="183"/>
      <c r="E157" s="186"/>
      <c r="F157" s="183"/>
      <c r="G157" s="183"/>
      <c r="H157" s="183"/>
      <c r="I157" s="183"/>
      <c r="J157" s="183"/>
      <c r="K157" s="183"/>
      <c r="L157" s="183"/>
      <c r="M157" s="183"/>
      <c r="N157" s="183"/>
      <c r="O157" s="183"/>
      <c r="P157" s="183"/>
      <c r="Q157" s="183"/>
      <c r="R157" s="183"/>
      <c r="S157" s="183"/>
      <c r="T157" s="183"/>
      <c r="U157" s="183"/>
      <c r="V157" s="183"/>
      <c r="W157" s="183"/>
      <c r="X157" s="183"/>
      <c r="Y157" s="183"/>
      <c r="Z157" s="183"/>
    </row>
    <row r="158" spans="1:26" ht="24" customHeight="1">
      <c r="A158" s="186"/>
      <c r="B158" s="183"/>
      <c r="C158" s="186"/>
      <c r="D158" s="183"/>
      <c r="E158" s="186"/>
      <c r="F158" s="183"/>
      <c r="G158" s="183"/>
      <c r="H158" s="183"/>
      <c r="I158" s="183"/>
      <c r="J158" s="183"/>
      <c r="K158" s="183"/>
      <c r="L158" s="183"/>
      <c r="M158" s="183"/>
      <c r="N158" s="183"/>
      <c r="O158" s="183"/>
      <c r="P158" s="183"/>
      <c r="Q158" s="183"/>
      <c r="R158" s="183"/>
      <c r="S158" s="183"/>
      <c r="T158" s="183"/>
      <c r="U158" s="183"/>
      <c r="V158" s="183"/>
      <c r="W158" s="183"/>
      <c r="X158" s="183"/>
      <c r="Y158" s="183"/>
      <c r="Z158" s="183"/>
    </row>
    <row r="159" spans="1:26" ht="24" customHeight="1">
      <c r="A159" s="186"/>
      <c r="B159" s="183"/>
      <c r="C159" s="186"/>
      <c r="D159" s="183"/>
      <c r="E159" s="186"/>
      <c r="F159" s="183"/>
      <c r="G159" s="183"/>
      <c r="H159" s="183"/>
      <c r="I159" s="183"/>
      <c r="J159" s="183"/>
      <c r="K159" s="183"/>
      <c r="L159" s="183"/>
      <c r="M159" s="183"/>
      <c r="N159" s="183"/>
      <c r="O159" s="183"/>
      <c r="P159" s="183"/>
      <c r="Q159" s="183"/>
      <c r="R159" s="183"/>
      <c r="S159" s="183"/>
      <c r="T159" s="183"/>
      <c r="U159" s="183"/>
      <c r="V159" s="183"/>
      <c r="W159" s="183"/>
      <c r="X159" s="183"/>
      <c r="Y159" s="183"/>
      <c r="Z159" s="183"/>
    </row>
    <row r="160" spans="1:26" ht="24" customHeight="1">
      <c r="A160" s="186"/>
      <c r="B160" s="183"/>
      <c r="C160" s="186"/>
      <c r="D160" s="183"/>
      <c r="E160" s="186"/>
      <c r="F160" s="183"/>
      <c r="G160" s="183"/>
      <c r="H160" s="183"/>
      <c r="I160" s="183"/>
      <c r="J160" s="183"/>
      <c r="K160" s="183"/>
      <c r="L160" s="183"/>
      <c r="M160" s="183"/>
      <c r="N160" s="183"/>
      <c r="O160" s="183"/>
      <c r="P160" s="183"/>
      <c r="Q160" s="183"/>
      <c r="R160" s="183"/>
      <c r="S160" s="183"/>
      <c r="T160" s="183"/>
      <c r="U160" s="183"/>
      <c r="V160" s="183"/>
      <c r="W160" s="183"/>
      <c r="X160" s="183"/>
      <c r="Y160" s="183"/>
      <c r="Z160" s="183"/>
    </row>
    <row r="161" spans="1:26" ht="24" customHeight="1">
      <c r="A161" s="186"/>
      <c r="B161" s="183"/>
      <c r="C161" s="186"/>
      <c r="D161" s="183"/>
      <c r="E161" s="186"/>
      <c r="F161" s="183"/>
      <c r="G161" s="183"/>
      <c r="H161" s="183"/>
      <c r="I161" s="183"/>
      <c r="J161" s="183"/>
      <c r="K161" s="183"/>
      <c r="L161" s="183"/>
      <c r="M161" s="183"/>
      <c r="N161" s="183"/>
      <c r="O161" s="183"/>
      <c r="P161" s="183"/>
      <c r="Q161" s="183"/>
      <c r="R161" s="183"/>
      <c r="S161" s="183"/>
      <c r="T161" s="183"/>
      <c r="U161" s="183"/>
      <c r="V161" s="183"/>
      <c r="W161" s="183"/>
      <c r="X161" s="183"/>
      <c r="Y161" s="183"/>
      <c r="Z161" s="183"/>
    </row>
    <row r="162" spans="1:26" ht="24" customHeight="1">
      <c r="A162" s="186"/>
      <c r="B162" s="183"/>
      <c r="C162" s="186"/>
      <c r="D162" s="183"/>
      <c r="E162" s="186"/>
      <c r="F162" s="183"/>
      <c r="G162" s="183"/>
      <c r="H162" s="183"/>
      <c r="I162" s="183"/>
      <c r="J162" s="183"/>
      <c r="K162" s="183"/>
      <c r="L162" s="183"/>
      <c r="M162" s="183"/>
      <c r="N162" s="183"/>
      <c r="O162" s="183"/>
      <c r="P162" s="183"/>
      <c r="Q162" s="183"/>
      <c r="R162" s="183"/>
      <c r="S162" s="183"/>
      <c r="T162" s="183"/>
      <c r="U162" s="183"/>
      <c r="V162" s="183"/>
      <c r="W162" s="183"/>
      <c r="X162" s="183"/>
      <c r="Y162" s="183"/>
      <c r="Z162" s="183"/>
    </row>
    <row r="163" spans="1:26" ht="24" customHeight="1">
      <c r="A163" s="186"/>
      <c r="B163" s="183"/>
      <c r="C163" s="186"/>
      <c r="D163" s="183"/>
      <c r="E163" s="186"/>
      <c r="F163" s="183"/>
      <c r="G163" s="183"/>
      <c r="H163" s="183"/>
      <c r="I163" s="183"/>
      <c r="J163" s="183"/>
      <c r="K163" s="183"/>
      <c r="L163" s="183"/>
      <c r="M163" s="183"/>
      <c r="N163" s="183"/>
      <c r="O163" s="183"/>
      <c r="P163" s="183"/>
      <c r="Q163" s="183"/>
      <c r="R163" s="183"/>
      <c r="S163" s="183"/>
      <c r="T163" s="183"/>
      <c r="U163" s="183"/>
      <c r="V163" s="183"/>
      <c r="W163" s="183"/>
      <c r="X163" s="183"/>
      <c r="Y163" s="183"/>
      <c r="Z163" s="183"/>
    </row>
    <row r="164" spans="1:26" ht="24" customHeight="1">
      <c r="A164" s="186"/>
      <c r="B164" s="183"/>
      <c r="C164" s="186"/>
      <c r="D164" s="183"/>
      <c r="E164" s="186"/>
      <c r="F164" s="183"/>
      <c r="G164" s="183"/>
      <c r="H164" s="183"/>
      <c r="I164" s="183"/>
      <c r="J164" s="183"/>
      <c r="K164" s="183"/>
      <c r="L164" s="183"/>
      <c r="M164" s="183"/>
      <c r="N164" s="183"/>
      <c r="O164" s="183"/>
      <c r="P164" s="183"/>
      <c r="Q164" s="183"/>
      <c r="R164" s="183"/>
      <c r="S164" s="183"/>
      <c r="T164" s="183"/>
      <c r="U164" s="183"/>
      <c r="V164" s="183"/>
      <c r="W164" s="183"/>
      <c r="X164" s="183"/>
      <c r="Y164" s="183"/>
      <c r="Z164" s="183"/>
    </row>
    <row r="165" spans="1:26" ht="24" customHeight="1">
      <c r="A165" s="186"/>
      <c r="B165" s="183"/>
      <c r="C165" s="186"/>
      <c r="D165" s="183"/>
      <c r="E165" s="186"/>
      <c r="F165" s="183"/>
      <c r="G165" s="183"/>
      <c r="H165" s="183"/>
      <c r="I165" s="183"/>
      <c r="J165" s="183"/>
      <c r="K165" s="183"/>
      <c r="L165" s="183"/>
      <c r="M165" s="183"/>
      <c r="N165" s="183"/>
      <c r="O165" s="183"/>
      <c r="P165" s="183"/>
      <c r="Q165" s="183"/>
      <c r="R165" s="183"/>
      <c r="S165" s="183"/>
      <c r="T165" s="183"/>
      <c r="U165" s="183"/>
      <c r="V165" s="183"/>
      <c r="W165" s="183"/>
      <c r="X165" s="183"/>
      <c r="Y165" s="183"/>
      <c r="Z165" s="183"/>
    </row>
    <row r="166" spans="1:26" ht="24" customHeight="1">
      <c r="A166" s="186"/>
      <c r="B166" s="183"/>
      <c r="C166" s="186"/>
      <c r="D166" s="183"/>
      <c r="E166" s="186"/>
      <c r="F166" s="183"/>
      <c r="G166" s="183"/>
      <c r="H166" s="183"/>
      <c r="I166" s="183"/>
      <c r="J166" s="183"/>
      <c r="K166" s="183"/>
      <c r="L166" s="183"/>
      <c r="M166" s="183"/>
      <c r="N166" s="183"/>
      <c r="O166" s="183"/>
      <c r="P166" s="183"/>
      <c r="Q166" s="183"/>
      <c r="R166" s="183"/>
      <c r="S166" s="183"/>
      <c r="T166" s="183"/>
      <c r="U166" s="183"/>
      <c r="V166" s="183"/>
      <c r="W166" s="183"/>
      <c r="X166" s="183"/>
      <c r="Y166" s="183"/>
      <c r="Z166" s="183"/>
    </row>
    <row r="167" spans="1:26" ht="24" customHeight="1">
      <c r="A167" s="186"/>
      <c r="B167" s="183"/>
      <c r="C167" s="186"/>
      <c r="D167" s="183"/>
      <c r="E167" s="186"/>
      <c r="F167" s="183"/>
      <c r="G167" s="183"/>
      <c r="H167" s="183"/>
      <c r="I167" s="183"/>
      <c r="J167" s="183"/>
      <c r="K167" s="183"/>
      <c r="L167" s="183"/>
      <c r="M167" s="183"/>
      <c r="N167" s="183"/>
      <c r="O167" s="183"/>
      <c r="P167" s="183"/>
      <c r="Q167" s="183"/>
      <c r="R167" s="183"/>
      <c r="S167" s="183"/>
      <c r="T167" s="183"/>
      <c r="U167" s="183"/>
      <c r="V167" s="183"/>
      <c r="W167" s="183"/>
      <c r="X167" s="183"/>
      <c r="Y167" s="183"/>
      <c r="Z167" s="183"/>
    </row>
    <row r="168" spans="1:26" ht="24" customHeight="1">
      <c r="A168" s="186"/>
      <c r="B168" s="183"/>
      <c r="C168" s="186"/>
      <c r="D168" s="183"/>
      <c r="E168" s="186"/>
      <c r="F168" s="183"/>
      <c r="G168" s="183"/>
      <c r="H168" s="183"/>
      <c r="I168" s="183"/>
      <c r="J168" s="183"/>
      <c r="K168" s="183"/>
      <c r="L168" s="183"/>
      <c r="M168" s="183"/>
      <c r="N168" s="183"/>
      <c r="O168" s="183"/>
      <c r="P168" s="183"/>
      <c r="Q168" s="183"/>
      <c r="R168" s="183"/>
      <c r="S168" s="183"/>
      <c r="T168" s="183"/>
      <c r="U168" s="183"/>
      <c r="V168" s="183"/>
      <c r="W168" s="183"/>
      <c r="X168" s="183"/>
      <c r="Y168" s="183"/>
      <c r="Z168" s="183"/>
    </row>
    <row r="169" spans="1:26" ht="24" customHeight="1">
      <c r="A169" s="186"/>
      <c r="B169" s="183"/>
      <c r="C169" s="186"/>
      <c r="D169" s="183"/>
      <c r="E169" s="186"/>
      <c r="F169" s="183"/>
      <c r="G169" s="183"/>
      <c r="H169" s="183"/>
      <c r="I169" s="183"/>
      <c r="J169" s="183"/>
      <c r="K169" s="183"/>
      <c r="L169" s="183"/>
      <c r="M169" s="183"/>
      <c r="N169" s="183"/>
      <c r="O169" s="183"/>
      <c r="P169" s="183"/>
      <c r="Q169" s="183"/>
      <c r="R169" s="183"/>
      <c r="S169" s="183"/>
      <c r="T169" s="183"/>
      <c r="U169" s="183"/>
      <c r="V169" s="183"/>
      <c r="W169" s="183"/>
      <c r="X169" s="183"/>
      <c r="Y169" s="183"/>
      <c r="Z169" s="183"/>
    </row>
    <row r="170" spans="1:26" ht="24" customHeight="1">
      <c r="A170" s="186"/>
      <c r="B170" s="183"/>
      <c r="C170" s="186"/>
      <c r="D170" s="183"/>
      <c r="E170" s="186"/>
      <c r="F170" s="183"/>
      <c r="G170" s="183"/>
      <c r="H170" s="183"/>
      <c r="I170" s="183"/>
      <c r="J170" s="183"/>
      <c r="K170" s="183"/>
      <c r="L170" s="183"/>
      <c r="M170" s="183"/>
      <c r="N170" s="183"/>
      <c r="O170" s="183"/>
      <c r="P170" s="183"/>
      <c r="Q170" s="183"/>
      <c r="R170" s="183"/>
      <c r="S170" s="183"/>
      <c r="T170" s="183"/>
      <c r="U170" s="183"/>
      <c r="V170" s="183"/>
      <c r="W170" s="183"/>
      <c r="X170" s="183"/>
      <c r="Y170" s="183"/>
      <c r="Z170" s="183"/>
    </row>
    <row r="171" spans="1:26" ht="24" customHeight="1">
      <c r="A171" s="186"/>
      <c r="B171" s="183"/>
      <c r="C171" s="186"/>
      <c r="D171" s="183"/>
      <c r="E171" s="186"/>
      <c r="F171" s="183"/>
      <c r="G171" s="183"/>
      <c r="H171" s="183"/>
      <c r="I171" s="183"/>
      <c r="J171" s="183"/>
      <c r="K171" s="183"/>
      <c r="L171" s="183"/>
      <c r="M171" s="183"/>
      <c r="N171" s="183"/>
      <c r="O171" s="183"/>
      <c r="P171" s="183"/>
      <c r="Q171" s="183"/>
      <c r="R171" s="183"/>
      <c r="S171" s="183"/>
      <c r="T171" s="183"/>
      <c r="U171" s="183"/>
      <c r="V171" s="183"/>
      <c r="W171" s="183"/>
      <c r="X171" s="183"/>
      <c r="Y171" s="183"/>
      <c r="Z171" s="183"/>
    </row>
    <row r="172" spans="1:26" ht="24" customHeight="1">
      <c r="A172" s="186"/>
      <c r="B172" s="183"/>
      <c r="C172" s="186"/>
      <c r="D172" s="183"/>
      <c r="E172" s="186"/>
      <c r="F172" s="183"/>
      <c r="G172" s="183"/>
      <c r="H172" s="183"/>
      <c r="I172" s="183"/>
      <c r="J172" s="183"/>
      <c r="K172" s="183"/>
      <c r="L172" s="183"/>
      <c r="M172" s="183"/>
      <c r="N172" s="183"/>
      <c r="O172" s="183"/>
      <c r="P172" s="183"/>
      <c r="Q172" s="183"/>
      <c r="R172" s="183"/>
      <c r="S172" s="183"/>
      <c r="T172" s="183"/>
      <c r="U172" s="183"/>
      <c r="V172" s="183"/>
      <c r="W172" s="183"/>
      <c r="X172" s="183"/>
      <c r="Y172" s="183"/>
      <c r="Z172" s="183"/>
    </row>
    <row r="173" spans="1:26" ht="24" customHeight="1">
      <c r="A173" s="186"/>
      <c r="B173" s="183"/>
      <c r="C173" s="186"/>
      <c r="D173" s="183"/>
      <c r="E173" s="186"/>
      <c r="F173" s="183"/>
      <c r="G173" s="183"/>
      <c r="H173" s="183"/>
      <c r="I173" s="183"/>
      <c r="J173" s="183"/>
      <c r="K173" s="183"/>
      <c r="L173" s="183"/>
      <c r="M173" s="183"/>
      <c r="N173" s="183"/>
      <c r="O173" s="183"/>
      <c r="P173" s="183"/>
      <c r="Q173" s="183"/>
      <c r="R173" s="183"/>
      <c r="S173" s="183"/>
      <c r="T173" s="183"/>
      <c r="U173" s="183"/>
      <c r="V173" s="183"/>
      <c r="W173" s="183"/>
      <c r="X173" s="183"/>
      <c r="Y173" s="183"/>
      <c r="Z173" s="183"/>
    </row>
    <row r="174" spans="1:26" ht="24" customHeight="1">
      <c r="A174" s="186"/>
      <c r="B174" s="183"/>
      <c r="C174" s="186"/>
      <c r="D174" s="183"/>
      <c r="E174" s="186"/>
      <c r="F174" s="183"/>
      <c r="G174" s="183"/>
      <c r="H174" s="183"/>
      <c r="I174" s="183"/>
      <c r="J174" s="183"/>
      <c r="K174" s="183"/>
      <c r="L174" s="183"/>
      <c r="M174" s="183"/>
      <c r="N174" s="183"/>
      <c r="O174" s="183"/>
      <c r="P174" s="183"/>
      <c r="Q174" s="183"/>
      <c r="R174" s="183"/>
      <c r="S174" s="183"/>
      <c r="T174" s="183"/>
      <c r="U174" s="183"/>
      <c r="V174" s="183"/>
      <c r="W174" s="183"/>
      <c r="X174" s="183"/>
      <c r="Y174" s="183"/>
      <c r="Z174" s="183"/>
    </row>
    <row r="175" spans="1:26" ht="24" customHeight="1">
      <c r="A175" s="186"/>
      <c r="B175" s="183"/>
      <c r="C175" s="186"/>
      <c r="D175" s="183"/>
      <c r="E175" s="186"/>
      <c r="F175" s="183"/>
      <c r="G175" s="183"/>
      <c r="H175" s="183"/>
      <c r="I175" s="183"/>
      <c r="J175" s="183"/>
      <c r="K175" s="183"/>
      <c r="L175" s="183"/>
      <c r="M175" s="183"/>
      <c r="N175" s="183"/>
      <c r="O175" s="183"/>
      <c r="P175" s="183"/>
      <c r="Q175" s="183"/>
      <c r="R175" s="183"/>
      <c r="S175" s="183"/>
      <c r="T175" s="183"/>
      <c r="U175" s="183"/>
      <c r="V175" s="183"/>
      <c r="W175" s="183"/>
      <c r="X175" s="183"/>
      <c r="Y175" s="183"/>
      <c r="Z175" s="183"/>
    </row>
    <row r="176" spans="1:26" ht="24" customHeight="1">
      <c r="A176" s="186"/>
      <c r="B176" s="183"/>
      <c r="C176" s="186"/>
      <c r="D176" s="183"/>
      <c r="E176" s="186"/>
      <c r="F176" s="183"/>
      <c r="G176" s="183"/>
      <c r="H176" s="183"/>
      <c r="I176" s="183"/>
      <c r="J176" s="183"/>
      <c r="K176" s="183"/>
      <c r="L176" s="183"/>
      <c r="M176" s="183"/>
      <c r="N176" s="183"/>
      <c r="O176" s="183"/>
      <c r="P176" s="183"/>
      <c r="Q176" s="183"/>
      <c r="R176" s="183"/>
      <c r="S176" s="183"/>
      <c r="T176" s="183"/>
      <c r="U176" s="183"/>
      <c r="V176" s="183"/>
      <c r="W176" s="183"/>
      <c r="X176" s="183"/>
      <c r="Y176" s="183"/>
      <c r="Z176" s="183"/>
    </row>
    <row r="177" spans="1:26" ht="24" customHeight="1">
      <c r="A177" s="186"/>
      <c r="B177" s="183"/>
      <c r="C177" s="186"/>
      <c r="D177" s="183"/>
      <c r="E177" s="186"/>
      <c r="F177" s="183"/>
      <c r="G177" s="183"/>
      <c r="H177" s="183"/>
      <c r="I177" s="183"/>
      <c r="J177" s="183"/>
      <c r="K177" s="183"/>
      <c r="L177" s="183"/>
      <c r="M177" s="183"/>
      <c r="N177" s="183"/>
      <c r="O177" s="183"/>
      <c r="P177" s="183"/>
      <c r="Q177" s="183"/>
      <c r="R177" s="183"/>
      <c r="S177" s="183"/>
      <c r="T177" s="183"/>
      <c r="U177" s="183"/>
      <c r="V177" s="183"/>
      <c r="W177" s="183"/>
      <c r="X177" s="183"/>
      <c r="Y177" s="183"/>
      <c r="Z177" s="183"/>
    </row>
    <row r="178" spans="1:26" ht="24" customHeight="1">
      <c r="A178" s="186"/>
      <c r="B178" s="183"/>
      <c r="C178" s="186"/>
      <c r="D178" s="183"/>
      <c r="E178" s="186"/>
      <c r="F178" s="183"/>
      <c r="G178" s="183"/>
      <c r="H178" s="183"/>
      <c r="I178" s="183"/>
      <c r="J178" s="183"/>
      <c r="K178" s="183"/>
      <c r="L178" s="183"/>
      <c r="M178" s="183"/>
      <c r="N178" s="183"/>
      <c r="O178" s="183"/>
      <c r="P178" s="183"/>
      <c r="Q178" s="183"/>
      <c r="R178" s="183"/>
      <c r="S178" s="183"/>
      <c r="T178" s="183"/>
      <c r="U178" s="183"/>
      <c r="V178" s="183"/>
      <c r="W178" s="183"/>
      <c r="X178" s="183"/>
      <c r="Y178" s="183"/>
      <c r="Z178" s="183"/>
    </row>
    <row r="179" spans="1:26" ht="24" customHeight="1">
      <c r="A179" s="186"/>
      <c r="B179" s="183"/>
      <c r="C179" s="186"/>
      <c r="D179" s="183"/>
      <c r="E179" s="186"/>
      <c r="F179" s="183"/>
      <c r="G179" s="183"/>
      <c r="H179" s="183"/>
      <c r="I179" s="183"/>
      <c r="J179" s="183"/>
      <c r="K179" s="183"/>
      <c r="L179" s="183"/>
      <c r="M179" s="183"/>
      <c r="N179" s="183"/>
      <c r="O179" s="183"/>
      <c r="P179" s="183"/>
      <c r="Q179" s="183"/>
      <c r="R179" s="183"/>
      <c r="S179" s="183"/>
      <c r="T179" s="183"/>
      <c r="U179" s="183"/>
      <c r="V179" s="183"/>
      <c r="W179" s="183"/>
      <c r="X179" s="183"/>
      <c r="Y179" s="183"/>
      <c r="Z179" s="183"/>
    </row>
    <row r="180" spans="1:26" ht="24" customHeight="1">
      <c r="A180" s="186"/>
      <c r="B180" s="183"/>
      <c r="C180" s="186"/>
      <c r="D180" s="183"/>
      <c r="E180" s="186"/>
      <c r="F180" s="183"/>
      <c r="G180" s="183"/>
      <c r="H180" s="183"/>
      <c r="I180" s="183"/>
      <c r="J180" s="183"/>
      <c r="K180" s="183"/>
      <c r="L180" s="183"/>
      <c r="M180" s="183"/>
      <c r="N180" s="183"/>
      <c r="O180" s="183"/>
      <c r="P180" s="183"/>
      <c r="Q180" s="183"/>
      <c r="R180" s="183"/>
      <c r="S180" s="183"/>
      <c r="T180" s="183"/>
      <c r="U180" s="183"/>
      <c r="V180" s="183"/>
      <c r="W180" s="183"/>
      <c r="X180" s="183"/>
      <c r="Y180" s="183"/>
      <c r="Z180" s="183"/>
    </row>
    <row r="181" spans="1:26" ht="24" customHeight="1">
      <c r="A181" s="186"/>
      <c r="B181" s="183"/>
      <c r="C181" s="186"/>
      <c r="D181" s="183"/>
      <c r="E181" s="186"/>
      <c r="F181" s="183"/>
      <c r="G181" s="183"/>
      <c r="H181" s="183"/>
      <c r="I181" s="183"/>
      <c r="J181" s="183"/>
      <c r="K181" s="183"/>
      <c r="L181" s="183"/>
      <c r="M181" s="183"/>
      <c r="N181" s="183"/>
      <c r="O181" s="183"/>
      <c r="P181" s="183"/>
      <c r="Q181" s="183"/>
      <c r="R181" s="183"/>
      <c r="S181" s="183"/>
      <c r="T181" s="183"/>
      <c r="U181" s="183"/>
      <c r="V181" s="183"/>
      <c r="W181" s="183"/>
      <c r="X181" s="183"/>
      <c r="Y181" s="183"/>
      <c r="Z181" s="183"/>
    </row>
    <row r="182" spans="1:26" ht="24" customHeight="1">
      <c r="A182" s="186"/>
      <c r="B182" s="183"/>
      <c r="C182" s="186"/>
      <c r="D182" s="183"/>
      <c r="E182" s="186"/>
      <c r="F182" s="183"/>
      <c r="G182" s="183"/>
      <c r="H182" s="183"/>
      <c r="I182" s="183"/>
      <c r="J182" s="183"/>
      <c r="K182" s="183"/>
      <c r="L182" s="183"/>
      <c r="M182" s="183"/>
      <c r="N182" s="183"/>
      <c r="O182" s="183"/>
      <c r="P182" s="183"/>
      <c r="Q182" s="183"/>
      <c r="R182" s="183"/>
      <c r="S182" s="183"/>
      <c r="T182" s="183"/>
      <c r="U182" s="183"/>
      <c r="V182" s="183"/>
      <c r="W182" s="183"/>
      <c r="X182" s="183"/>
      <c r="Y182" s="183"/>
      <c r="Z182" s="183"/>
    </row>
    <row r="183" spans="1:26" ht="24" customHeight="1">
      <c r="A183" s="186"/>
      <c r="B183" s="183"/>
      <c r="C183" s="186"/>
      <c r="D183" s="183"/>
      <c r="E183" s="186"/>
      <c r="F183" s="183"/>
      <c r="G183" s="183"/>
      <c r="H183" s="183"/>
      <c r="I183" s="183"/>
      <c r="J183" s="183"/>
      <c r="K183" s="183"/>
      <c r="L183" s="183"/>
      <c r="M183" s="183"/>
      <c r="N183" s="183"/>
      <c r="O183" s="183"/>
      <c r="P183" s="183"/>
      <c r="Q183" s="183"/>
      <c r="R183" s="183"/>
      <c r="S183" s="183"/>
      <c r="T183" s="183"/>
      <c r="U183" s="183"/>
      <c r="V183" s="183"/>
      <c r="W183" s="183"/>
      <c r="X183" s="183"/>
      <c r="Y183" s="183"/>
      <c r="Z183" s="183"/>
    </row>
    <row r="184" spans="1:26" ht="24" customHeight="1">
      <c r="A184" s="186"/>
      <c r="B184" s="183"/>
      <c r="C184" s="186"/>
      <c r="D184" s="183"/>
      <c r="E184" s="186"/>
      <c r="F184" s="183"/>
      <c r="G184" s="183"/>
      <c r="H184" s="183"/>
      <c r="I184" s="183"/>
      <c r="J184" s="183"/>
      <c r="K184" s="183"/>
      <c r="L184" s="183"/>
      <c r="M184" s="183"/>
      <c r="N184" s="183"/>
      <c r="O184" s="183"/>
      <c r="P184" s="183"/>
      <c r="Q184" s="183"/>
      <c r="R184" s="183"/>
      <c r="S184" s="183"/>
      <c r="T184" s="183"/>
      <c r="U184" s="183"/>
      <c r="V184" s="183"/>
      <c r="W184" s="183"/>
      <c r="X184" s="183"/>
      <c r="Y184" s="183"/>
      <c r="Z184" s="183"/>
    </row>
    <row r="185" spans="1:26" ht="24" customHeight="1">
      <c r="A185" s="186"/>
      <c r="B185" s="183"/>
      <c r="C185" s="186"/>
      <c r="D185" s="183"/>
      <c r="E185" s="186"/>
      <c r="F185" s="183"/>
      <c r="G185" s="183"/>
      <c r="H185" s="183"/>
      <c r="I185" s="183"/>
      <c r="J185" s="183"/>
      <c r="K185" s="183"/>
      <c r="L185" s="183"/>
      <c r="M185" s="183"/>
      <c r="N185" s="183"/>
      <c r="O185" s="183"/>
      <c r="P185" s="183"/>
      <c r="Q185" s="183"/>
      <c r="R185" s="183"/>
      <c r="S185" s="183"/>
      <c r="T185" s="183"/>
      <c r="U185" s="183"/>
      <c r="V185" s="183"/>
      <c r="W185" s="183"/>
      <c r="X185" s="183"/>
      <c r="Y185" s="183"/>
      <c r="Z185" s="183"/>
    </row>
    <row r="186" spans="1:26" ht="24" customHeight="1">
      <c r="A186" s="186"/>
      <c r="B186" s="183"/>
      <c r="C186" s="186"/>
      <c r="D186" s="183"/>
      <c r="E186" s="186"/>
      <c r="F186" s="183"/>
      <c r="G186" s="183"/>
      <c r="H186" s="183"/>
      <c r="I186" s="183"/>
      <c r="J186" s="183"/>
      <c r="K186" s="183"/>
      <c r="L186" s="183"/>
      <c r="M186" s="183"/>
      <c r="N186" s="183"/>
      <c r="O186" s="183"/>
      <c r="P186" s="183"/>
      <c r="Q186" s="183"/>
      <c r="R186" s="183"/>
      <c r="S186" s="183"/>
      <c r="T186" s="183"/>
      <c r="U186" s="183"/>
      <c r="V186" s="183"/>
      <c r="W186" s="183"/>
      <c r="X186" s="183"/>
      <c r="Y186" s="183"/>
      <c r="Z186" s="183"/>
    </row>
    <row r="187" spans="1:26" ht="24" customHeight="1">
      <c r="A187" s="186"/>
      <c r="B187" s="183"/>
      <c r="C187" s="186"/>
      <c r="D187" s="183"/>
      <c r="E187" s="186"/>
      <c r="F187" s="183"/>
      <c r="G187" s="183"/>
      <c r="H187" s="183"/>
      <c r="I187" s="183"/>
      <c r="J187" s="183"/>
      <c r="K187" s="183"/>
      <c r="L187" s="183"/>
      <c r="M187" s="183"/>
      <c r="N187" s="183"/>
      <c r="O187" s="183"/>
      <c r="P187" s="183"/>
      <c r="Q187" s="183"/>
      <c r="R187" s="183"/>
      <c r="S187" s="183"/>
      <c r="T187" s="183"/>
      <c r="U187" s="183"/>
      <c r="V187" s="183"/>
      <c r="W187" s="183"/>
      <c r="X187" s="183"/>
      <c r="Y187" s="183"/>
      <c r="Z187" s="183"/>
    </row>
    <row r="188" spans="1:26" ht="24" customHeight="1">
      <c r="A188" s="186"/>
      <c r="B188" s="183"/>
      <c r="C188" s="186"/>
      <c r="D188" s="183"/>
      <c r="E188" s="186"/>
      <c r="F188" s="183"/>
      <c r="G188" s="183"/>
      <c r="H188" s="183"/>
      <c r="I188" s="183"/>
      <c r="J188" s="183"/>
      <c r="K188" s="183"/>
      <c r="L188" s="183"/>
      <c r="M188" s="183"/>
      <c r="N188" s="183"/>
      <c r="O188" s="183"/>
      <c r="P188" s="183"/>
      <c r="Q188" s="183"/>
      <c r="R188" s="183"/>
      <c r="S188" s="183"/>
      <c r="T188" s="183"/>
      <c r="U188" s="183"/>
      <c r="V188" s="183"/>
      <c r="W188" s="183"/>
      <c r="X188" s="183"/>
      <c r="Y188" s="183"/>
      <c r="Z188" s="183"/>
    </row>
    <row r="189" spans="1:26" ht="24" customHeight="1">
      <c r="A189" s="186"/>
      <c r="B189" s="183"/>
      <c r="C189" s="186"/>
      <c r="D189" s="183"/>
      <c r="E189" s="186"/>
      <c r="F189" s="183"/>
      <c r="G189" s="183"/>
      <c r="H189" s="183"/>
      <c r="I189" s="183"/>
      <c r="J189" s="183"/>
      <c r="K189" s="183"/>
      <c r="L189" s="183"/>
      <c r="M189" s="183"/>
      <c r="N189" s="183"/>
      <c r="O189" s="183"/>
      <c r="P189" s="183"/>
      <c r="Q189" s="183"/>
      <c r="R189" s="183"/>
      <c r="S189" s="183"/>
      <c r="T189" s="183"/>
      <c r="U189" s="183"/>
      <c r="V189" s="183"/>
      <c r="W189" s="183"/>
      <c r="X189" s="183"/>
      <c r="Y189" s="183"/>
      <c r="Z189" s="183"/>
    </row>
    <row r="190" spans="1:26" ht="24" customHeight="1">
      <c r="A190" s="186"/>
      <c r="B190" s="183"/>
      <c r="C190" s="186"/>
      <c r="D190" s="183"/>
      <c r="E190" s="186"/>
      <c r="F190" s="183"/>
      <c r="G190" s="183"/>
      <c r="H190" s="183"/>
      <c r="I190" s="183"/>
      <c r="J190" s="183"/>
      <c r="K190" s="183"/>
      <c r="L190" s="183"/>
      <c r="M190" s="183"/>
      <c r="N190" s="183"/>
      <c r="O190" s="183"/>
      <c r="P190" s="183"/>
      <c r="Q190" s="183"/>
      <c r="R190" s="183"/>
      <c r="S190" s="183"/>
      <c r="T190" s="183"/>
      <c r="U190" s="183"/>
      <c r="V190" s="183"/>
      <c r="W190" s="183"/>
      <c r="X190" s="183"/>
      <c r="Y190" s="183"/>
      <c r="Z190" s="183"/>
    </row>
    <row r="191" spans="1:26" ht="24" customHeight="1">
      <c r="A191" s="186"/>
      <c r="B191" s="183"/>
      <c r="C191" s="186"/>
      <c r="D191" s="183"/>
      <c r="E191" s="186"/>
      <c r="F191" s="183"/>
      <c r="G191" s="183"/>
      <c r="H191" s="183"/>
      <c r="I191" s="183"/>
      <c r="J191" s="183"/>
      <c r="K191" s="183"/>
      <c r="L191" s="183"/>
      <c r="M191" s="183"/>
      <c r="N191" s="183"/>
      <c r="O191" s="183"/>
      <c r="P191" s="183"/>
      <c r="Q191" s="183"/>
      <c r="R191" s="183"/>
      <c r="S191" s="183"/>
      <c r="T191" s="183"/>
      <c r="U191" s="183"/>
      <c r="V191" s="183"/>
      <c r="W191" s="183"/>
      <c r="X191" s="183"/>
      <c r="Y191" s="183"/>
      <c r="Z191" s="183"/>
    </row>
    <row r="192" spans="1:26" ht="24" customHeight="1">
      <c r="A192" s="186"/>
      <c r="B192" s="183"/>
      <c r="C192" s="186"/>
      <c r="D192" s="183"/>
      <c r="E192" s="186"/>
      <c r="F192" s="183"/>
      <c r="G192" s="183"/>
      <c r="H192" s="183"/>
      <c r="I192" s="183"/>
      <c r="J192" s="183"/>
      <c r="K192" s="183"/>
      <c r="L192" s="183"/>
      <c r="M192" s="183"/>
      <c r="N192" s="183"/>
      <c r="O192" s="183"/>
      <c r="P192" s="183"/>
      <c r="Q192" s="183"/>
      <c r="R192" s="183"/>
      <c r="S192" s="183"/>
      <c r="T192" s="183"/>
      <c r="U192" s="183"/>
      <c r="V192" s="183"/>
      <c r="W192" s="183"/>
      <c r="X192" s="183"/>
      <c r="Y192" s="183"/>
      <c r="Z192" s="183"/>
    </row>
    <row r="193" spans="1:26" ht="24" customHeight="1">
      <c r="A193" s="186"/>
      <c r="B193" s="183"/>
      <c r="C193" s="186"/>
      <c r="D193" s="183"/>
      <c r="E193" s="186"/>
      <c r="F193" s="183"/>
      <c r="G193" s="183"/>
      <c r="H193" s="183"/>
      <c r="I193" s="183"/>
      <c r="J193" s="183"/>
      <c r="K193" s="183"/>
      <c r="L193" s="183"/>
      <c r="M193" s="183"/>
      <c r="N193" s="183"/>
      <c r="O193" s="183"/>
      <c r="P193" s="183"/>
      <c r="Q193" s="183"/>
      <c r="R193" s="183"/>
      <c r="S193" s="183"/>
      <c r="T193" s="183"/>
      <c r="U193" s="183"/>
      <c r="V193" s="183"/>
      <c r="W193" s="183"/>
      <c r="X193" s="183"/>
      <c r="Y193" s="183"/>
      <c r="Z193" s="183"/>
    </row>
    <row r="194" spans="1:26" ht="24" customHeight="1">
      <c r="A194" s="186"/>
      <c r="B194" s="183"/>
      <c r="C194" s="186"/>
      <c r="D194" s="183"/>
      <c r="E194" s="186"/>
      <c r="F194" s="183"/>
      <c r="G194" s="183"/>
      <c r="H194" s="183"/>
      <c r="I194" s="183"/>
      <c r="J194" s="183"/>
      <c r="K194" s="183"/>
      <c r="L194" s="183"/>
      <c r="M194" s="183"/>
      <c r="N194" s="183"/>
      <c r="O194" s="183"/>
      <c r="P194" s="183"/>
      <c r="Q194" s="183"/>
      <c r="R194" s="183"/>
      <c r="S194" s="183"/>
      <c r="T194" s="183"/>
      <c r="U194" s="183"/>
      <c r="V194" s="183"/>
      <c r="W194" s="183"/>
      <c r="X194" s="183"/>
      <c r="Y194" s="183"/>
      <c r="Z194" s="183"/>
    </row>
    <row r="195" spans="1:26" ht="24" customHeight="1">
      <c r="A195" s="186"/>
      <c r="B195" s="183"/>
      <c r="C195" s="186"/>
      <c r="D195" s="183"/>
      <c r="E195" s="186"/>
      <c r="F195" s="183"/>
      <c r="G195" s="183"/>
      <c r="H195" s="183"/>
      <c r="I195" s="183"/>
      <c r="J195" s="183"/>
      <c r="K195" s="183"/>
      <c r="L195" s="183"/>
      <c r="M195" s="183"/>
      <c r="N195" s="183"/>
      <c r="O195" s="183"/>
      <c r="P195" s="183"/>
      <c r="Q195" s="183"/>
      <c r="R195" s="183"/>
      <c r="S195" s="183"/>
      <c r="T195" s="183"/>
      <c r="U195" s="183"/>
      <c r="V195" s="183"/>
      <c r="W195" s="183"/>
      <c r="X195" s="183"/>
      <c r="Y195" s="183"/>
      <c r="Z195" s="183"/>
    </row>
    <row r="196" spans="1:26" ht="24" customHeight="1">
      <c r="A196" s="186"/>
      <c r="B196" s="183"/>
      <c r="C196" s="186"/>
      <c r="D196" s="183"/>
      <c r="E196" s="186"/>
      <c r="F196" s="183"/>
      <c r="G196" s="183"/>
      <c r="H196" s="183"/>
      <c r="I196" s="183"/>
      <c r="J196" s="183"/>
      <c r="K196" s="183"/>
      <c r="L196" s="183"/>
      <c r="M196" s="183"/>
      <c r="N196" s="183"/>
      <c r="O196" s="183"/>
      <c r="P196" s="183"/>
      <c r="Q196" s="183"/>
      <c r="R196" s="183"/>
      <c r="S196" s="183"/>
      <c r="T196" s="183"/>
      <c r="U196" s="183"/>
      <c r="V196" s="183"/>
      <c r="W196" s="183"/>
      <c r="X196" s="183"/>
      <c r="Y196" s="183"/>
      <c r="Z196" s="183"/>
    </row>
    <row r="197" spans="1:26" ht="24" customHeight="1">
      <c r="A197" s="186"/>
      <c r="B197" s="183"/>
      <c r="C197" s="186"/>
      <c r="D197" s="183"/>
      <c r="E197" s="186"/>
      <c r="F197" s="183"/>
      <c r="G197" s="183"/>
      <c r="H197" s="183"/>
      <c r="I197" s="183"/>
      <c r="J197" s="183"/>
      <c r="K197" s="183"/>
      <c r="L197" s="183"/>
      <c r="M197" s="183"/>
      <c r="N197" s="183"/>
      <c r="O197" s="183"/>
      <c r="P197" s="183"/>
      <c r="Q197" s="183"/>
      <c r="R197" s="183"/>
      <c r="S197" s="183"/>
      <c r="T197" s="183"/>
      <c r="U197" s="183"/>
      <c r="V197" s="183"/>
      <c r="W197" s="183"/>
      <c r="X197" s="183"/>
      <c r="Y197" s="183"/>
      <c r="Z197" s="183"/>
    </row>
    <row r="198" spans="1:26" ht="24" customHeight="1">
      <c r="A198" s="186"/>
      <c r="B198" s="183"/>
      <c r="C198" s="186"/>
      <c r="D198" s="183"/>
      <c r="E198" s="186"/>
      <c r="F198" s="183"/>
      <c r="G198" s="183"/>
      <c r="H198" s="183"/>
      <c r="I198" s="183"/>
      <c r="J198" s="183"/>
      <c r="K198" s="183"/>
      <c r="L198" s="183"/>
      <c r="M198" s="183"/>
      <c r="N198" s="183"/>
      <c r="O198" s="183"/>
      <c r="P198" s="183"/>
      <c r="Q198" s="183"/>
      <c r="R198" s="183"/>
      <c r="S198" s="183"/>
      <c r="T198" s="183"/>
      <c r="U198" s="183"/>
      <c r="V198" s="183"/>
      <c r="W198" s="183"/>
      <c r="X198" s="183"/>
      <c r="Y198" s="183"/>
      <c r="Z198" s="183"/>
    </row>
    <row r="199" spans="1:26" ht="24" customHeight="1">
      <c r="A199" s="186"/>
      <c r="B199" s="183"/>
      <c r="C199" s="186"/>
      <c r="D199" s="183"/>
      <c r="E199" s="186"/>
      <c r="F199" s="183"/>
      <c r="G199" s="183"/>
      <c r="H199" s="183"/>
      <c r="I199" s="183"/>
      <c r="J199" s="183"/>
      <c r="K199" s="183"/>
      <c r="L199" s="183"/>
      <c r="M199" s="183"/>
      <c r="N199" s="183"/>
      <c r="O199" s="183"/>
      <c r="P199" s="183"/>
      <c r="Q199" s="183"/>
      <c r="R199" s="183"/>
      <c r="S199" s="183"/>
      <c r="T199" s="183"/>
      <c r="U199" s="183"/>
      <c r="V199" s="183"/>
      <c r="W199" s="183"/>
      <c r="X199" s="183"/>
      <c r="Y199" s="183"/>
      <c r="Z199" s="183"/>
    </row>
    <row r="200" spans="1:26" ht="24" customHeight="1">
      <c r="A200" s="186"/>
      <c r="B200" s="183"/>
      <c r="C200" s="186"/>
      <c r="D200" s="183"/>
      <c r="E200" s="186"/>
      <c r="F200" s="183"/>
      <c r="G200" s="183"/>
      <c r="H200" s="183"/>
      <c r="I200" s="183"/>
      <c r="J200" s="183"/>
      <c r="K200" s="183"/>
      <c r="L200" s="183"/>
      <c r="M200" s="183"/>
      <c r="N200" s="183"/>
      <c r="O200" s="183"/>
      <c r="P200" s="183"/>
      <c r="Q200" s="183"/>
      <c r="R200" s="183"/>
      <c r="S200" s="183"/>
      <c r="T200" s="183"/>
      <c r="U200" s="183"/>
      <c r="V200" s="183"/>
      <c r="W200" s="183"/>
      <c r="X200" s="183"/>
      <c r="Y200" s="183"/>
      <c r="Z200" s="183"/>
    </row>
    <row r="201" spans="1:26" ht="24" customHeight="1">
      <c r="A201" s="186"/>
      <c r="B201" s="183"/>
      <c r="C201" s="186"/>
      <c r="D201" s="183"/>
      <c r="E201" s="186"/>
      <c r="F201" s="183"/>
      <c r="G201" s="183"/>
      <c r="H201" s="183"/>
      <c r="I201" s="183"/>
      <c r="J201" s="183"/>
      <c r="K201" s="183"/>
      <c r="L201" s="183"/>
      <c r="M201" s="183"/>
      <c r="N201" s="183"/>
      <c r="O201" s="183"/>
      <c r="P201" s="183"/>
      <c r="Q201" s="183"/>
      <c r="R201" s="183"/>
      <c r="S201" s="183"/>
      <c r="T201" s="183"/>
      <c r="U201" s="183"/>
      <c r="V201" s="183"/>
      <c r="W201" s="183"/>
      <c r="X201" s="183"/>
      <c r="Y201" s="183"/>
      <c r="Z201" s="183"/>
    </row>
    <row r="202" spans="1:26" ht="24" customHeight="1">
      <c r="A202" s="186"/>
      <c r="B202" s="183"/>
      <c r="C202" s="186"/>
      <c r="D202" s="183"/>
      <c r="E202" s="186"/>
      <c r="F202" s="183"/>
      <c r="G202" s="183"/>
      <c r="H202" s="183"/>
      <c r="I202" s="183"/>
      <c r="J202" s="183"/>
      <c r="K202" s="183"/>
      <c r="L202" s="183"/>
      <c r="M202" s="183"/>
      <c r="N202" s="183"/>
      <c r="O202" s="183"/>
      <c r="P202" s="183"/>
      <c r="Q202" s="183"/>
      <c r="R202" s="183"/>
      <c r="S202" s="183"/>
      <c r="T202" s="183"/>
      <c r="U202" s="183"/>
      <c r="V202" s="183"/>
      <c r="W202" s="183"/>
      <c r="X202" s="183"/>
      <c r="Y202" s="183"/>
      <c r="Z202" s="183"/>
    </row>
    <row r="203" spans="1:26" ht="24" customHeight="1">
      <c r="A203" s="186"/>
      <c r="B203" s="183"/>
      <c r="C203" s="186"/>
      <c r="D203" s="183"/>
      <c r="E203" s="186"/>
      <c r="F203" s="183"/>
      <c r="G203" s="183"/>
      <c r="H203" s="183"/>
      <c r="I203" s="183"/>
      <c r="J203" s="183"/>
      <c r="K203" s="183"/>
      <c r="L203" s="183"/>
      <c r="M203" s="183"/>
      <c r="N203" s="183"/>
      <c r="O203" s="183"/>
      <c r="P203" s="183"/>
      <c r="Q203" s="183"/>
      <c r="R203" s="183"/>
      <c r="S203" s="183"/>
      <c r="T203" s="183"/>
      <c r="U203" s="183"/>
      <c r="V203" s="183"/>
      <c r="W203" s="183"/>
      <c r="X203" s="183"/>
      <c r="Y203" s="183"/>
      <c r="Z203" s="183"/>
    </row>
    <row r="204" spans="1:26" ht="24" customHeight="1">
      <c r="A204" s="186"/>
      <c r="B204" s="183"/>
      <c r="C204" s="186"/>
      <c r="D204" s="183"/>
      <c r="E204" s="186"/>
      <c r="F204" s="183"/>
      <c r="G204" s="183"/>
      <c r="H204" s="183"/>
      <c r="I204" s="183"/>
      <c r="J204" s="183"/>
      <c r="K204" s="183"/>
      <c r="L204" s="183"/>
      <c r="M204" s="183"/>
      <c r="N204" s="183"/>
      <c r="O204" s="183"/>
      <c r="P204" s="183"/>
      <c r="Q204" s="183"/>
      <c r="R204" s="183"/>
      <c r="S204" s="183"/>
      <c r="T204" s="183"/>
      <c r="U204" s="183"/>
      <c r="V204" s="183"/>
      <c r="W204" s="183"/>
      <c r="X204" s="183"/>
      <c r="Y204" s="183"/>
      <c r="Z204" s="183"/>
    </row>
    <row r="205" spans="1:26" ht="24" customHeight="1">
      <c r="A205" s="186"/>
      <c r="B205" s="183"/>
      <c r="C205" s="186"/>
      <c r="D205" s="183"/>
      <c r="E205" s="186"/>
      <c r="F205" s="183"/>
      <c r="G205" s="183"/>
      <c r="H205" s="183"/>
      <c r="I205" s="183"/>
      <c r="J205" s="183"/>
      <c r="K205" s="183"/>
      <c r="L205" s="183"/>
      <c r="M205" s="183"/>
      <c r="N205" s="183"/>
      <c r="O205" s="183"/>
      <c r="P205" s="183"/>
      <c r="Q205" s="183"/>
      <c r="R205" s="183"/>
      <c r="S205" s="183"/>
      <c r="T205" s="183"/>
      <c r="U205" s="183"/>
      <c r="V205" s="183"/>
      <c r="W205" s="183"/>
      <c r="X205" s="183"/>
      <c r="Y205" s="183"/>
      <c r="Z205" s="183"/>
    </row>
    <row r="206" spans="1:26" ht="24" customHeight="1">
      <c r="A206" s="186"/>
      <c r="B206" s="183"/>
      <c r="C206" s="186"/>
      <c r="D206" s="183"/>
      <c r="E206" s="186"/>
      <c r="F206" s="183"/>
      <c r="G206" s="183"/>
      <c r="H206" s="183"/>
      <c r="I206" s="183"/>
      <c r="J206" s="183"/>
      <c r="K206" s="183"/>
      <c r="L206" s="183"/>
      <c r="M206" s="183"/>
      <c r="N206" s="183"/>
      <c r="O206" s="183"/>
      <c r="P206" s="183"/>
      <c r="Q206" s="183"/>
      <c r="R206" s="183"/>
      <c r="S206" s="183"/>
      <c r="T206" s="183"/>
      <c r="U206" s="183"/>
      <c r="V206" s="183"/>
      <c r="W206" s="183"/>
      <c r="X206" s="183"/>
      <c r="Y206" s="183"/>
      <c r="Z206" s="183"/>
    </row>
    <row r="207" spans="1:26" ht="24" customHeight="1">
      <c r="A207" s="186"/>
      <c r="B207" s="183"/>
      <c r="C207" s="186"/>
      <c r="D207" s="183"/>
      <c r="E207" s="186"/>
      <c r="F207" s="183"/>
      <c r="G207" s="183"/>
      <c r="H207" s="183"/>
      <c r="I207" s="183"/>
      <c r="J207" s="183"/>
      <c r="K207" s="183"/>
      <c r="L207" s="183"/>
      <c r="M207" s="183"/>
      <c r="N207" s="183"/>
      <c r="O207" s="183"/>
      <c r="P207" s="183"/>
      <c r="Q207" s="183"/>
      <c r="R207" s="183"/>
      <c r="S207" s="183"/>
      <c r="T207" s="183"/>
      <c r="U207" s="183"/>
      <c r="V207" s="183"/>
      <c r="W207" s="183"/>
      <c r="X207" s="183"/>
      <c r="Y207" s="183"/>
      <c r="Z207" s="183"/>
    </row>
    <row r="208" spans="1:26" ht="24" customHeight="1">
      <c r="A208" s="186"/>
      <c r="B208" s="183"/>
      <c r="C208" s="186"/>
      <c r="D208" s="183"/>
      <c r="E208" s="186"/>
      <c r="F208" s="183"/>
      <c r="G208" s="183"/>
      <c r="H208" s="183"/>
      <c r="I208" s="183"/>
      <c r="J208" s="183"/>
      <c r="K208" s="183"/>
      <c r="L208" s="183"/>
      <c r="M208" s="183"/>
      <c r="N208" s="183"/>
      <c r="O208" s="183"/>
      <c r="P208" s="183"/>
      <c r="Q208" s="183"/>
      <c r="R208" s="183"/>
      <c r="S208" s="183"/>
      <c r="T208" s="183"/>
      <c r="U208" s="183"/>
      <c r="V208" s="183"/>
      <c r="W208" s="183"/>
      <c r="X208" s="183"/>
      <c r="Y208" s="183"/>
      <c r="Z208" s="183"/>
    </row>
    <row r="209" spans="1:26" ht="24" customHeight="1">
      <c r="A209" s="186"/>
      <c r="B209" s="183"/>
      <c r="C209" s="186"/>
      <c r="D209" s="183"/>
      <c r="E209" s="186"/>
      <c r="F209" s="183"/>
      <c r="G209" s="183"/>
      <c r="H209" s="183"/>
      <c r="I209" s="183"/>
      <c r="J209" s="183"/>
      <c r="K209" s="183"/>
      <c r="L209" s="183"/>
      <c r="M209" s="183"/>
      <c r="N209" s="183"/>
      <c r="O209" s="183"/>
      <c r="P209" s="183"/>
      <c r="Q209" s="183"/>
      <c r="R209" s="183"/>
      <c r="S209" s="183"/>
      <c r="T209" s="183"/>
      <c r="U209" s="183"/>
      <c r="V209" s="183"/>
      <c r="W209" s="183"/>
      <c r="X209" s="183"/>
      <c r="Y209" s="183"/>
      <c r="Z209" s="183"/>
    </row>
    <row r="210" spans="1:26" ht="24" customHeight="1">
      <c r="A210" s="186"/>
      <c r="B210" s="183"/>
      <c r="C210" s="186"/>
      <c r="D210" s="183"/>
      <c r="E210" s="186"/>
      <c r="F210" s="183"/>
      <c r="G210" s="183"/>
      <c r="H210" s="183"/>
      <c r="I210" s="183"/>
      <c r="J210" s="183"/>
      <c r="K210" s="183"/>
      <c r="L210" s="183"/>
      <c r="M210" s="183"/>
      <c r="N210" s="183"/>
      <c r="O210" s="183"/>
      <c r="P210" s="183"/>
      <c r="Q210" s="183"/>
      <c r="R210" s="183"/>
      <c r="S210" s="183"/>
      <c r="T210" s="183"/>
      <c r="U210" s="183"/>
      <c r="V210" s="183"/>
      <c r="W210" s="183"/>
      <c r="X210" s="183"/>
      <c r="Y210" s="183"/>
      <c r="Z210" s="183"/>
    </row>
    <row r="211" spans="1:26" ht="24" customHeight="1">
      <c r="A211" s="186"/>
      <c r="B211" s="183"/>
      <c r="C211" s="186"/>
      <c r="D211" s="183"/>
      <c r="E211" s="186"/>
      <c r="F211" s="183"/>
      <c r="G211" s="183"/>
      <c r="H211" s="183"/>
      <c r="I211" s="183"/>
      <c r="J211" s="183"/>
      <c r="K211" s="183"/>
      <c r="L211" s="183"/>
      <c r="M211" s="183"/>
      <c r="N211" s="183"/>
      <c r="O211" s="183"/>
      <c r="P211" s="183"/>
      <c r="Q211" s="183"/>
      <c r="R211" s="183"/>
      <c r="S211" s="183"/>
      <c r="T211" s="183"/>
      <c r="U211" s="183"/>
      <c r="V211" s="183"/>
      <c r="W211" s="183"/>
      <c r="X211" s="183"/>
      <c r="Y211" s="183"/>
      <c r="Z211" s="183"/>
    </row>
    <row r="212" spans="1:26" ht="24" customHeight="1">
      <c r="A212" s="186"/>
      <c r="B212" s="183"/>
      <c r="C212" s="186"/>
      <c r="D212" s="183"/>
      <c r="E212" s="186"/>
      <c r="F212" s="183"/>
      <c r="G212" s="183"/>
      <c r="H212" s="183"/>
      <c r="I212" s="183"/>
      <c r="J212" s="183"/>
      <c r="K212" s="183"/>
      <c r="L212" s="183"/>
      <c r="M212" s="183"/>
      <c r="N212" s="183"/>
      <c r="O212" s="183"/>
      <c r="P212" s="183"/>
      <c r="Q212" s="183"/>
      <c r="R212" s="183"/>
      <c r="S212" s="183"/>
      <c r="T212" s="183"/>
      <c r="U212" s="183"/>
      <c r="V212" s="183"/>
      <c r="W212" s="183"/>
      <c r="X212" s="183"/>
      <c r="Y212" s="183"/>
      <c r="Z212" s="183"/>
    </row>
    <row r="213" spans="1:26" ht="24" customHeight="1">
      <c r="A213" s="186"/>
      <c r="B213" s="183"/>
      <c r="C213" s="186"/>
      <c r="D213" s="183"/>
      <c r="E213" s="186"/>
      <c r="F213" s="183"/>
      <c r="G213" s="183"/>
      <c r="H213" s="183"/>
      <c r="I213" s="183"/>
      <c r="J213" s="183"/>
      <c r="K213" s="183"/>
      <c r="L213" s="183"/>
      <c r="M213" s="183"/>
      <c r="N213" s="183"/>
      <c r="O213" s="183"/>
      <c r="P213" s="183"/>
      <c r="Q213" s="183"/>
      <c r="R213" s="183"/>
      <c r="S213" s="183"/>
      <c r="T213" s="183"/>
      <c r="U213" s="183"/>
      <c r="V213" s="183"/>
      <c r="W213" s="183"/>
      <c r="X213" s="183"/>
      <c r="Y213" s="183"/>
      <c r="Z213" s="183"/>
    </row>
    <row r="214" spans="1:26" ht="24" customHeight="1">
      <c r="A214" s="186"/>
      <c r="B214" s="183"/>
      <c r="C214" s="186"/>
      <c r="D214" s="183"/>
      <c r="E214" s="186"/>
      <c r="F214" s="183"/>
      <c r="G214" s="183"/>
      <c r="H214" s="183"/>
      <c r="I214" s="183"/>
      <c r="J214" s="183"/>
      <c r="K214" s="183"/>
      <c r="L214" s="183"/>
      <c r="M214" s="183"/>
      <c r="N214" s="183"/>
      <c r="O214" s="183"/>
      <c r="P214" s="183"/>
      <c r="Q214" s="183"/>
      <c r="R214" s="183"/>
      <c r="S214" s="183"/>
      <c r="T214" s="183"/>
      <c r="U214" s="183"/>
      <c r="V214" s="183"/>
      <c r="W214" s="183"/>
      <c r="X214" s="183"/>
      <c r="Y214" s="183"/>
      <c r="Z214" s="183"/>
    </row>
    <row r="215" spans="1:26" ht="24" customHeight="1">
      <c r="A215" s="186"/>
      <c r="B215" s="183"/>
      <c r="C215" s="186"/>
      <c r="D215" s="183"/>
      <c r="E215" s="186"/>
      <c r="F215" s="183"/>
      <c r="G215" s="183"/>
      <c r="H215" s="183"/>
      <c r="I215" s="183"/>
      <c r="J215" s="183"/>
      <c r="K215" s="183"/>
      <c r="L215" s="183"/>
      <c r="M215" s="183"/>
      <c r="N215" s="183"/>
      <c r="O215" s="183"/>
      <c r="P215" s="183"/>
      <c r="Q215" s="183"/>
      <c r="R215" s="183"/>
      <c r="S215" s="183"/>
      <c r="T215" s="183"/>
      <c r="U215" s="183"/>
      <c r="V215" s="183"/>
      <c r="W215" s="183"/>
      <c r="X215" s="183"/>
      <c r="Y215" s="183"/>
      <c r="Z215" s="183"/>
    </row>
    <row r="216" spans="1:26" ht="24" customHeight="1">
      <c r="A216" s="186"/>
      <c r="B216" s="183"/>
      <c r="C216" s="186"/>
      <c r="D216" s="183"/>
      <c r="E216" s="186"/>
      <c r="F216" s="183"/>
      <c r="G216" s="183"/>
      <c r="H216" s="183"/>
      <c r="I216" s="183"/>
      <c r="J216" s="183"/>
      <c r="K216" s="183"/>
      <c r="L216" s="183"/>
      <c r="M216" s="183"/>
      <c r="N216" s="183"/>
      <c r="O216" s="183"/>
      <c r="P216" s="183"/>
      <c r="Q216" s="183"/>
      <c r="R216" s="183"/>
      <c r="S216" s="183"/>
      <c r="T216" s="183"/>
      <c r="U216" s="183"/>
      <c r="V216" s="183"/>
      <c r="W216" s="183"/>
      <c r="X216" s="183"/>
      <c r="Y216" s="183"/>
      <c r="Z216" s="183"/>
    </row>
    <row r="217" spans="1:26" ht="24" customHeight="1">
      <c r="A217" s="186"/>
      <c r="B217" s="183"/>
      <c r="C217" s="186"/>
      <c r="D217" s="183"/>
      <c r="E217" s="186"/>
      <c r="F217" s="183"/>
      <c r="G217" s="183"/>
      <c r="H217" s="183"/>
      <c r="I217" s="183"/>
      <c r="J217" s="183"/>
      <c r="K217" s="183"/>
      <c r="L217" s="183"/>
      <c r="M217" s="183"/>
      <c r="N217" s="183"/>
      <c r="O217" s="183"/>
      <c r="P217" s="183"/>
      <c r="Q217" s="183"/>
      <c r="R217" s="183"/>
      <c r="S217" s="183"/>
      <c r="T217" s="183"/>
      <c r="U217" s="183"/>
      <c r="V217" s="183"/>
      <c r="W217" s="183"/>
      <c r="X217" s="183"/>
      <c r="Y217" s="183"/>
      <c r="Z217" s="183"/>
    </row>
    <row r="218" spans="1:26" ht="24" customHeight="1">
      <c r="A218" s="186"/>
      <c r="B218" s="183"/>
      <c r="C218" s="186"/>
      <c r="D218" s="183"/>
      <c r="E218" s="186"/>
      <c r="F218" s="183"/>
      <c r="G218" s="183"/>
      <c r="H218" s="183"/>
      <c r="I218" s="183"/>
      <c r="J218" s="183"/>
      <c r="K218" s="183"/>
      <c r="L218" s="183"/>
      <c r="M218" s="183"/>
      <c r="N218" s="183"/>
      <c r="O218" s="183"/>
      <c r="P218" s="183"/>
      <c r="Q218" s="183"/>
      <c r="R218" s="183"/>
      <c r="S218" s="183"/>
      <c r="T218" s="183"/>
      <c r="U218" s="183"/>
      <c r="V218" s="183"/>
      <c r="W218" s="183"/>
      <c r="X218" s="183"/>
      <c r="Y218" s="183"/>
      <c r="Z218" s="183"/>
    </row>
    <row r="219" spans="1:26" ht="24" customHeight="1">
      <c r="A219" s="186"/>
      <c r="B219" s="183"/>
      <c r="C219" s="186"/>
      <c r="D219" s="183"/>
      <c r="E219" s="186"/>
      <c r="F219" s="183"/>
      <c r="G219" s="183"/>
      <c r="H219" s="183"/>
      <c r="I219" s="183"/>
      <c r="J219" s="183"/>
      <c r="K219" s="183"/>
      <c r="L219" s="183"/>
      <c r="M219" s="183"/>
      <c r="N219" s="183"/>
      <c r="O219" s="183"/>
      <c r="P219" s="183"/>
      <c r="Q219" s="183"/>
      <c r="R219" s="183"/>
      <c r="S219" s="183"/>
      <c r="T219" s="183"/>
      <c r="U219" s="183"/>
      <c r="V219" s="183"/>
      <c r="W219" s="183"/>
      <c r="X219" s="183"/>
      <c r="Y219" s="183"/>
      <c r="Z219" s="183"/>
    </row>
    <row r="220" spans="1:26" ht="24" customHeight="1">
      <c r="A220" s="186"/>
      <c r="B220" s="183"/>
      <c r="C220" s="186"/>
      <c r="D220" s="183"/>
      <c r="E220" s="186"/>
      <c r="F220" s="183"/>
      <c r="G220" s="183"/>
      <c r="H220" s="183"/>
      <c r="I220" s="183"/>
      <c r="J220" s="183"/>
      <c r="K220" s="183"/>
      <c r="L220" s="183"/>
      <c r="M220" s="183"/>
      <c r="N220" s="183"/>
      <c r="O220" s="183"/>
      <c r="P220" s="183"/>
      <c r="Q220" s="183"/>
      <c r="R220" s="183"/>
      <c r="S220" s="183"/>
      <c r="T220" s="183"/>
      <c r="U220" s="183"/>
      <c r="V220" s="183"/>
      <c r="W220" s="183"/>
      <c r="X220" s="183"/>
      <c r="Y220" s="183"/>
      <c r="Z220" s="183"/>
    </row>
    <row r="221" spans="1:26" ht="24" customHeight="1">
      <c r="A221" s="186"/>
      <c r="B221" s="183"/>
      <c r="C221" s="186"/>
      <c r="D221" s="183"/>
      <c r="E221" s="186"/>
      <c r="F221" s="183"/>
      <c r="G221" s="183"/>
      <c r="H221" s="183"/>
      <c r="I221" s="183"/>
      <c r="J221" s="183"/>
      <c r="K221" s="183"/>
      <c r="L221" s="183"/>
      <c r="M221" s="183"/>
      <c r="N221" s="183"/>
      <c r="O221" s="183"/>
      <c r="P221" s="183"/>
      <c r="Q221" s="183"/>
      <c r="R221" s="183"/>
      <c r="S221" s="183"/>
      <c r="T221" s="183"/>
      <c r="U221" s="183"/>
      <c r="V221" s="183"/>
      <c r="W221" s="183"/>
      <c r="X221" s="183"/>
      <c r="Y221" s="183"/>
      <c r="Z221" s="183"/>
    </row>
    <row r="222" spans="1:26" ht="24" customHeight="1">
      <c r="A222" s="186"/>
      <c r="B222" s="183"/>
      <c r="C222" s="186"/>
      <c r="D222" s="183"/>
      <c r="E222" s="186"/>
      <c r="F222" s="183"/>
      <c r="G222" s="183"/>
      <c r="H222" s="183"/>
      <c r="I222" s="183"/>
      <c r="J222" s="183"/>
      <c r="K222" s="183"/>
      <c r="L222" s="183"/>
      <c r="M222" s="183"/>
      <c r="N222" s="183"/>
      <c r="O222" s="183"/>
      <c r="P222" s="183"/>
      <c r="Q222" s="183"/>
      <c r="R222" s="183"/>
      <c r="S222" s="183"/>
      <c r="T222" s="183"/>
      <c r="U222" s="183"/>
      <c r="V222" s="183"/>
      <c r="W222" s="183"/>
      <c r="X222" s="183"/>
      <c r="Y222" s="183"/>
      <c r="Z222" s="183"/>
    </row>
    <row r="223" spans="1:26" ht="24" customHeight="1">
      <c r="A223" s="186"/>
      <c r="B223" s="183"/>
      <c r="C223" s="186"/>
      <c r="D223" s="183"/>
      <c r="E223" s="186"/>
      <c r="F223" s="183"/>
      <c r="G223" s="183"/>
      <c r="H223" s="183"/>
      <c r="I223" s="183"/>
      <c r="J223" s="183"/>
      <c r="K223" s="183"/>
      <c r="L223" s="183"/>
      <c r="M223" s="183"/>
      <c r="N223" s="183"/>
      <c r="O223" s="183"/>
      <c r="P223" s="183"/>
      <c r="Q223" s="183"/>
      <c r="R223" s="183"/>
      <c r="S223" s="183"/>
      <c r="T223" s="183"/>
      <c r="U223" s="183"/>
      <c r="V223" s="183"/>
      <c r="W223" s="183"/>
      <c r="X223" s="183"/>
      <c r="Y223" s="183"/>
      <c r="Z223" s="183"/>
    </row>
    <row r="224" spans="1:26" ht="24" customHeight="1">
      <c r="A224" s="186"/>
      <c r="B224" s="183"/>
      <c r="C224" s="186"/>
      <c r="D224" s="183"/>
      <c r="E224" s="186"/>
      <c r="F224" s="183"/>
      <c r="G224" s="183"/>
      <c r="H224" s="183"/>
      <c r="I224" s="183"/>
      <c r="J224" s="183"/>
      <c r="K224" s="183"/>
      <c r="L224" s="183"/>
      <c r="M224" s="183"/>
      <c r="N224" s="183"/>
      <c r="O224" s="183"/>
      <c r="P224" s="183"/>
      <c r="Q224" s="183"/>
      <c r="R224" s="183"/>
      <c r="S224" s="183"/>
      <c r="T224" s="183"/>
      <c r="U224" s="183"/>
      <c r="V224" s="183"/>
      <c r="W224" s="183"/>
      <c r="X224" s="183"/>
      <c r="Y224" s="183"/>
      <c r="Z224" s="183"/>
    </row>
    <row r="225" spans="1:26" ht="24" customHeight="1">
      <c r="A225" s="186"/>
      <c r="B225" s="183"/>
      <c r="C225" s="186"/>
      <c r="D225" s="183"/>
      <c r="E225" s="186"/>
      <c r="F225" s="183"/>
      <c r="G225" s="183"/>
      <c r="H225" s="183"/>
      <c r="I225" s="183"/>
      <c r="J225" s="183"/>
      <c r="K225" s="183"/>
      <c r="L225" s="183"/>
      <c r="M225" s="183"/>
      <c r="N225" s="183"/>
      <c r="O225" s="183"/>
      <c r="P225" s="183"/>
      <c r="Q225" s="183"/>
      <c r="R225" s="183"/>
      <c r="S225" s="183"/>
      <c r="T225" s="183"/>
      <c r="U225" s="183"/>
      <c r="V225" s="183"/>
      <c r="W225" s="183"/>
      <c r="X225" s="183"/>
      <c r="Y225" s="183"/>
      <c r="Z225" s="183"/>
    </row>
    <row r="226" spans="1:26" ht="24" customHeight="1">
      <c r="A226" s="186"/>
      <c r="B226" s="183"/>
      <c r="C226" s="186"/>
      <c r="D226" s="183"/>
      <c r="E226" s="186"/>
      <c r="F226" s="183"/>
      <c r="G226" s="183"/>
      <c r="H226" s="183"/>
      <c r="I226" s="183"/>
      <c r="J226" s="183"/>
      <c r="K226" s="183"/>
      <c r="L226" s="183"/>
      <c r="M226" s="183"/>
      <c r="N226" s="183"/>
      <c r="O226" s="183"/>
      <c r="P226" s="183"/>
      <c r="Q226" s="183"/>
      <c r="R226" s="183"/>
      <c r="S226" s="183"/>
      <c r="T226" s="183"/>
      <c r="U226" s="183"/>
      <c r="V226" s="183"/>
      <c r="W226" s="183"/>
      <c r="X226" s="183"/>
      <c r="Y226" s="183"/>
      <c r="Z226" s="183"/>
    </row>
    <row r="227" spans="1:26" ht="24" customHeight="1">
      <c r="A227" s="186"/>
      <c r="B227" s="183"/>
      <c r="C227" s="186"/>
      <c r="D227" s="183"/>
      <c r="E227" s="186"/>
      <c r="F227" s="183"/>
      <c r="G227" s="183"/>
      <c r="H227" s="183"/>
      <c r="I227" s="183"/>
      <c r="J227" s="183"/>
      <c r="K227" s="183"/>
      <c r="L227" s="183"/>
      <c r="M227" s="183"/>
      <c r="N227" s="183"/>
      <c r="O227" s="183"/>
      <c r="P227" s="183"/>
      <c r="Q227" s="183"/>
      <c r="R227" s="183"/>
      <c r="S227" s="183"/>
      <c r="T227" s="183"/>
      <c r="U227" s="183"/>
      <c r="V227" s="183"/>
      <c r="W227" s="183"/>
      <c r="X227" s="183"/>
      <c r="Y227" s="183"/>
      <c r="Z227" s="183"/>
    </row>
    <row r="228" spans="1:26" ht="24" customHeight="1">
      <c r="A228" s="186"/>
      <c r="B228" s="183"/>
      <c r="C228" s="186"/>
      <c r="D228" s="183"/>
      <c r="E228" s="186"/>
      <c r="F228" s="183"/>
      <c r="G228" s="183"/>
      <c r="H228" s="183"/>
      <c r="I228" s="183"/>
      <c r="J228" s="183"/>
      <c r="K228" s="183"/>
      <c r="L228" s="183"/>
      <c r="M228" s="183"/>
      <c r="N228" s="183"/>
      <c r="O228" s="183"/>
      <c r="P228" s="183"/>
      <c r="Q228" s="183"/>
      <c r="R228" s="183"/>
      <c r="S228" s="183"/>
      <c r="T228" s="183"/>
      <c r="U228" s="183"/>
      <c r="V228" s="183"/>
      <c r="W228" s="183"/>
      <c r="X228" s="183"/>
      <c r="Y228" s="183"/>
      <c r="Z228" s="183"/>
    </row>
    <row r="229" spans="1:26" ht="24" customHeight="1">
      <c r="A229" s="186"/>
      <c r="B229" s="183"/>
      <c r="C229" s="186"/>
      <c r="D229" s="183"/>
      <c r="E229" s="186"/>
      <c r="F229" s="183"/>
      <c r="G229" s="183"/>
      <c r="H229" s="183"/>
      <c r="I229" s="183"/>
      <c r="J229" s="183"/>
      <c r="K229" s="183"/>
      <c r="L229" s="183"/>
      <c r="M229" s="183"/>
      <c r="N229" s="183"/>
      <c r="O229" s="183"/>
      <c r="P229" s="183"/>
      <c r="Q229" s="183"/>
      <c r="R229" s="183"/>
      <c r="S229" s="183"/>
      <c r="T229" s="183"/>
      <c r="U229" s="183"/>
      <c r="V229" s="183"/>
      <c r="W229" s="183"/>
      <c r="X229" s="183"/>
      <c r="Y229" s="183"/>
      <c r="Z229" s="183"/>
    </row>
    <row r="230" spans="1:26" ht="24" customHeight="1">
      <c r="A230" s="186"/>
      <c r="B230" s="183"/>
      <c r="C230" s="186"/>
      <c r="D230" s="183"/>
      <c r="E230" s="186"/>
      <c r="F230" s="183"/>
      <c r="G230" s="183"/>
      <c r="H230" s="183"/>
      <c r="I230" s="183"/>
      <c r="J230" s="183"/>
      <c r="K230" s="183"/>
      <c r="L230" s="183"/>
      <c r="M230" s="183"/>
      <c r="N230" s="183"/>
      <c r="O230" s="183"/>
      <c r="P230" s="183"/>
      <c r="Q230" s="183"/>
      <c r="R230" s="183"/>
      <c r="S230" s="183"/>
      <c r="T230" s="183"/>
      <c r="U230" s="183"/>
      <c r="V230" s="183"/>
      <c r="W230" s="183"/>
      <c r="X230" s="183"/>
      <c r="Y230" s="183"/>
      <c r="Z230" s="183"/>
    </row>
    <row r="231" spans="1:26" ht="24" customHeight="1">
      <c r="A231" s="186"/>
      <c r="B231" s="183"/>
      <c r="C231" s="186"/>
      <c r="D231" s="183"/>
      <c r="E231" s="186"/>
      <c r="F231" s="183"/>
      <c r="G231" s="183"/>
      <c r="H231" s="183"/>
      <c r="I231" s="183"/>
      <c r="J231" s="183"/>
      <c r="K231" s="183"/>
      <c r="L231" s="183"/>
      <c r="M231" s="183"/>
      <c r="N231" s="183"/>
      <c r="O231" s="183"/>
      <c r="P231" s="183"/>
      <c r="Q231" s="183"/>
      <c r="R231" s="183"/>
      <c r="S231" s="183"/>
      <c r="T231" s="183"/>
      <c r="U231" s="183"/>
      <c r="V231" s="183"/>
      <c r="W231" s="183"/>
      <c r="X231" s="183"/>
      <c r="Y231" s="183"/>
      <c r="Z231" s="183"/>
    </row>
    <row r="232" spans="1:26" ht="24" customHeight="1">
      <c r="A232" s="186"/>
      <c r="B232" s="183"/>
      <c r="C232" s="186"/>
      <c r="D232" s="183"/>
      <c r="E232" s="186"/>
      <c r="F232" s="183"/>
      <c r="G232" s="183"/>
      <c r="H232" s="183"/>
      <c r="I232" s="183"/>
      <c r="J232" s="183"/>
      <c r="K232" s="183"/>
      <c r="L232" s="183"/>
      <c r="M232" s="183"/>
      <c r="N232" s="183"/>
      <c r="O232" s="183"/>
      <c r="P232" s="183"/>
      <c r="Q232" s="183"/>
      <c r="R232" s="183"/>
      <c r="S232" s="183"/>
      <c r="T232" s="183"/>
      <c r="U232" s="183"/>
      <c r="V232" s="183"/>
      <c r="W232" s="183"/>
      <c r="X232" s="183"/>
      <c r="Y232" s="183"/>
      <c r="Z232" s="183"/>
    </row>
    <row r="233" spans="1:26" ht="24" customHeight="1">
      <c r="A233" s="186"/>
      <c r="B233" s="183"/>
      <c r="C233" s="186"/>
      <c r="D233" s="183"/>
      <c r="E233" s="186"/>
      <c r="F233" s="183"/>
      <c r="G233" s="183"/>
      <c r="H233" s="183"/>
      <c r="I233" s="183"/>
      <c r="J233" s="183"/>
      <c r="K233" s="183"/>
      <c r="L233" s="183"/>
      <c r="M233" s="183"/>
      <c r="N233" s="183"/>
      <c r="O233" s="183"/>
      <c r="P233" s="183"/>
      <c r="Q233" s="183"/>
      <c r="R233" s="183"/>
      <c r="S233" s="183"/>
      <c r="T233" s="183"/>
      <c r="U233" s="183"/>
      <c r="V233" s="183"/>
      <c r="W233" s="183"/>
      <c r="X233" s="183"/>
      <c r="Y233" s="183"/>
      <c r="Z233" s="183"/>
    </row>
    <row r="234" spans="1:26" ht="24" customHeight="1">
      <c r="A234" s="186"/>
      <c r="B234" s="183"/>
      <c r="C234" s="186"/>
      <c r="D234" s="183"/>
      <c r="E234" s="186"/>
      <c r="F234" s="183"/>
      <c r="G234" s="183"/>
      <c r="H234" s="183"/>
      <c r="I234" s="183"/>
      <c r="J234" s="183"/>
      <c r="K234" s="183"/>
      <c r="L234" s="183"/>
      <c r="M234" s="183"/>
      <c r="N234" s="183"/>
      <c r="O234" s="183"/>
      <c r="P234" s="183"/>
      <c r="Q234" s="183"/>
      <c r="R234" s="183"/>
      <c r="S234" s="183"/>
      <c r="T234" s="183"/>
      <c r="U234" s="183"/>
      <c r="V234" s="183"/>
      <c r="W234" s="183"/>
      <c r="X234" s="183"/>
      <c r="Y234" s="183"/>
      <c r="Z234" s="183"/>
    </row>
    <row r="235" spans="1:26" ht="24" customHeight="1">
      <c r="A235" s="186"/>
      <c r="B235" s="183"/>
      <c r="C235" s="186"/>
      <c r="D235" s="183"/>
      <c r="E235" s="186"/>
      <c r="F235" s="183"/>
      <c r="G235" s="183"/>
      <c r="H235" s="183"/>
      <c r="I235" s="183"/>
      <c r="J235" s="183"/>
      <c r="K235" s="183"/>
      <c r="L235" s="183"/>
      <c r="M235" s="183"/>
      <c r="N235" s="183"/>
      <c r="O235" s="183"/>
      <c r="P235" s="183"/>
      <c r="Q235" s="183"/>
      <c r="R235" s="183"/>
      <c r="S235" s="183"/>
      <c r="T235" s="183"/>
      <c r="U235" s="183"/>
      <c r="V235" s="183"/>
      <c r="W235" s="183"/>
      <c r="X235" s="183"/>
      <c r="Y235" s="183"/>
      <c r="Z235" s="183"/>
    </row>
    <row r="236" spans="1:26" ht="24" customHeight="1">
      <c r="A236" s="186"/>
      <c r="B236" s="183"/>
      <c r="C236" s="186"/>
      <c r="D236" s="183"/>
      <c r="E236" s="186"/>
      <c r="F236" s="183"/>
      <c r="G236" s="183"/>
      <c r="H236" s="183"/>
      <c r="I236" s="183"/>
      <c r="J236" s="183"/>
      <c r="K236" s="183"/>
      <c r="L236" s="183"/>
      <c r="M236" s="183"/>
      <c r="N236" s="183"/>
      <c r="O236" s="183"/>
      <c r="P236" s="183"/>
      <c r="Q236" s="183"/>
      <c r="R236" s="183"/>
      <c r="S236" s="183"/>
      <c r="T236" s="183"/>
      <c r="U236" s="183"/>
      <c r="V236" s="183"/>
      <c r="W236" s="183"/>
      <c r="X236" s="183"/>
      <c r="Y236" s="183"/>
      <c r="Z236" s="183"/>
    </row>
    <row r="237" spans="1:26" ht="24" customHeight="1">
      <c r="A237" s="186"/>
      <c r="B237" s="183"/>
      <c r="C237" s="186"/>
      <c r="D237" s="183"/>
      <c r="E237" s="186"/>
      <c r="F237" s="183"/>
      <c r="G237" s="183"/>
      <c r="H237" s="183"/>
      <c r="I237" s="183"/>
      <c r="J237" s="183"/>
      <c r="K237" s="183"/>
      <c r="L237" s="183"/>
      <c r="M237" s="183"/>
      <c r="N237" s="183"/>
      <c r="O237" s="183"/>
      <c r="P237" s="183"/>
      <c r="Q237" s="183"/>
      <c r="R237" s="183"/>
      <c r="S237" s="183"/>
      <c r="T237" s="183"/>
      <c r="U237" s="183"/>
      <c r="V237" s="183"/>
      <c r="W237" s="183"/>
      <c r="X237" s="183"/>
      <c r="Y237" s="183"/>
      <c r="Z237" s="183"/>
    </row>
    <row r="238" spans="1:26" ht="24" customHeight="1">
      <c r="A238" s="186"/>
      <c r="B238" s="183"/>
      <c r="C238" s="186"/>
      <c r="D238" s="183"/>
      <c r="E238" s="186"/>
      <c r="F238" s="183"/>
      <c r="G238" s="183"/>
      <c r="H238" s="183"/>
      <c r="I238" s="183"/>
      <c r="J238" s="183"/>
      <c r="K238" s="183"/>
      <c r="L238" s="183"/>
      <c r="M238" s="183"/>
      <c r="N238" s="183"/>
      <c r="O238" s="183"/>
      <c r="P238" s="183"/>
      <c r="Q238" s="183"/>
      <c r="R238" s="183"/>
      <c r="S238" s="183"/>
      <c r="T238" s="183"/>
      <c r="U238" s="183"/>
      <c r="V238" s="183"/>
      <c r="W238" s="183"/>
      <c r="X238" s="183"/>
      <c r="Y238" s="183"/>
      <c r="Z238" s="183"/>
    </row>
    <row r="239" spans="1:26" ht="24" customHeight="1">
      <c r="A239" s="186"/>
      <c r="B239" s="183"/>
      <c r="C239" s="186"/>
      <c r="D239" s="183"/>
      <c r="E239" s="186"/>
      <c r="F239" s="183"/>
      <c r="G239" s="183"/>
      <c r="H239" s="183"/>
      <c r="I239" s="183"/>
      <c r="J239" s="183"/>
      <c r="K239" s="183"/>
      <c r="L239" s="183"/>
      <c r="M239" s="183"/>
      <c r="N239" s="183"/>
      <c r="O239" s="183"/>
      <c r="P239" s="183"/>
      <c r="Q239" s="183"/>
      <c r="R239" s="183"/>
      <c r="S239" s="183"/>
      <c r="T239" s="183"/>
      <c r="U239" s="183"/>
      <c r="V239" s="183"/>
      <c r="W239" s="183"/>
      <c r="X239" s="183"/>
      <c r="Y239" s="183"/>
      <c r="Z239" s="183"/>
    </row>
    <row r="240" spans="1:26" ht="24" customHeight="1">
      <c r="A240" s="186"/>
      <c r="B240" s="183"/>
      <c r="C240" s="186"/>
      <c r="D240" s="183"/>
      <c r="E240" s="186"/>
      <c r="F240" s="183"/>
      <c r="G240" s="183"/>
      <c r="H240" s="183"/>
      <c r="I240" s="183"/>
      <c r="J240" s="183"/>
      <c r="K240" s="183"/>
      <c r="L240" s="183"/>
      <c r="M240" s="183"/>
      <c r="N240" s="183"/>
      <c r="O240" s="183"/>
      <c r="P240" s="183"/>
      <c r="Q240" s="183"/>
      <c r="R240" s="183"/>
      <c r="S240" s="183"/>
      <c r="T240" s="183"/>
      <c r="U240" s="183"/>
      <c r="V240" s="183"/>
      <c r="W240" s="183"/>
      <c r="X240" s="183"/>
      <c r="Y240" s="183"/>
      <c r="Z240" s="183"/>
    </row>
    <row r="241" spans="1:26" ht="24" customHeight="1">
      <c r="A241" s="186"/>
      <c r="B241" s="183"/>
      <c r="C241" s="186"/>
      <c r="D241" s="183"/>
      <c r="E241" s="186"/>
      <c r="F241" s="183"/>
      <c r="G241" s="183"/>
      <c r="H241" s="183"/>
      <c r="I241" s="183"/>
      <c r="J241" s="183"/>
      <c r="K241" s="183"/>
      <c r="L241" s="183"/>
      <c r="M241" s="183"/>
      <c r="N241" s="183"/>
      <c r="O241" s="183"/>
      <c r="P241" s="183"/>
      <c r="Q241" s="183"/>
      <c r="R241" s="183"/>
      <c r="S241" s="183"/>
      <c r="T241" s="183"/>
      <c r="U241" s="183"/>
      <c r="V241" s="183"/>
      <c r="W241" s="183"/>
      <c r="X241" s="183"/>
      <c r="Y241" s="183"/>
      <c r="Z241" s="183"/>
    </row>
    <row r="242" spans="1:26" ht="24" customHeight="1">
      <c r="A242" s="186"/>
      <c r="B242" s="183"/>
      <c r="C242" s="186"/>
      <c r="D242" s="183"/>
      <c r="E242" s="186"/>
      <c r="F242" s="183"/>
      <c r="G242" s="183"/>
      <c r="H242" s="183"/>
      <c r="I242" s="183"/>
      <c r="J242" s="183"/>
      <c r="K242" s="183"/>
      <c r="L242" s="183"/>
      <c r="M242" s="183"/>
      <c r="N242" s="183"/>
      <c r="O242" s="183"/>
      <c r="P242" s="183"/>
      <c r="Q242" s="183"/>
      <c r="R242" s="183"/>
      <c r="S242" s="183"/>
      <c r="T242" s="183"/>
      <c r="U242" s="183"/>
      <c r="V242" s="183"/>
      <c r="W242" s="183"/>
      <c r="X242" s="183"/>
      <c r="Y242" s="183"/>
      <c r="Z242" s="183"/>
    </row>
    <row r="243" spans="1:26" ht="24" customHeight="1">
      <c r="A243" s="186"/>
      <c r="B243" s="183"/>
      <c r="C243" s="186"/>
      <c r="D243" s="183"/>
      <c r="E243" s="186"/>
      <c r="F243" s="183"/>
      <c r="G243" s="183"/>
      <c r="H243" s="183"/>
      <c r="I243" s="183"/>
      <c r="J243" s="183"/>
      <c r="K243" s="183"/>
      <c r="L243" s="183"/>
      <c r="M243" s="183"/>
      <c r="N243" s="183"/>
      <c r="O243" s="183"/>
      <c r="P243" s="183"/>
      <c r="Q243" s="183"/>
      <c r="R243" s="183"/>
      <c r="S243" s="183"/>
      <c r="T243" s="183"/>
      <c r="U243" s="183"/>
      <c r="V243" s="183"/>
      <c r="W243" s="183"/>
      <c r="X243" s="183"/>
      <c r="Y243" s="183"/>
      <c r="Z243" s="183"/>
    </row>
    <row r="244" spans="1:26" ht="24" customHeight="1">
      <c r="A244" s="186"/>
      <c r="B244" s="183"/>
      <c r="C244" s="186"/>
      <c r="D244" s="183"/>
      <c r="E244" s="186"/>
      <c r="F244" s="183"/>
      <c r="G244" s="183"/>
      <c r="H244" s="183"/>
      <c r="I244" s="183"/>
      <c r="J244" s="183"/>
      <c r="K244" s="183"/>
      <c r="L244" s="183"/>
      <c r="M244" s="183"/>
      <c r="N244" s="183"/>
      <c r="O244" s="183"/>
      <c r="P244" s="183"/>
      <c r="Q244" s="183"/>
      <c r="R244" s="183"/>
      <c r="S244" s="183"/>
      <c r="T244" s="183"/>
      <c r="U244" s="183"/>
      <c r="V244" s="183"/>
      <c r="W244" s="183"/>
      <c r="X244" s="183"/>
      <c r="Y244" s="183"/>
      <c r="Z244" s="183"/>
    </row>
    <row r="245" spans="1:26" ht="24" customHeight="1">
      <c r="A245" s="186"/>
      <c r="B245" s="183"/>
      <c r="C245" s="186"/>
      <c r="D245" s="183"/>
      <c r="E245" s="186"/>
      <c r="F245" s="183"/>
      <c r="G245" s="183"/>
      <c r="H245" s="183"/>
      <c r="I245" s="183"/>
      <c r="J245" s="183"/>
      <c r="K245" s="183"/>
      <c r="L245" s="183"/>
      <c r="M245" s="183"/>
      <c r="N245" s="183"/>
      <c r="O245" s="183"/>
      <c r="P245" s="183"/>
      <c r="Q245" s="183"/>
      <c r="R245" s="183"/>
      <c r="S245" s="183"/>
      <c r="T245" s="183"/>
      <c r="U245" s="183"/>
      <c r="V245" s="183"/>
      <c r="W245" s="183"/>
      <c r="X245" s="183"/>
      <c r="Y245" s="183"/>
      <c r="Z245" s="183"/>
    </row>
    <row r="246" spans="1:26" ht="24" customHeight="1">
      <c r="A246" s="186"/>
      <c r="B246" s="183"/>
      <c r="C246" s="186"/>
      <c r="D246" s="183"/>
      <c r="E246" s="186"/>
      <c r="F246" s="183"/>
      <c r="G246" s="183"/>
      <c r="H246" s="183"/>
      <c r="I246" s="183"/>
      <c r="J246" s="183"/>
      <c r="K246" s="183"/>
      <c r="L246" s="183"/>
      <c r="M246" s="183"/>
      <c r="N246" s="183"/>
      <c r="O246" s="183"/>
      <c r="P246" s="183"/>
      <c r="Q246" s="183"/>
      <c r="R246" s="183"/>
      <c r="S246" s="183"/>
      <c r="T246" s="183"/>
      <c r="U246" s="183"/>
      <c r="V246" s="183"/>
      <c r="W246" s="183"/>
      <c r="X246" s="183"/>
      <c r="Y246" s="183"/>
      <c r="Z246" s="183"/>
    </row>
    <row r="247" spans="1:26" ht="24" customHeight="1">
      <c r="A247" s="186"/>
      <c r="B247" s="183"/>
      <c r="C247" s="186"/>
      <c r="D247" s="183"/>
      <c r="E247" s="186"/>
      <c r="F247" s="183"/>
      <c r="G247" s="183"/>
      <c r="H247" s="183"/>
      <c r="I247" s="183"/>
      <c r="J247" s="183"/>
      <c r="K247" s="183"/>
      <c r="L247" s="183"/>
      <c r="M247" s="183"/>
      <c r="N247" s="183"/>
      <c r="O247" s="183"/>
      <c r="P247" s="183"/>
      <c r="Q247" s="183"/>
      <c r="R247" s="183"/>
      <c r="S247" s="183"/>
      <c r="T247" s="183"/>
      <c r="U247" s="183"/>
      <c r="V247" s="183"/>
      <c r="W247" s="183"/>
      <c r="X247" s="183"/>
      <c r="Y247" s="183"/>
      <c r="Z247" s="183"/>
    </row>
    <row r="248" spans="1:26" ht="24" customHeight="1">
      <c r="A248" s="186"/>
      <c r="B248" s="183"/>
      <c r="C248" s="186"/>
      <c r="D248" s="183"/>
      <c r="E248" s="186"/>
      <c r="F248" s="183"/>
      <c r="G248" s="183"/>
      <c r="H248" s="183"/>
      <c r="I248" s="183"/>
      <c r="J248" s="183"/>
      <c r="K248" s="183"/>
      <c r="L248" s="183"/>
      <c r="M248" s="183"/>
      <c r="N248" s="183"/>
      <c r="O248" s="183"/>
      <c r="P248" s="183"/>
      <c r="Q248" s="183"/>
      <c r="R248" s="183"/>
      <c r="S248" s="183"/>
      <c r="T248" s="183"/>
      <c r="U248" s="183"/>
      <c r="V248" s="183"/>
      <c r="W248" s="183"/>
      <c r="X248" s="183"/>
      <c r="Y248" s="183"/>
      <c r="Z248" s="183"/>
    </row>
    <row r="249" spans="1:26" ht="24" customHeight="1">
      <c r="A249" s="186"/>
      <c r="B249" s="183"/>
      <c r="C249" s="186"/>
      <c r="D249" s="183"/>
      <c r="E249" s="186"/>
      <c r="F249" s="183"/>
      <c r="G249" s="183"/>
      <c r="H249" s="183"/>
      <c r="I249" s="183"/>
      <c r="J249" s="183"/>
      <c r="K249" s="183"/>
      <c r="L249" s="183"/>
      <c r="M249" s="183"/>
      <c r="N249" s="183"/>
      <c r="O249" s="183"/>
      <c r="P249" s="183"/>
      <c r="Q249" s="183"/>
      <c r="R249" s="183"/>
      <c r="S249" s="183"/>
      <c r="T249" s="183"/>
      <c r="U249" s="183"/>
      <c r="V249" s="183"/>
      <c r="W249" s="183"/>
      <c r="X249" s="183"/>
      <c r="Y249" s="183"/>
      <c r="Z249" s="183"/>
    </row>
  </sheetData>
  <mergeCells count="44">
    <mergeCell ref="H32:H33"/>
    <mergeCell ref="I32:I33"/>
    <mergeCell ref="A85:D85"/>
    <mergeCell ref="E85:G85"/>
    <mergeCell ref="A20:I20"/>
    <mergeCell ref="A21:I21"/>
    <mergeCell ref="A22:I22"/>
    <mergeCell ref="B23:B24"/>
    <mergeCell ref="C23:D23"/>
    <mergeCell ref="E23:E24"/>
    <mergeCell ref="F23:F24"/>
    <mergeCell ref="A42:I42"/>
    <mergeCell ref="A43:I43"/>
    <mergeCell ref="A44:D44"/>
    <mergeCell ref="E44:G44"/>
    <mergeCell ref="A31:I31"/>
    <mergeCell ref="B32:B33"/>
    <mergeCell ref="C32:G32"/>
    <mergeCell ref="A62:D62"/>
    <mergeCell ref="A41:I41"/>
    <mergeCell ref="J93:J94"/>
    <mergeCell ref="A101:D101"/>
    <mergeCell ref="E101:I101"/>
    <mergeCell ref="J101:J102"/>
    <mergeCell ref="A90:D90"/>
    <mergeCell ref="A92:I92"/>
    <mergeCell ref="A93:D93"/>
    <mergeCell ref="E93:I93"/>
    <mergeCell ref="A64:D64"/>
    <mergeCell ref="E64:G64"/>
    <mergeCell ref="A76:D76"/>
    <mergeCell ref="A78:D78"/>
    <mergeCell ref="E78:G78"/>
    <mergeCell ref="A83:D83"/>
    <mergeCell ref="A113:D113"/>
    <mergeCell ref="A99:D99"/>
    <mergeCell ref="A136:D136"/>
    <mergeCell ref="A115:D115"/>
    <mergeCell ref="E115:I115"/>
    <mergeCell ref="J115:J116"/>
    <mergeCell ref="A127:D127"/>
    <mergeCell ref="A129:D129"/>
    <mergeCell ref="E129:I129"/>
    <mergeCell ref="J129:J13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4A646-62B5-4A33-B74A-F69B3800C20D}">
  <sheetPr>
    <tabColor rgb="FF8ED873"/>
  </sheetPr>
  <dimension ref="A1:Z178"/>
  <sheetViews>
    <sheetView topLeftCell="A7" workbookViewId="0">
      <selection activeCell="D18" sqref="D18"/>
    </sheetView>
  </sheetViews>
  <sheetFormatPr defaultColWidth="9.1796875" defaultRowHeight="23"/>
  <cols>
    <col min="1" max="1" width="14" style="31" customWidth="1"/>
    <col min="2" max="2" width="27.54296875" style="31" customWidth="1"/>
    <col min="3" max="3" width="32" style="31" customWidth="1"/>
    <col min="4" max="4" width="27.81640625" style="31" customWidth="1"/>
    <col min="5" max="5" width="19.26953125" style="31" customWidth="1"/>
    <col min="6" max="10" width="9.26953125" style="31" bestFit="1" customWidth="1"/>
    <col min="11" max="16384" width="9.1796875" style="31"/>
  </cols>
  <sheetData>
    <row r="1" spans="1:26" s="40" customFormat="1" ht="22.5" customHeight="1">
      <c r="A1" s="40" t="s">
        <v>351</v>
      </c>
    </row>
    <row r="2" spans="1:26" s="40" customFormat="1" ht="22.5" customHeight="1">
      <c r="A2" s="40" t="s">
        <v>541</v>
      </c>
    </row>
    <row r="3" spans="1:26" s="40" customFormat="1" ht="22.5" customHeight="1">
      <c r="A3" s="40" t="s">
        <v>584</v>
      </c>
    </row>
    <row r="4" spans="1:26" s="40" customFormat="1" ht="22.5" customHeight="1"/>
    <row r="5" spans="1:26" ht="47.25" customHeight="1">
      <c r="A5" s="18" t="s">
        <v>0</v>
      </c>
      <c r="B5" s="19" t="s">
        <v>126</v>
      </c>
      <c r="C5" s="19" t="s">
        <v>127</v>
      </c>
      <c r="D5" s="30" t="s">
        <v>128</v>
      </c>
      <c r="E5" s="20" t="s">
        <v>129</v>
      </c>
      <c r="F5" s="183"/>
      <c r="G5" s="183"/>
      <c r="H5" s="183"/>
      <c r="I5" s="183"/>
      <c r="J5" s="183"/>
      <c r="K5" s="183"/>
      <c r="L5" s="183"/>
      <c r="M5" s="183"/>
      <c r="N5" s="183"/>
      <c r="O5" s="183"/>
      <c r="P5" s="183"/>
      <c r="Q5" s="183"/>
      <c r="R5" s="183"/>
      <c r="S5" s="183"/>
      <c r="T5" s="183"/>
      <c r="U5" s="183"/>
      <c r="V5" s="183"/>
      <c r="W5" s="183"/>
      <c r="X5" s="183"/>
      <c r="Y5" s="183"/>
      <c r="Z5" s="183"/>
    </row>
    <row r="6" spans="1:26" ht="24" customHeight="1">
      <c r="A6" s="14" t="s">
        <v>1</v>
      </c>
      <c r="B6" s="15">
        <v>3321</v>
      </c>
      <c r="C6" s="15">
        <v>2355</v>
      </c>
      <c r="D6" s="13">
        <f>SUM(B6:C6)</f>
        <v>5676</v>
      </c>
      <c r="E6" s="12">
        <v>16</v>
      </c>
      <c r="F6" s="183"/>
      <c r="G6" s="183"/>
      <c r="H6" s="183"/>
      <c r="I6" s="183"/>
      <c r="J6" s="183"/>
      <c r="K6" s="183"/>
      <c r="L6" s="183"/>
      <c r="M6" s="183"/>
      <c r="N6" s="183"/>
      <c r="O6" s="183"/>
      <c r="P6" s="183"/>
      <c r="Q6" s="183"/>
      <c r="R6" s="183"/>
      <c r="S6" s="183"/>
      <c r="T6" s="183"/>
      <c r="U6" s="183"/>
      <c r="V6" s="183"/>
      <c r="W6" s="183"/>
      <c r="X6" s="183"/>
      <c r="Y6" s="183"/>
      <c r="Z6" s="183"/>
    </row>
    <row r="7" spans="1:26" ht="24" customHeight="1">
      <c r="A7" s="14" t="s">
        <v>2</v>
      </c>
      <c r="B7" s="15">
        <v>2492</v>
      </c>
      <c r="C7" s="15">
        <v>1963</v>
      </c>
      <c r="D7" s="13">
        <f>SUM(B7:C7)</f>
        <v>4455</v>
      </c>
      <c r="E7" s="12">
        <v>10</v>
      </c>
      <c r="F7" s="183"/>
      <c r="G7" s="183"/>
      <c r="H7" s="183"/>
      <c r="I7" s="183"/>
      <c r="J7" s="183"/>
      <c r="K7" s="183"/>
      <c r="L7" s="183"/>
      <c r="M7" s="183"/>
      <c r="N7" s="183"/>
      <c r="O7" s="183"/>
      <c r="P7" s="183"/>
      <c r="Q7" s="183"/>
      <c r="R7" s="183"/>
      <c r="S7" s="183"/>
      <c r="T7" s="183"/>
      <c r="U7" s="183"/>
      <c r="V7" s="183"/>
      <c r="W7" s="183"/>
      <c r="X7" s="183"/>
      <c r="Y7" s="183"/>
      <c r="Z7" s="183"/>
    </row>
    <row r="8" spans="1:26" ht="24" customHeight="1">
      <c r="A8" s="14" t="s">
        <v>3</v>
      </c>
      <c r="B8" s="14">
        <v>167</v>
      </c>
      <c r="C8" s="14">
        <v>0</v>
      </c>
      <c r="D8" s="13">
        <f>SUM(B8:C8)</f>
        <v>167</v>
      </c>
      <c r="E8" s="12">
        <v>3</v>
      </c>
      <c r="F8" s="183"/>
      <c r="G8" s="183"/>
      <c r="H8" s="183"/>
      <c r="I8" s="183"/>
      <c r="J8" s="183"/>
      <c r="K8" s="183"/>
      <c r="L8" s="183"/>
      <c r="M8" s="183"/>
      <c r="N8" s="183"/>
      <c r="O8" s="183"/>
      <c r="P8" s="183"/>
      <c r="Q8" s="183"/>
      <c r="R8" s="183"/>
      <c r="S8" s="183"/>
      <c r="T8" s="183"/>
      <c r="U8" s="183"/>
      <c r="V8" s="183"/>
      <c r="W8" s="183"/>
      <c r="X8" s="183"/>
      <c r="Y8" s="183"/>
      <c r="Z8" s="183"/>
    </row>
    <row r="9" spans="1:26" ht="24" customHeight="1">
      <c r="A9" s="14" t="s">
        <v>4</v>
      </c>
      <c r="B9" s="14">
        <v>222</v>
      </c>
      <c r="C9" s="14">
        <v>32</v>
      </c>
      <c r="D9" s="13">
        <f>SUM(B9:C9)</f>
        <v>254</v>
      </c>
      <c r="E9" s="12">
        <v>3</v>
      </c>
      <c r="F9" s="183"/>
      <c r="G9" s="183"/>
      <c r="H9" s="183"/>
      <c r="I9" s="183"/>
      <c r="J9" s="183"/>
      <c r="K9" s="183"/>
      <c r="L9" s="183"/>
      <c r="M9" s="183"/>
      <c r="N9" s="183"/>
      <c r="O9" s="183"/>
      <c r="P9" s="183"/>
      <c r="Q9" s="183"/>
      <c r="R9" s="183"/>
      <c r="S9" s="183"/>
      <c r="T9" s="183"/>
      <c r="U9" s="183"/>
      <c r="V9" s="183"/>
      <c r="W9" s="183"/>
      <c r="X9" s="183"/>
      <c r="Y9" s="183"/>
      <c r="Z9" s="183"/>
    </row>
    <row r="10" spans="1:26" ht="24" customHeight="1">
      <c r="A10" s="186"/>
      <c r="B10" s="183"/>
      <c r="C10" s="186"/>
      <c r="D10" s="183"/>
      <c r="E10" s="186"/>
      <c r="F10" s="183"/>
      <c r="G10" s="183"/>
      <c r="H10" s="183"/>
      <c r="I10" s="183"/>
      <c r="J10" s="183"/>
      <c r="K10" s="183"/>
      <c r="L10" s="183"/>
      <c r="M10" s="183"/>
      <c r="N10" s="183"/>
      <c r="O10" s="183"/>
      <c r="P10" s="183"/>
      <c r="Q10" s="183"/>
      <c r="R10" s="183"/>
      <c r="S10" s="183"/>
      <c r="T10" s="183"/>
      <c r="U10" s="183"/>
      <c r="V10" s="183"/>
      <c r="W10" s="183"/>
      <c r="X10" s="183"/>
      <c r="Y10" s="183"/>
      <c r="Z10" s="183"/>
    </row>
    <row r="11" spans="1:26" ht="24" customHeight="1">
      <c r="A11" s="186"/>
      <c r="B11" s="183"/>
      <c r="C11" s="186"/>
      <c r="D11" s="183"/>
      <c r="E11" s="186"/>
      <c r="F11" s="183"/>
      <c r="G11" s="183"/>
      <c r="H11" s="183"/>
      <c r="I11" s="183"/>
      <c r="J11" s="183"/>
      <c r="K11" s="183"/>
      <c r="L11" s="183"/>
      <c r="M11" s="183"/>
      <c r="N11" s="183"/>
      <c r="O11" s="183"/>
      <c r="P11" s="183"/>
      <c r="Q11" s="183"/>
      <c r="R11" s="183"/>
      <c r="S11" s="183"/>
      <c r="T11" s="183"/>
      <c r="U11" s="183"/>
      <c r="V11" s="183"/>
      <c r="W11" s="183"/>
      <c r="X11" s="183"/>
      <c r="Y11" s="183"/>
      <c r="Z11" s="183"/>
    </row>
    <row r="12" spans="1:26" ht="24" customHeight="1">
      <c r="A12" s="186"/>
      <c r="B12" s="183"/>
      <c r="C12" s="186"/>
      <c r="D12" s="183"/>
      <c r="E12" s="186"/>
      <c r="F12" s="183"/>
      <c r="G12" s="183"/>
      <c r="H12" s="183"/>
      <c r="I12" s="183"/>
      <c r="J12" s="183"/>
      <c r="K12" s="183"/>
      <c r="L12" s="183"/>
      <c r="M12" s="183"/>
      <c r="N12" s="183"/>
      <c r="O12" s="183"/>
      <c r="P12" s="183"/>
      <c r="Q12" s="183"/>
      <c r="R12" s="183"/>
      <c r="S12" s="183"/>
      <c r="T12" s="183"/>
      <c r="U12" s="183"/>
      <c r="V12" s="183"/>
      <c r="W12" s="183"/>
      <c r="X12" s="183"/>
      <c r="Y12" s="183"/>
      <c r="Z12" s="183"/>
    </row>
    <row r="13" spans="1:26" ht="24" customHeight="1">
      <c r="A13" s="186"/>
      <c r="B13" s="183"/>
      <c r="C13" s="186"/>
      <c r="D13" s="183"/>
      <c r="E13" s="186"/>
      <c r="F13" s="183"/>
      <c r="G13" s="183"/>
      <c r="H13" s="183"/>
      <c r="I13" s="183"/>
      <c r="J13" s="183"/>
      <c r="K13" s="183"/>
      <c r="L13" s="183"/>
      <c r="M13" s="183"/>
      <c r="N13" s="183"/>
      <c r="O13" s="183"/>
      <c r="P13" s="183"/>
      <c r="Q13" s="183"/>
      <c r="R13" s="183"/>
      <c r="S13" s="183"/>
      <c r="T13" s="183"/>
      <c r="U13" s="183"/>
      <c r="V13" s="183"/>
      <c r="W13" s="183"/>
      <c r="X13" s="183"/>
      <c r="Y13" s="183"/>
      <c r="Z13" s="183"/>
    </row>
    <row r="14" spans="1:26" ht="24" customHeight="1">
      <c r="A14" s="186"/>
      <c r="B14" s="183"/>
      <c r="C14" s="186"/>
      <c r="D14" s="183"/>
      <c r="E14" s="186"/>
      <c r="F14" s="183"/>
      <c r="G14" s="183"/>
      <c r="H14" s="183"/>
      <c r="I14" s="183"/>
      <c r="J14" s="183"/>
      <c r="K14" s="183"/>
      <c r="L14" s="183"/>
      <c r="M14" s="183"/>
      <c r="N14" s="183"/>
      <c r="O14" s="183"/>
      <c r="P14" s="183"/>
      <c r="Q14" s="183"/>
      <c r="R14" s="183"/>
      <c r="S14" s="183"/>
      <c r="T14" s="183"/>
      <c r="U14" s="183"/>
      <c r="V14" s="183"/>
      <c r="W14" s="183"/>
      <c r="X14" s="183"/>
      <c r="Y14" s="183"/>
      <c r="Z14" s="183"/>
    </row>
    <row r="15" spans="1:26" ht="24" customHeight="1">
      <c r="A15" s="186"/>
      <c r="B15" s="183"/>
      <c r="C15" s="186"/>
      <c r="D15" s="183"/>
      <c r="E15" s="186"/>
      <c r="F15" s="183"/>
      <c r="G15" s="183"/>
      <c r="H15" s="183"/>
      <c r="I15" s="183"/>
      <c r="J15" s="183"/>
      <c r="K15" s="183"/>
      <c r="L15" s="183"/>
      <c r="M15" s="183"/>
      <c r="N15" s="183"/>
      <c r="O15" s="183"/>
      <c r="P15" s="183"/>
      <c r="Q15" s="183"/>
      <c r="R15" s="183"/>
      <c r="S15" s="183"/>
      <c r="T15" s="183"/>
      <c r="U15" s="183"/>
      <c r="V15" s="183"/>
      <c r="W15" s="183"/>
      <c r="X15" s="183"/>
      <c r="Y15" s="183"/>
      <c r="Z15" s="183"/>
    </row>
    <row r="16" spans="1:26" ht="24" customHeight="1">
      <c r="A16" s="186"/>
      <c r="B16" s="183"/>
      <c r="C16" s="186"/>
      <c r="D16" s="183"/>
      <c r="E16" s="186"/>
      <c r="F16" s="183"/>
      <c r="G16" s="183"/>
      <c r="H16" s="183"/>
      <c r="I16" s="183"/>
      <c r="J16" s="183"/>
      <c r="K16" s="183"/>
      <c r="L16" s="183"/>
      <c r="M16" s="183"/>
      <c r="N16" s="183"/>
      <c r="O16" s="183"/>
      <c r="P16" s="183"/>
      <c r="Q16" s="183"/>
      <c r="R16" s="183"/>
      <c r="S16" s="183"/>
      <c r="T16" s="183"/>
      <c r="U16" s="183"/>
      <c r="V16" s="183"/>
      <c r="W16" s="183"/>
      <c r="X16" s="183"/>
      <c r="Y16" s="183"/>
      <c r="Z16" s="183"/>
    </row>
    <row r="17" spans="1:26" ht="24" customHeight="1">
      <c r="A17" s="186"/>
      <c r="B17" s="183"/>
      <c r="C17" s="186"/>
      <c r="D17" s="183"/>
      <c r="E17" s="186"/>
      <c r="F17" s="183"/>
      <c r="G17" s="183"/>
      <c r="H17" s="183"/>
      <c r="I17" s="183"/>
      <c r="J17" s="183"/>
      <c r="K17" s="183"/>
      <c r="L17" s="183"/>
      <c r="M17" s="183"/>
      <c r="N17" s="183"/>
      <c r="O17" s="183"/>
      <c r="P17" s="183"/>
      <c r="Q17" s="183"/>
      <c r="R17" s="183"/>
      <c r="S17" s="183"/>
      <c r="T17" s="183"/>
      <c r="U17" s="183"/>
      <c r="V17" s="183"/>
      <c r="W17" s="183"/>
      <c r="X17" s="183"/>
      <c r="Y17" s="183"/>
      <c r="Z17" s="183"/>
    </row>
    <row r="24" spans="1:26" customFormat="1" ht="24" customHeight="1">
      <c r="A24" s="226" t="s">
        <v>11</v>
      </c>
      <c r="B24" s="224"/>
      <c r="C24" s="224"/>
      <c r="D24" s="227"/>
      <c r="E24" s="228" t="s">
        <v>130</v>
      </c>
      <c r="F24" s="224"/>
      <c r="G24" s="227"/>
      <c r="H24" s="6"/>
      <c r="I24" s="6"/>
      <c r="J24" s="6"/>
      <c r="K24" s="6"/>
      <c r="L24" s="6"/>
      <c r="M24" s="6"/>
      <c r="N24" s="6"/>
      <c r="O24" s="6"/>
      <c r="P24" s="6"/>
      <c r="Q24" s="6"/>
      <c r="R24" s="6"/>
      <c r="S24" s="6"/>
      <c r="T24" s="6"/>
      <c r="U24" s="6"/>
      <c r="V24" s="6"/>
      <c r="W24" s="6"/>
      <c r="X24" s="6"/>
      <c r="Y24" s="6"/>
      <c r="Z24" s="6"/>
    </row>
    <row r="25" spans="1:26" customFormat="1" ht="24" customHeight="1">
      <c r="A25" s="3" t="s">
        <v>5</v>
      </c>
      <c r="B25" s="3" t="s">
        <v>16</v>
      </c>
      <c r="C25" s="3" t="s">
        <v>38</v>
      </c>
      <c r="D25" s="3" t="s">
        <v>39</v>
      </c>
      <c r="E25" s="3" t="s">
        <v>40</v>
      </c>
      <c r="F25" s="3" t="s">
        <v>41</v>
      </c>
      <c r="G25" s="3" t="s">
        <v>10</v>
      </c>
      <c r="H25" s="6"/>
      <c r="I25" s="6"/>
      <c r="J25" s="6"/>
      <c r="K25" s="6"/>
      <c r="L25" s="6"/>
      <c r="M25" s="6"/>
      <c r="N25" s="6"/>
      <c r="O25" s="6"/>
      <c r="P25" s="6"/>
      <c r="Q25" s="6"/>
      <c r="R25" s="6"/>
      <c r="S25" s="6"/>
      <c r="T25" s="6"/>
      <c r="U25" s="6"/>
      <c r="V25" s="6"/>
      <c r="W25" s="6"/>
      <c r="X25" s="6"/>
      <c r="Y25" s="6"/>
      <c r="Z25" s="6"/>
    </row>
    <row r="26" spans="1:26" customFormat="1" ht="144">
      <c r="A26" s="2">
        <v>1</v>
      </c>
      <c r="B26" s="21" t="s">
        <v>131</v>
      </c>
      <c r="C26" s="2" t="s">
        <v>43</v>
      </c>
      <c r="D26" s="10" t="s">
        <v>132</v>
      </c>
      <c r="E26" s="2">
        <v>21</v>
      </c>
      <c r="F26" s="2" t="s">
        <v>15</v>
      </c>
      <c r="G26" s="7">
        <f t="shared" ref="G26:G45" si="0">SUM(E26:F26)</f>
        <v>21</v>
      </c>
      <c r="H26" s="1"/>
      <c r="I26" s="1"/>
      <c r="J26" s="1"/>
      <c r="K26" s="1"/>
      <c r="L26" s="1"/>
      <c r="M26" s="1"/>
      <c r="N26" s="1"/>
      <c r="O26" s="1"/>
      <c r="P26" s="1"/>
      <c r="Q26" s="1"/>
      <c r="R26" s="1"/>
      <c r="S26" s="1"/>
      <c r="T26" s="1"/>
      <c r="U26" s="1"/>
      <c r="V26" s="1"/>
      <c r="W26" s="1"/>
      <c r="X26" s="1"/>
      <c r="Y26" s="1"/>
      <c r="Z26" s="1"/>
    </row>
    <row r="27" spans="1:26" customFormat="1" ht="15.75" customHeight="1">
      <c r="A27" s="2">
        <v>2</v>
      </c>
      <c r="B27" s="21" t="s">
        <v>133</v>
      </c>
      <c r="C27" s="2" t="s">
        <v>46</v>
      </c>
      <c r="D27" s="10" t="s">
        <v>134</v>
      </c>
      <c r="E27" s="2">
        <v>19</v>
      </c>
      <c r="F27" s="2" t="s">
        <v>15</v>
      </c>
      <c r="G27" s="7">
        <f t="shared" si="0"/>
        <v>19</v>
      </c>
      <c r="H27" s="1"/>
      <c r="I27" s="1"/>
      <c r="J27" s="1"/>
      <c r="K27" s="1"/>
      <c r="L27" s="1"/>
      <c r="M27" s="1"/>
      <c r="N27" s="1"/>
      <c r="O27" s="1"/>
      <c r="P27" s="1"/>
      <c r="Q27" s="1"/>
      <c r="R27" s="1"/>
      <c r="S27" s="1"/>
      <c r="T27" s="1"/>
      <c r="U27" s="1"/>
      <c r="V27" s="1"/>
      <c r="W27" s="1"/>
      <c r="X27" s="1"/>
      <c r="Y27" s="1"/>
      <c r="Z27" s="1"/>
    </row>
    <row r="28" spans="1:26" customFormat="1" ht="15.75" customHeight="1">
      <c r="A28" s="2">
        <v>3</v>
      </c>
      <c r="B28" s="21" t="s">
        <v>135</v>
      </c>
      <c r="C28" s="2" t="s">
        <v>48</v>
      </c>
      <c r="D28" s="10" t="s">
        <v>136</v>
      </c>
      <c r="E28" s="2">
        <v>565</v>
      </c>
      <c r="F28" s="2">
        <v>872</v>
      </c>
      <c r="G28" s="7">
        <f t="shared" si="0"/>
        <v>1437</v>
      </c>
      <c r="H28" s="1"/>
      <c r="I28" s="1"/>
      <c r="J28" s="1"/>
      <c r="K28" s="1"/>
      <c r="L28" s="1"/>
      <c r="M28" s="1"/>
      <c r="N28" s="1"/>
      <c r="O28" s="1"/>
      <c r="P28" s="1"/>
      <c r="Q28" s="1"/>
      <c r="R28" s="1"/>
      <c r="S28" s="1"/>
      <c r="T28" s="1"/>
      <c r="U28" s="1"/>
      <c r="V28" s="1"/>
      <c r="W28" s="1"/>
      <c r="X28" s="1"/>
      <c r="Y28" s="1"/>
      <c r="Z28" s="1"/>
    </row>
    <row r="29" spans="1:26" customFormat="1" ht="15.75" customHeight="1">
      <c r="A29" s="2">
        <v>4</v>
      </c>
      <c r="B29" s="10" t="s">
        <v>137</v>
      </c>
      <c r="C29" s="2" t="s">
        <v>51</v>
      </c>
      <c r="D29" s="10" t="s">
        <v>52</v>
      </c>
      <c r="E29" s="2" t="s">
        <v>15</v>
      </c>
      <c r="F29" s="2">
        <v>696</v>
      </c>
      <c r="G29" s="7">
        <f t="shared" si="0"/>
        <v>696</v>
      </c>
      <c r="H29" s="1"/>
      <c r="I29" s="1"/>
      <c r="J29" s="1"/>
      <c r="K29" s="1"/>
      <c r="L29" s="1"/>
      <c r="M29" s="1"/>
      <c r="N29" s="1"/>
      <c r="O29" s="1"/>
      <c r="P29" s="1"/>
      <c r="Q29" s="1"/>
      <c r="R29" s="1"/>
      <c r="S29" s="1"/>
      <c r="T29" s="1"/>
      <c r="U29" s="1"/>
      <c r="V29" s="1"/>
      <c r="W29" s="1"/>
      <c r="X29" s="1"/>
      <c r="Y29" s="1"/>
      <c r="Z29" s="1"/>
    </row>
    <row r="30" spans="1:26" customFormat="1" ht="15.75" customHeight="1">
      <c r="A30" s="2">
        <v>5</v>
      </c>
      <c r="B30" s="21" t="s">
        <v>131</v>
      </c>
      <c r="C30" s="2" t="s">
        <v>53</v>
      </c>
      <c r="D30" s="10" t="s">
        <v>138</v>
      </c>
      <c r="E30" s="2">
        <v>81</v>
      </c>
      <c r="F30" s="2" t="s">
        <v>15</v>
      </c>
      <c r="G30" s="7">
        <f t="shared" si="0"/>
        <v>81</v>
      </c>
      <c r="H30" s="1"/>
      <c r="I30" s="1"/>
      <c r="J30" s="1"/>
      <c r="K30" s="1"/>
      <c r="L30" s="1"/>
      <c r="M30" s="1"/>
      <c r="N30" s="1"/>
      <c r="O30" s="1"/>
      <c r="P30" s="1"/>
      <c r="Q30" s="1"/>
      <c r="R30" s="1"/>
      <c r="S30" s="1"/>
      <c r="T30" s="1"/>
      <c r="U30" s="1"/>
      <c r="V30" s="1"/>
      <c r="W30" s="1"/>
      <c r="X30" s="1"/>
      <c r="Y30" s="1"/>
      <c r="Z30" s="1"/>
    </row>
    <row r="31" spans="1:26" customFormat="1" ht="15.75" customHeight="1">
      <c r="A31" s="2">
        <v>6</v>
      </c>
      <c r="B31" s="21" t="s">
        <v>133</v>
      </c>
      <c r="C31" s="2" t="s">
        <v>55</v>
      </c>
      <c r="D31" s="10" t="s">
        <v>56</v>
      </c>
      <c r="E31" s="2">
        <v>510</v>
      </c>
      <c r="F31" s="2" t="s">
        <v>15</v>
      </c>
      <c r="G31" s="7">
        <f t="shared" si="0"/>
        <v>510</v>
      </c>
      <c r="H31" s="1"/>
      <c r="I31" s="1"/>
      <c r="J31" s="1"/>
      <c r="K31" s="1"/>
      <c r="L31" s="1"/>
      <c r="M31" s="1"/>
      <c r="N31" s="1"/>
      <c r="O31" s="1"/>
      <c r="P31" s="1"/>
      <c r="Q31" s="1"/>
      <c r="R31" s="1"/>
      <c r="S31" s="1"/>
      <c r="T31" s="1"/>
      <c r="U31" s="1"/>
      <c r="V31" s="1"/>
      <c r="W31" s="1"/>
      <c r="X31" s="1"/>
      <c r="Y31" s="1"/>
      <c r="Z31" s="1"/>
    </row>
    <row r="32" spans="1:26" customFormat="1" ht="15.75" customHeight="1">
      <c r="A32" s="2">
        <v>7</v>
      </c>
      <c r="B32" s="21" t="s">
        <v>135</v>
      </c>
      <c r="C32" s="2" t="s">
        <v>57</v>
      </c>
      <c r="D32" s="10" t="s">
        <v>56</v>
      </c>
      <c r="E32" s="2">
        <v>347</v>
      </c>
      <c r="F32" s="2">
        <v>58</v>
      </c>
      <c r="G32" s="7">
        <f t="shared" si="0"/>
        <v>405</v>
      </c>
      <c r="H32" s="1"/>
      <c r="I32" s="1"/>
      <c r="J32" s="1"/>
      <c r="K32" s="1"/>
      <c r="L32" s="1"/>
      <c r="M32" s="1"/>
      <c r="N32" s="1"/>
      <c r="O32" s="1"/>
      <c r="P32" s="1"/>
      <c r="Q32" s="1"/>
      <c r="R32" s="1"/>
      <c r="S32" s="1"/>
      <c r="T32" s="1"/>
      <c r="U32" s="1"/>
      <c r="V32" s="1"/>
      <c r="W32" s="1"/>
      <c r="X32" s="1"/>
      <c r="Y32" s="1"/>
      <c r="Z32" s="1"/>
    </row>
    <row r="33" spans="1:26" customFormat="1" ht="15.75" customHeight="1">
      <c r="A33" s="2">
        <v>8</v>
      </c>
      <c r="B33" s="21" t="s">
        <v>135</v>
      </c>
      <c r="C33" s="2" t="s">
        <v>58</v>
      </c>
      <c r="D33" s="10" t="s">
        <v>59</v>
      </c>
      <c r="E33" s="2">
        <v>156</v>
      </c>
      <c r="F33" s="2">
        <v>34</v>
      </c>
      <c r="G33" s="7">
        <f t="shared" si="0"/>
        <v>190</v>
      </c>
      <c r="H33" s="1"/>
      <c r="I33" s="1"/>
      <c r="J33" s="1"/>
      <c r="K33" s="1"/>
      <c r="L33" s="1"/>
      <c r="M33" s="1"/>
      <c r="N33" s="1"/>
      <c r="O33" s="1"/>
      <c r="P33" s="1"/>
      <c r="Q33" s="1"/>
      <c r="R33" s="1"/>
      <c r="S33" s="1"/>
      <c r="T33" s="1"/>
      <c r="U33" s="1"/>
      <c r="V33" s="1"/>
      <c r="W33" s="1"/>
      <c r="X33" s="1"/>
      <c r="Y33" s="1"/>
      <c r="Z33" s="1"/>
    </row>
    <row r="34" spans="1:26" customFormat="1" ht="15.75" customHeight="1">
      <c r="A34" s="2">
        <v>9</v>
      </c>
      <c r="B34" s="21" t="s">
        <v>139</v>
      </c>
      <c r="C34" s="2" t="s">
        <v>61</v>
      </c>
      <c r="D34" s="10" t="s">
        <v>140</v>
      </c>
      <c r="E34" s="2">
        <v>89</v>
      </c>
      <c r="F34" s="2" t="s">
        <v>15</v>
      </c>
      <c r="G34" s="7">
        <f t="shared" si="0"/>
        <v>89</v>
      </c>
      <c r="H34" s="1"/>
      <c r="I34" s="1"/>
      <c r="J34" s="1"/>
      <c r="K34" s="1"/>
      <c r="L34" s="1"/>
      <c r="M34" s="1"/>
      <c r="N34" s="1"/>
      <c r="O34" s="1"/>
      <c r="P34" s="1"/>
      <c r="Q34" s="1"/>
      <c r="R34" s="1"/>
      <c r="S34" s="1"/>
      <c r="T34" s="1"/>
      <c r="U34" s="1"/>
      <c r="V34" s="1"/>
      <c r="W34" s="1"/>
      <c r="X34" s="1"/>
      <c r="Y34" s="1"/>
      <c r="Z34" s="1"/>
    </row>
    <row r="35" spans="1:26" customFormat="1" ht="15.75" customHeight="1">
      <c r="A35" s="2">
        <v>10</v>
      </c>
      <c r="B35" s="21" t="s">
        <v>133</v>
      </c>
      <c r="C35" s="2" t="s">
        <v>63</v>
      </c>
      <c r="D35" s="10" t="s">
        <v>64</v>
      </c>
      <c r="E35" s="2">
        <v>216</v>
      </c>
      <c r="F35" s="2">
        <v>77</v>
      </c>
      <c r="G35" s="7">
        <f t="shared" si="0"/>
        <v>293</v>
      </c>
      <c r="H35" s="1"/>
      <c r="I35" s="1"/>
      <c r="J35" s="1"/>
      <c r="K35" s="1"/>
      <c r="L35" s="1"/>
      <c r="M35" s="1"/>
      <c r="N35" s="1"/>
      <c r="O35" s="1"/>
      <c r="P35" s="1"/>
      <c r="Q35" s="1"/>
      <c r="R35" s="1"/>
      <c r="S35" s="1"/>
      <c r="T35" s="1"/>
      <c r="U35" s="1"/>
      <c r="V35" s="1"/>
      <c r="W35" s="1"/>
      <c r="X35" s="1"/>
      <c r="Y35" s="1"/>
      <c r="Z35" s="1"/>
    </row>
    <row r="36" spans="1:26" customFormat="1" ht="39.75" customHeight="1">
      <c r="A36" s="2">
        <v>11</v>
      </c>
      <c r="B36" s="21" t="s">
        <v>141</v>
      </c>
      <c r="C36" s="2" t="s">
        <v>66</v>
      </c>
      <c r="D36" s="10" t="s">
        <v>67</v>
      </c>
      <c r="E36" s="2">
        <v>171</v>
      </c>
      <c r="F36" s="2" t="s">
        <v>15</v>
      </c>
      <c r="G36" s="7">
        <f t="shared" si="0"/>
        <v>171</v>
      </c>
      <c r="H36" s="1"/>
      <c r="I36" s="1"/>
      <c r="J36" s="1"/>
      <c r="K36" s="1"/>
      <c r="L36" s="1"/>
      <c r="M36" s="1"/>
      <c r="N36" s="1"/>
      <c r="O36" s="1"/>
      <c r="P36" s="1"/>
      <c r="Q36" s="1"/>
      <c r="R36" s="1"/>
      <c r="S36" s="1"/>
      <c r="T36" s="1"/>
      <c r="U36" s="1"/>
      <c r="V36" s="1"/>
      <c r="W36" s="1"/>
      <c r="X36" s="1"/>
      <c r="Y36" s="1"/>
      <c r="Z36" s="1"/>
    </row>
    <row r="37" spans="1:26" customFormat="1" ht="63" customHeight="1">
      <c r="A37" s="2">
        <v>12</v>
      </c>
      <c r="B37" s="21" t="s">
        <v>139</v>
      </c>
      <c r="C37" s="2" t="s">
        <v>68</v>
      </c>
      <c r="D37" s="10" t="s">
        <v>69</v>
      </c>
      <c r="E37" s="2">
        <v>75</v>
      </c>
      <c r="F37" s="2" t="s">
        <v>15</v>
      </c>
      <c r="G37" s="7">
        <f t="shared" si="0"/>
        <v>75</v>
      </c>
      <c r="H37" s="1"/>
      <c r="I37" s="1"/>
      <c r="J37" s="1"/>
      <c r="K37" s="1"/>
      <c r="L37" s="1"/>
      <c r="M37" s="1"/>
      <c r="N37" s="1"/>
      <c r="O37" s="1"/>
      <c r="P37" s="1"/>
      <c r="Q37" s="1"/>
      <c r="R37" s="1"/>
      <c r="S37" s="1"/>
      <c r="T37" s="1"/>
      <c r="U37" s="1"/>
      <c r="V37" s="1"/>
      <c r="W37" s="1"/>
      <c r="X37" s="1"/>
      <c r="Y37" s="1"/>
      <c r="Z37" s="1"/>
    </row>
    <row r="38" spans="1:26" customFormat="1" ht="40.5" customHeight="1">
      <c r="A38" s="2">
        <v>13</v>
      </c>
      <c r="B38" s="21" t="s">
        <v>135</v>
      </c>
      <c r="C38" s="2" t="s">
        <v>71</v>
      </c>
      <c r="D38" s="10" t="s">
        <v>72</v>
      </c>
      <c r="E38" s="2">
        <v>300</v>
      </c>
      <c r="F38" s="2">
        <v>259</v>
      </c>
      <c r="G38" s="7">
        <f t="shared" si="0"/>
        <v>559</v>
      </c>
      <c r="H38" s="1"/>
      <c r="I38" s="1"/>
      <c r="J38" s="1"/>
      <c r="K38" s="1"/>
      <c r="L38" s="1"/>
      <c r="M38" s="1"/>
      <c r="N38" s="1"/>
      <c r="O38" s="1"/>
      <c r="P38" s="1"/>
      <c r="Q38" s="1"/>
      <c r="R38" s="1"/>
      <c r="S38" s="1"/>
      <c r="T38" s="1"/>
      <c r="U38" s="1"/>
      <c r="V38" s="1"/>
      <c r="W38" s="1"/>
      <c r="X38" s="1"/>
      <c r="Y38" s="1"/>
      <c r="Z38" s="1"/>
    </row>
    <row r="39" spans="1:26" customFormat="1" ht="15.75" customHeight="1">
      <c r="A39" s="2">
        <v>14</v>
      </c>
      <c r="B39" s="21" t="s">
        <v>135</v>
      </c>
      <c r="C39" s="2" t="s">
        <v>73</v>
      </c>
      <c r="D39" s="10" t="s">
        <v>74</v>
      </c>
      <c r="E39" s="2">
        <v>248</v>
      </c>
      <c r="F39" s="2">
        <v>151</v>
      </c>
      <c r="G39" s="7">
        <f t="shared" si="0"/>
        <v>399</v>
      </c>
      <c r="H39" s="1"/>
      <c r="I39" s="1"/>
      <c r="J39" s="1"/>
      <c r="K39" s="1"/>
      <c r="L39" s="1"/>
      <c r="M39" s="1"/>
      <c r="N39" s="1"/>
      <c r="O39" s="1"/>
      <c r="P39" s="1"/>
      <c r="Q39" s="1"/>
      <c r="R39" s="1"/>
      <c r="S39" s="1"/>
      <c r="T39" s="1"/>
      <c r="U39" s="1"/>
      <c r="V39" s="1"/>
      <c r="W39" s="1"/>
      <c r="X39" s="1"/>
      <c r="Y39" s="1"/>
      <c r="Z39" s="1"/>
    </row>
    <row r="40" spans="1:26" customFormat="1" ht="15.75" customHeight="1">
      <c r="A40" s="2">
        <v>15</v>
      </c>
      <c r="B40" s="21" t="s">
        <v>142</v>
      </c>
      <c r="C40" s="16">
        <v>23974</v>
      </c>
      <c r="D40" s="10" t="s">
        <v>75</v>
      </c>
      <c r="E40" s="2">
        <v>134</v>
      </c>
      <c r="F40" s="2" t="s">
        <v>15</v>
      </c>
      <c r="G40" s="7">
        <f t="shared" si="0"/>
        <v>134</v>
      </c>
      <c r="H40" s="1"/>
      <c r="I40" s="1"/>
      <c r="J40" s="1"/>
      <c r="K40" s="1"/>
      <c r="L40" s="1"/>
      <c r="M40" s="1"/>
      <c r="N40" s="1"/>
      <c r="O40" s="1"/>
      <c r="P40" s="1"/>
      <c r="Q40" s="1"/>
      <c r="R40" s="1"/>
      <c r="S40" s="1"/>
      <c r="T40" s="1"/>
      <c r="U40" s="1"/>
      <c r="V40" s="1"/>
      <c r="W40" s="1"/>
      <c r="X40" s="1"/>
      <c r="Y40" s="1"/>
      <c r="Z40" s="1"/>
    </row>
    <row r="41" spans="1:26" customFormat="1" ht="15.75" customHeight="1">
      <c r="A41" s="2">
        <v>16</v>
      </c>
      <c r="B41" s="21" t="s">
        <v>142</v>
      </c>
      <c r="C41" s="16">
        <v>23995</v>
      </c>
      <c r="D41" s="10" t="s">
        <v>76</v>
      </c>
      <c r="E41" s="2">
        <v>110</v>
      </c>
      <c r="F41" s="2" t="s">
        <v>15</v>
      </c>
      <c r="G41" s="7">
        <f t="shared" si="0"/>
        <v>110</v>
      </c>
      <c r="H41" s="1"/>
      <c r="I41" s="1"/>
      <c r="J41" s="1"/>
      <c r="K41" s="1"/>
      <c r="L41" s="1"/>
      <c r="M41" s="1"/>
      <c r="N41" s="1"/>
      <c r="O41" s="1"/>
      <c r="P41" s="1"/>
      <c r="Q41" s="1"/>
      <c r="R41" s="1"/>
      <c r="S41" s="1"/>
      <c r="T41" s="1"/>
      <c r="U41" s="1"/>
      <c r="V41" s="1"/>
      <c r="W41" s="1"/>
      <c r="X41" s="1"/>
      <c r="Y41" s="1"/>
      <c r="Z41" s="1"/>
    </row>
    <row r="42" spans="1:26" customFormat="1" ht="15.75" customHeight="1">
      <c r="A42" s="22">
        <v>17</v>
      </c>
      <c r="B42" s="23" t="s">
        <v>143</v>
      </c>
      <c r="C42" s="24">
        <v>242915</v>
      </c>
      <c r="D42" s="23" t="s">
        <v>144</v>
      </c>
      <c r="E42" s="25">
        <v>19</v>
      </c>
      <c r="F42" s="25">
        <v>0</v>
      </c>
      <c r="G42" s="25">
        <f t="shared" si="0"/>
        <v>19</v>
      </c>
      <c r="H42" s="4"/>
      <c r="I42" s="4"/>
      <c r="J42" s="4"/>
      <c r="K42" s="4"/>
      <c r="L42" s="4"/>
      <c r="M42" s="4"/>
      <c r="N42" s="4"/>
      <c r="O42" s="4"/>
      <c r="P42" s="4"/>
      <c r="Q42" s="4"/>
      <c r="R42" s="4"/>
      <c r="S42" s="4"/>
      <c r="T42" s="4"/>
      <c r="U42" s="4"/>
      <c r="V42" s="4"/>
      <c r="W42" s="4"/>
      <c r="X42" s="4"/>
      <c r="Y42" s="4"/>
      <c r="Z42" s="4"/>
    </row>
    <row r="43" spans="1:26" customFormat="1" ht="15.75" customHeight="1">
      <c r="A43" s="22">
        <v>18</v>
      </c>
      <c r="B43" s="23" t="s">
        <v>143</v>
      </c>
      <c r="C43" s="24">
        <v>242916</v>
      </c>
      <c r="D43" s="23" t="s">
        <v>144</v>
      </c>
      <c r="E43" s="25">
        <v>9</v>
      </c>
      <c r="F43" s="25">
        <v>0</v>
      </c>
      <c r="G43" s="25">
        <f t="shared" si="0"/>
        <v>9</v>
      </c>
      <c r="H43" s="4"/>
      <c r="I43" s="4"/>
      <c r="J43" s="4"/>
      <c r="K43" s="4"/>
      <c r="L43" s="4"/>
      <c r="M43" s="4"/>
      <c r="N43" s="4"/>
      <c r="O43" s="4"/>
      <c r="P43" s="4"/>
      <c r="Q43" s="4"/>
      <c r="R43" s="4"/>
      <c r="S43" s="4"/>
      <c r="T43" s="4"/>
      <c r="U43" s="4"/>
      <c r="V43" s="4"/>
      <c r="W43" s="4"/>
      <c r="X43" s="4"/>
      <c r="Y43" s="4"/>
      <c r="Z43" s="4"/>
    </row>
    <row r="44" spans="1:26" customFormat="1" ht="15.75" customHeight="1">
      <c r="A44" s="22">
        <v>19</v>
      </c>
      <c r="B44" s="23" t="s">
        <v>143</v>
      </c>
      <c r="C44" s="24">
        <v>243027</v>
      </c>
      <c r="D44" s="23" t="s">
        <v>145</v>
      </c>
      <c r="E44" s="25">
        <v>132</v>
      </c>
      <c r="F44" s="25">
        <v>123</v>
      </c>
      <c r="G44" s="25">
        <f t="shared" si="0"/>
        <v>255</v>
      </c>
      <c r="H44" s="4"/>
      <c r="I44" s="4"/>
      <c r="J44" s="4"/>
      <c r="K44" s="4"/>
      <c r="L44" s="4"/>
      <c r="M44" s="4"/>
      <c r="N44" s="4"/>
      <c r="O44" s="4"/>
      <c r="P44" s="4"/>
      <c r="Q44" s="4"/>
      <c r="R44" s="4"/>
      <c r="S44" s="4"/>
      <c r="T44" s="4"/>
      <c r="U44" s="4"/>
      <c r="V44" s="4"/>
      <c r="W44" s="4"/>
      <c r="X44" s="4"/>
      <c r="Y44" s="4"/>
      <c r="Z44" s="4"/>
    </row>
    <row r="45" spans="1:26" customFormat="1" ht="15.75" customHeight="1">
      <c r="A45" s="22">
        <v>20</v>
      </c>
      <c r="B45" s="23" t="s">
        <v>143</v>
      </c>
      <c r="C45" s="24">
        <v>243028</v>
      </c>
      <c r="D45" s="23" t="s">
        <v>145</v>
      </c>
      <c r="E45" s="25">
        <v>119</v>
      </c>
      <c r="F45" s="25">
        <v>85</v>
      </c>
      <c r="G45" s="25">
        <f t="shared" si="0"/>
        <v>204</v>
      </c>
      <c r="H45" s="4"/>
      <c r="I45" s="4"/>
      <c r="J45" s="4"/>
      <c r="K45" s="4"/>
      <c r="L45" s="4"/>
      <c r="M45" s="4"/>
      <c r="N45" s="4"/>
      <c r="O45" s="4"/>
      <c r="P45" s="4"/>
      <c r="Q45" s="4"/>
      <c r="R45" s="4"/>
      <c r="S45" s="4"/>
      <c r="T45" s="4"/>
      <c r="U45" s="4"/>
      <c r="V45" s="4"/>
      <c r="W45" s="4"/>
      <c r="X45" s="4"/>
      <c r="Y45" s="4"/>
      <c r="Z45" s="4"/>
    </row>
    <row r="46" spans="1:26" customFormat="1" ht="24" customHeight="1">
      <c r="A46" s="223" t="s">
        <v>10</v>
      </c>
      <c r="B46" s="224"/>
      <c r="C46" s="224"/>
      <c r="D46" s="225"/>
      <c r="E46" s="17">
        <f t="shared" ref="E46:G46" si="1">SUM(E26:E45)</f>
        <v>3321</v>
      </c>
      <c r="F46" s="17">
        <f t="shared" si="1"/>
        <v>2355</v>
      </c>
      <c r="G46" s="17">
        <f t="shared" si="1"/>
        <v>5676</v>
      </c>
      <c r="H46" s="4"/>
      <c r="I46" s="4"/>
      <c r="J46" s="4"/>
      <c r="K46" s="4"/>
      <c r="L46" s="4"/>
      <c r="M46" s="4"/>
      <c r="N46" s="4"/>
      <c r="O46" s="4"/>
      <c r="P46" s="4"/>
      <c r="Q46" s="4"/>
      <c r="R46" s="4"/>
      <c r="S46" s="4"/>
      <c r="T46" s="4"/>
      <c r="U46" s="4"/>
      <c r="V46" s="4"/>
      <c r="W46" s="4"/>
      <c r="X46" s="4"/>
      <c r="Y46" s="4"/>
      <c r="Z46" s="4"/>
    </row>
    <row r="47" spans="1:26" customFormat="1" ht="24" customHeight="1">
      <c r="A47" s="11"/>
      <c r="B47" s="1"/>
      <c r="C47" s="11"/>
      <c r="D47" s="1"/>
      <c r="E47" s="11"/>
      <c r="F47" s="1"/>
      <c r="G47" s="1"/>
      <c r="H47" s="1"/>
      <c r="I47" s="1"/>
      <c r="J47" s="1"/>
      <c r="K47" s="1"/>
      <c r="L47" s="1"/>
      <c r="M47" s="1"/>
      <c r="N47" s="1"/>
      <c r="O47" s="1"/>
      <c r="P47" s="1"/>
      <c r="Q47" s="1"/>
      <c r="R47" s="1"/>
      <c r="S47" s="1"/>
      <c r="T47" s="1"/>
      <c r="U47" s="1"/>
      <c r="V47" s="1"/>
      <c r="W47" s="1"/>
      <c r="X47" s="1"/>
      <c r="Y47" s="1"/>
      <c r="Z47" s="1"/>
    </row>
    <row r="48" spans="1:26" customFormat="1" ht="24" customHeight="1">
      <c r="A48" s="226" t="s">
        <v>12</v>
      </c>
      <c r="B48" s="224"/>
      <c r="C48" s="224"/>
      <c r="D48" s="227"/>
      <c r="E48" s="228" t="s">
        <v>130</v>
      </c>
      <c r="F48" s="224"/>
      <c r="G48" s="227"/>
      <c r="H48" s="1"/>
      <c r="I48" s="1"/>
      <c r="J48" s="1"/>
      <c r="K48" s="1"/>
      <c r="L48" s="1"/>
      <c r="M48" s="1"/>
      <c r="N48" s="1"/>
      <c r="O48" s="1"/>
      <c r="P48" s="1"/>
      <c r="Q48" s="1"/>
      <c r="R48" s="1"/>
      <c r="S48" s="1"/>
      <c r="T48" s="1"/>
      <c r="U48" s="1"/>
      <c r="V48" s="1"/>
      <c r="W48" s="1"/>
      <c r="X48" s="1"/>
      <c r="Y48" s="1"/>
      <c r="Z48" s="1"/>
    </row>
    <row r="49" spans="1:26" customFormat="1" ht="24" customHeight="1">
      <c r="A49" s="3" t="s">
        <v>5</v>
      </c>
      <c r="B49" s="3" t="s">
        <v>16</v>
      </c>
      <c r="C49" s="3" t="s">
        <v>38</v>
      </c>
      <c r="D49" s="3" t="s">
        <v>39</v>
      </c>
      <c r="E49" s="3" t="s">
        <v>40</v>
      </c>
      <c r="F49" s="3" t="s">
        <v>41</v>
      </c>
      <c r="G49" s="3" t="s">
        <v>10</v>
      </c>
      <c r="H49" s="1"/>
      <c r="I49" s="1"/>
      <c r="J49" s="1"/>
      <c r="K49" s="1"/>
      <c r="L49" s="1"/>
      <c r="M49" s="1"/>
      <c r="N49" s="1"/>
      <c r="O49" s="1"/>
      <c r="P49" s="1"/>
      <c r="Q49" s="1"/>
      <c r="R49" s="1"/>
      <c r="S49" s="1"/>
      <c r="T49" s="1"/>
      <c r="U49" s="1"/>
      <c r="V49" s="1"/>
      <c r="W49" s="1"/>
      <c r="X49" s="1"/>
      <c r="Y49" s="1"/>
      <c r="Z49" s="1"/>
    </row>
    <row r="50" spans="1:26" customFormat="1" ht="24" customHeight="1">
      <c r="A50" s="2">
        <v>1</v>
      </c>
      <c r="B50" s="21" t="s">
        <v>146</v>
      </c>
      <c r="C50" s="16">
        <v>24044</v>
      </c>
      <c r="D50" s="10" t="s">
        <v>78</v>
      </c>
      <c r="E50" s="2">
        <v>229</v>
      </c>
      <c r="F50" s="2">
        <v>99</v>
      </c>
      <c r="G50" s="2">
        <v>328</v>
      </c>
      <c r="H50" s="1"/>
      <c r="I50" s="1"/>
      <c r="J50" s="1"/>
      <c r="K50" s="1"/>
      <c r="L50" s="1"/>
      <c r="M50" s="1"/>
      <c r="N50" s="1"/>
      <c r="O50" s="1"/>
      <c r="P50" s="1"/>
      <c r="Q50" s="1"/>
      <c r="R50" s="1"/>
      <c r="S50" s="1"/>
      <c r="T50" s="1"/>
      <c r="U50" s="1"/>
      <c r="V50" s="1"/>
      <c r="W50" s="1"/>
      <c r="X50" s="1"/>
      <c r="Y50" s="1"/>
      <c r="Z50" s="1"/>
    </row>
    <row r="51" spans="1:26" customFormat="1" ht="24" customHeight="1">
      <c r="A51" s="2">
        <v>2</v>
      </c>
      <c r="B51" s="21" t="s">
        <v>146</v>
      </c>
      <c r="C51" s="16">
        <v>24075</v>
      </c>
      <c r="D51" s="10" t="s">
        <v>79</v>
      </c>
      <c r="E51" s="2">
        <v>151</v>
      </c>
      <c r="F51" s="2">
        <v>94</v>
      </c>
      <c r="G51" s="2">
        <v>245</v>
      </c>
      <c r="H51" s="1"/>
      <c r="I51" s="1"/>
      <c r="J51" s="1"/>
      <c r="K51" s="1"/>
      <c r="L51" s="1"/>
      <c r="M51" s="1"/>
      <c r="N51" s="1"/>
      <c r="O51" s="1"/>
      <c r="P51" s="1"/>
      <c r="Q51" s="1"/>
      <c r="R51" s="1"/>
      <c r="S51" s="1"/>
      <c r="T51" s="1"/>
      <c r="U51" s="1"/>
      <c r="V51" s="1"/>
      <c r="W51" s="1"/>
      <c r="X51" s="1"/>
      <c r="Y51" s="1"/>
      <c r="Z51" s="1"/>
    </row>
    <row r="52" spans="1:26" customFormat="1" ht="15.75" customHeight="1">
      <c r="A52" s="2">
        <v>3</v>
      </c>
      <c r="B52" s="21" t="s">
        <v>146</v>
      </c>
      <c r="C52" s="16">
        <v>24105</v>
      </c>
      <c r="D52" s="10" t="s">
        <v>80</v>
      </c>
      <c r="E52" s="2">
        <v>130</v>
      </c>
      <c r="F52" s="2">
        <v>76</v>
      </c>
      <c r="G52" s="2">
        <v>206</v>
      </c>
      <c r="H52" s="1"/>
      <c r="I52" s="1"/>
      <c r="J52" s="1"/>
      <c r="K52" s="1"/>
      <c r="L52" s="1"/>
      <c r="M52" s="1"/>
      <c r="N52" s="1"/>
      <c r="O52" s="1"/>
      <c r="P52" s="1"/>
      <c r="Q52" s="1"/>
      <c r="R52" s="1"/>
      <c r="S52" s="1"/>
      <c r="T52" s="1"/>
      <c r="U52" s="1"/>
      <c r="V52" s="1"/>
      <c r="W52" s="1"/>
      <c r="X52" s="1"/>
      <c r="Y52" s="1"/>
      <c r="Z52" s="1"/>
    </row>
    <row r="53" spans="1:26" customFormat="1" ht="15.75" customHeight="1">
      <c r="A53" s="2">
        <v>4</v>
      </c>
      <c r="B53" s="21" t="s">
        <v>147</v>
      </c>
      <c r="C53" s="16">
        <v>24114</v>
      </c>
      <c r="D53" s="26" t="s">
        <v>82</v>
      </c>
      <c r="E53" s="2">
        <v>29</v>
      </c>
      <c r="F53" s="2">
        <v>9</v>
      </c>
      <c r="G53" s="2">
        <v>38</v>
      </c>
      <c r="H53" s="1"/>
      <c r="I53" s="1"/>
      <c r="J53" s="1"/>
      <c r="K53" s="1"/>
      <c r="L53" s="1"/>
      <c r="M53" s="1"/>
      <c r="N53" s="1"/>
      <c r="O53" s="1"/>
      <c r="P53" s="1"/>
      <c r="Q53" s="1"/>
      <c r="R53" s="1"/>
      <c r="S53" s="1"/>
      <c r="T53" s="1"/>
      <c r="U53" s="1"/>
      <c r="V53" s="1"/>
      <c r="W53" s="1"/>
      <c r="X53" s="1"/>
      <c r="Y53" s="1"/>
      <c r="Z53" s="1"/>
    </row>
    <row r="54" spans="1:26" customFormat="1" ht="15.75" customHeight="1">
      <c r="A54" s="2">
        <v>5</v>
      </c>
      <c r="B54" s="21" t="s">
        <v>131</v>
      </c>
      <c r="C54" s="16">
        <v>24190</v>
      </c>
      <c r="D54" s="10" t="s">
        <v>83</v>
      </c>
      <c r="E54" s="2">
        <v>17</v>
      </c>
      <c r="F54" s="2" t="s">
        <v>15</v>
      </c>
      <c r="G54" s="2">
        <v>17</v>
      </c>
      <c r="H54" s="1"/>
      <c r="I54" s="1"/>
      <c r="J54" s="1"/>
      <c r="K54" s="1"/>
      <c r="L54" s="1"/>
      <c r="M54" s="1"/>
      <c r="N54" s="1"/>
      <c r="O54" s="1"/>
      <c r="P54" s="1"/>
      <c r="Q54" s="1"/>
      <c r="R54" s="1"/>
      <c r="S54" s="1"/>
      <c r="T54" s="1"/>
      <c r="U54" s="1"/>
      <c r="V54" s="1"/>
      <c r="W54" s="1"/>
      <c r="X54" s="1"/>
      <c r="Y54" s="1"/>
      <c r="Z54" s="1"/>
    </row>
    <row r="55" spans="1:26" customFormat="1" ht="15.75" customHeight="1">
      <c r="A55" s="2">
        <v>6</v>
      </c>
      <c r="B55" s="21" t="s">
        <v>148</v>
      </c>
      <c r="C55" s="16">
        <v>24191</v>
      </c>
      <c r="D55" s="10" t="s">
        <v>85</v>
      </c>
      <c r="E55" s="2">
        <v>90</v>
      </c>
      <c r="F55" s="2">
        <v>82</v>
      </c>
      <c r="G55" s="2">
        <v>172</v>
      </c>
      <c r="H55" s="1"/>
      <c r="I55" s="1"/>
      <c r="J55" s="1"/>
      <c r="K55" s="1"/>
      <c r="L55" s="1"/>
      <c r="M55" s="1"/>
      <c r="N55" s="1"/>
      <c r="O55" s="1"/>
      <c r="P55" s="1"/>
      <c r="Q55" s="1"/>
      <c r="R55" s="1"/>
      <c r="S55" s="1"/>
      <c r="T55" s="1"/>
      <c r="U55" s="1"/>
      <c r="V55" s="1"/>
      <c r="W55" s="1"/>
      <c r="X55" s="1"/>
      <c r="Y55" s="1"/>
      <c r="Z55" s="1"/>
    </row>
    <row r="56" spans="1:26" customFormat="1" ht="15.75" customHeight="1">
      <c r="A56" s="2">
        <v>7</v>
      </c>
      <c r="B56" s="21" t="s">
        <v>148</v>
      </c>
      <c r="C56" s="16">
        <v>24192</v>
      </c>
      <c r="D56" s="10" t="s">
        <v>86</v>
      </c>
      <c r="E56" s="2">
        <v>81</v>
      </c>
      <c r="F56" s="2">
        <v>76</v>
      </c>
      <c r="G56" s="2">
        <v>157</v>
      </c>
      <c r="H56" s="1"/>
      <c r="I56" s="1"/>
      <c r="J56" s="1"/>
      <c r="K56" s="1"/>
      <c r="L56" s="1"/>
      <c r="M56" s="1"/>
      <c r="N56" s="1"/>
      <c r="O56" s="1"/>
      <c r="P56" s="1"/>
      <c r="Q56" s="1"/>
      <c r="R56" s="1"/>
      <c r="S56" s="1"/>
      <c r="T56" s="1"/>
      <c r="U56" s="1"/>
      <c r="V56" s="1"/>
      <c r="W56" s="1"/>
      <c r="X56" s="1"/>
      <c r="Y56" s="1"/>
      <c r="Z56" s="1"/>
    </row>
    <row r="57" spans="1:26" customFormat="1" ht="43.5" customHeight="1">
      <c r="A57" s="2">
        <v>8</v>
      </c>
      <c r="B57" s="21" t="s">
        <v>148</v>
      </c>
      <c r="C57" s="2" t="s">
        <v>87</v>
      </c>
      <c r="D57" s="10" t="s">
        <v>88</v>
      </c>
      <c r="E57" s="2">
        <v>833</v>
      </c>
      <c r="F57" s="2">
        <v>550</v>
      </c>
      <c r="G57" s="8">
        <v>1383</v>
      </c>
      <c r="H57" s="1"/>
      <c r="I57" s="1"/>
      <c r="J57" s="1"/>
      <c r="K57" s="1"/>
      <c r="L57" s="1"/>
      <c r="M57" s="1"/>
      <c r="N57" s="1"/>
      <c r="O57" s="1"/>
      <c r="P57" s="1"/>
      <c r="Q57" s="1"/>
      <c r="R57" s="1"/>
      <c r="S57" s="1"/>
      <c r="T57" s="1"/>
      <c r="U57" s="1"/>
      <c r="V57" s="1"/>
      <c r="W57" s="1"/>
      <c r="X57" s="1"/>
      <c r="Y57" s="1"/>
      <c r="Z57" s="1"/>
    </row>
    <row r="58" spans="1:26" customFormat="1" ht="15.75" customHeight="1">
      <c r="A58" s="2">
        <v>9</v>
      </c>
      <c r="B58" s="10" t="s">
        <v>149</v>
      </c>
      <c r="C58" s="16">
        <v>24303</v>
      </c>
      <c r="D58" s="26" t="s">
        <v>82</v>
      </c>
      <c r="E58" s="2">
        <v>29</v>
      </c>
      <c r="F58" s="2">
        <v>9</v>
      </c>
      <c r="G58" s="2">
        <v>38</v>
      </c>
      <c r="H58" s="1"/>
      <c r="I58" s="1"/>
      <c r="J58" s="1"/>
      <c r="K58" s="1"/>
      <c r="L58" s="1"/>
      <c r="M58" s="1"/>
      <c r="N58" s="1"/>
      <c r="O58" s="1"/>
      <c r="P58" s="1"/>
      <c r="Q58" s="1"/>
      <c r="R58" s="1"/>
      <c r="S58" s="1"/>
      <c r="T58" s="1"/>
      <c r="U58" s="1"/>
      <c r="V58" s="1"/>
      <c r="W58" s="1"/>
      <c r="X58" s="1"/>
      <c r="Y58" s="1"/>
      <c r="Z58" s="1"/>
    </row>
    <row r="59" spans="1:26" customFormat="1" ht="44.25" customHeight="1">
      <c r="A59" s="2">
        <v>10</v>
      </c>
      <c r="B59" s="21" t="s">
        <v>148</v>
      </c>
      <c r="C59" s="2" t="s">
        <v>89</v>
      </c>
      <c r="D59" s="10" t="s">
        <v>90</v>
      </c>
      <c r="E59" s="2">
        <v>903</v>
      </c>
      <c r="F59" s="2">
        <v>968</v>
      </c>
      <c r="G59" s="8">
        <v>1871</v>
      </c>
      <c r="H59" s="1"/>
      <c r="I59" s="1"/>
      <c r="J59" s="1"/>
      <c r="K59" s="1"/>
      <c r="L59" s="1"/>
      <c r="M59" s="1"/>
      <c r="N59" s="1"/>
      <c r="O59" s="1"/>
      <c r="P59" s="1"/>
      <c r="Q59" s="1"/>
      <c r="R59" s="1"/>
      <c r="S59" s="1"/>
      <c r="T59" s="1"/>
      <c r="U59" s="1"/>
      <c r="V59" s="1"/>
      <c r="W59" s="1"/>
      <c r="X59" s="1"/>
      <c r="Y59" s="1"/>
      <c r="Z59" s="1"/>
    </row>
    <row r="60" spans="1:26" customFormat="1" ht="24" customHeight="1">
      <c r="A60" s="223" t="s">
        <v>10</v>
      </c>
      <c r="B60" s="224"/>
      <c r="C60" s="224"/>
      <c r="D60" s="225"/>
      <c r="E60" s="17">
        <v>2492</v>
      </c>
      <c r="F60" s="17">
        <v>1963</v>
      </c>
      <c r="G60" s="17">
        <v>4455</v>
      </c>
      <c r="H60" s="4"/>
      <c r="I60" s="4"/>
      <c r="J60" s="4"/>
      <c r="K60" s="4"/>
      <c r="L60" s="4"/>
      <c r="M60" s="4"/>
      <c r="N60" s="4"/>
      <c r="O60" s="4"/>
      <c r="P60" s="4"/>
      <c r="Q60" s="4"/>
      <c r="R60" s="4"/>
      <c r="S60" s="4"/>
      <c r="T60" s="4"/>
      <c r="U60" s="4"/>
      <c r="V60" s="4"/>
      <c r="W60" s="4"/>
      <c r="X60" s="4"/>
      <c r="Y60" s="4"/>
      <c r="Z60" s="4"/>
    </row>
    <row r="61" spans="1:26" customFormat="1" ht="24" customHeight="1">
      <c r="A61" s="11"/>
      <c r="B61" s="1"/>
      <c r="C61" s="11"/>
      <c r="D61" s="1"/>
      <c r="E61" s="11"/>
      <c r="F61" s="1"/>
      <c r="G61" s="1"/>
      <c r="H61" s="1"/>
      <c r="I61" s="1"/>
      <c r="J61" s="1"/>
      <c r="K61" s="1"/>
      <c r="L61" s="1"/>
      <c r="M61" s="1"/>
      <c r="N61" s="1"/>
      <c r="O61" s="1"/>
      <c r="P61" s="1"/>
      <c r="Q61" s="1"/>
      <c r="R61" s="1"/>
      <c r="S61" s="1"/>
      <c r="T61" s="1"/>
      <c r="U61" s="1"/>
      <c r="V61" s="1"/>
      <c r="W61" s="1"/>
      <c r="X61" s="1"/>
      <c r="Y61" s="1"/>
      <c r="Z61" s="1"/>
    </row>
    <row r="62" spans="1:26" customFormat="1" ht="24" customHeight="1">
      <c r="A62" s="226" t="s">
        <v>13</v>
      </c>
      <c r="B62" s="224"/>
      <c r="C62" s="224"/>
      <c r="D62" s="227"/>
      <c r="E62" s="228" t="s">
        <v>130</v>
      </c>
      <c r="F62" s="224"/>
      <c r="G62" s="227"/>
      <c r="H62" s="1"/>
      <c r="I62" s="1"/>
      <c r="J62" s="1"/>
      <c r="K62" s="1"/>
      <c r="L62" s="1"/>
      <c r="M62" s="1"/>
      <c r="N62" s="1"/>
      <c r="O62" s="1"/>
      <c r="P62" s="1"/>
      <c r="Q62" s="1"/>
      <c r="R62" s="1"/>
      <c r="S62" s="1"/>
      <c r="T62" s="1"/>
      <c r="U62" s="1"/>
      <c r="V62" s="1"/>
      <c r="W62" s="1"/>
      <c r="X62" s="1"/>
      <c r="Y62" s="1"/>
      <c r="Z62" s="1"/>
    </row>
    <row r="63" spans="1:26" customFormat="1" ht="24" customHeight="1">
      <c r="A63" s="3" t="s">
        <v>5</v>
      </c>
      <c r="B63" s="3" t="s">
        <v>16</v>
      </c>
      <c r="C63" s="3" t="s">
        <v>38</v>
      </c>
      <c r="D63" s="3" t="s">
        <v>39</v>
      </c>
      <c r="E63" s="3" t="s">
        <v>40</v>
      </c>
      <c r="F63" s="3" t="s">
        <v>41</v>
      </c>
      <c r="G63" s="3" t="s">
        <v>10</v>
      </c>
      <c r="H63" s="1"/>
      <c r="I63" s="1"/>
      <c r="J63" s="1"/>
      <c r="K63" s="1"/>
      <c r="L63" s="1"/>
      <c r="M63" s="1"/>
      <c r="N63" s="1"/>
      <c r="O63" s="1"/>
      <c r="P63" s="1"/>
      <c r="Q63" s="1"/>
      <c r="R63" s="1"/>
      <c r="S63" s="1"/>
      <c r="T63" s="1"/>
      <c r="U63" s="1"/>
      <c r="V63" s="1"/>
      <c r="W63" s="1"/>
      <c r="X63" s="1"/>
      <c r="Y63" s="1"/>
      <c r="Z63" s="1"/>
    </row>
    <row r="64" spans="1:26" customFormat="1" ht="24" customHeight="1">
      <c r="A64" s="2">
        <v>1</v>
      </c>
      <c r="B64" s="5" t="s">
        <v>150</v>
      </c>
      <c r="C64" s="27">
        <v>24645</v>
      </c>
      <c r="D64" s="9" t="s">
        <v>91</v>
      </c>
      <c r="E64" s="2">
        <v>86</v>
      </c>
      <c r="F64" s="2" t="s">
        <v>15</v>
      </c>
      <c r="G64" s="2">
        <v>86</v>
      </c>
      <c r="H64" s="1"/>
      <c r="I64" s="1"/>
      <c r="J64" s="1"/>
      <c r="K64" s="1"/>
      <c r="L64" s="1"/>
      <c r="M64" s="1"/>
      <c r="N64" s="1"/>
      <c r="O64" s="1"/>
      <c r="P64" s="1"/>
      <c r="Q64" s="1"/>
      <c r="R64" s="1"/>
      <c r="S64" s="1"/>
      <c r="T64" s="1"/>
      <c r="U64" s="1"/>
      <c r="V64" s="1"/>
      <c r="W64" s="1"/>
      <c r="X64" s="1"/>
      <c r="Y64" s="1"/>
      <c r="Z64" s="1"/>
    </row>
    <row r="65" spans="1:26" customFormat="1" ht="24" customHeight="1">
      <c r="A65" s="2">
        <v>2</v>
      </c>
      <c r="B65" s="5" t="s">
        <v>150</v>
      </c>
      <c r="C65" s="28">
        <v>24657</v>
      </c>
      <c r="D65" s="29" t="s">
        <v>92</v>
      </c>
      <c r="E65" s="2">
        <v>33</v>
      </c>
      <c r="F65" s="2" t="s">
        <v>15</v>
      </c>
      <c r="G65" s="2">
        <v>33</v>
      </c>
      <c r="H65" s="1"/>
      <c r="I65" s="1"/>
      <c r="J65" s="1"/>
      <c r="K65" s="1"/>
      <c r="L65" s="1"/>
      <c r="M65" s="1"/>
      <c r="N65" s="1"/>
      <c r="O65" s="1"/>
      <c r="P65" s="1"/>
      <c r="Q65" s="1"/>
      <c r="R65" s="1"/>
      <c r="S65" s="1"/>
      <c r="T65" s="1"/>
      <c r="U65" s="1"/>
      <c r="V65" s="1"/>
      <c r="W65" s="1"/>
      <c r="X65" s="1"/>
      <c r="Y65" s="1"/>
      <c r="Z65" s="1"/>
    </row>
    <row r="66" spans="1:26" customFormat="1" ht="24" customHeight="1">
      <c r="A66" s="2">
        <v>3</v>
      </c>
      <c r="B66" s="5" t="s">
        <v>150</v>
      </c>
      <c r="C66" s="28">
        <v>24736</v>
      </c>
      <c r="D66" s="29" t="s">
        <v>93</v>
      </c>
      <c r="E66" s="2">
        <v>48</v>
      </c>
      <c r="F66" s="2" t="s">
        <v>15</v>
      </c>
      <c r="G66" s="2">
        <v>48</v>
      </c>
      <c r="H66" s="1"/>
      <c r="I66" s="1"/>
      <c r="J66" s="1"/>
      <c r="K66" s="1"/>
      <c r="L66" s="1"/>
      <c r="M66" s="1"/>
      <c r="N66" s="1"/>
      <c r="O66" s="1"/>
      <c r="P66" s="1"/>
      <c r="Q66" s="1"/>
      <c r="R66" s="1"/>
      <c r="S66" s="1"/>
      <c r="T66" s="1"/>
      <c r="U66" s="1"/>
      <c r="V66" s="1"/>
      <c r="W66" s="1"/>
      <c r="X66" s="1"/>
      <c r="Y66" s="1"/>
      <c r="Z66" s="1"/>
    </row>
    <row r="67" spans="1:26" customFormat="1" ht="24" customHeight="1">
      <c r="A67" s="223" t="s">
        <v>10</v>
      </c>
      <c r="B67" s="224"/>
      <c r="C67" s="224"/>
      <c r="D67" s="225"/>
      <c r="E67" s="3">
        <v>167</v>
      </c>
      <c r="F67" s="3" t="s">
        <v>15</v>
      </c>
      <c r="G67" s="3">
        <v>167</v>
      </c>
      <c r="H67" s="4"/>
      <c r="I67" s="4"/>
      <c r="J67" s="4"/>
      <c r="K67" s="4"/>
      <c r="L67" s="4"/>
      <c r="M67" s="4"/>
      <c r="N67" s="4"/>
      <c r="O67" s="4"/>
      <c r="P67" s="4"/>
      <c r="Q67" s="4"/>
      <c r="R67" s="4"/>
      <c r="S67" s="4"/>
      <c r="T67" s="4"/>
      <c r="U67" s="4"/>
      <c r="V67" s="4"/>
      <c r="W67" s="4"/>
      <c r="X67" s="4"/>
      <c r="Y67" s="4"/>
      <c r="Z67" s="4"/>
    </row>
    <row r="68" spans="1:26" customFormat="1" ht="24" customHeight="1">
      <c r="A68" s="11"/>
      <c r="B68" s="1"/>
      <c r="C68" s="11"/>
      <c r="D68" s="1"/>
      <c r="E68" s="11"/>
      <c r="F68" s="1"/>
      <c r="G68" s="1"/>
      <c r="H68" s="1"/>
      <c r="I68" s="1"/>
      <c r="J68" s="1"/>
      <c r="K68" s="1"/>
      <c r="L68" s="1"/>
      <c r="M68" s="1"/>
      <c r="N68" s="1"/>
      <c r="O68" s="1"/>
      <c r="P68" s="1"/>
      <c r="Q68" s="1"/>
      <c r="R68" s="1"/>
      <c r="S68" s="1"/>
      <c r="T68" s="1"/>
      <c r="U68" s="1"/>
      <c r="V68" s="1"/>
      <c r="W68" s="1"/>
      <c r="X68" s="1"/>
      <c r="Y68" s="1"/>
      <c r="Z68" s="1"/>
    </row>
    <row r="69" spans="1:26" customFormat="1" ht="24" customHeight="1">
      <c r="A69" s="226" t="s">
        <v>14</v>
      </c>
      <c r="B69" s="224"/>
      <c r="C69" s="224"/>
      <c r="D69" s="227"/>
      <c r="E69" s="228" t="s">
        <v>130</v>
      </c>
      <c r="F69" s="224"/>
      <c r="G69" s="227"/>
      <c r="H69" s="1"/>
      <c r="I69" s="1"/>
      <c r="J69" s="1"/>
      <c r="K69" s="1"/>
      <c r="L69" s="1"/>
      <c r="M69" s="1"/>
      <c r="N69" s="1"/>
      <c r="O69" s="1"/>
      <c r="P69" s="1"/>
      <c r="Q69" s="1"/>
      <c r="R69" s="1"/>
      <c r="S69" s="1"/>
      <c r="T69" s="1"/>
      <c r="U69" s="1"/>
      <c r="V69" s="1"/>
      <c r="W69" s="1"/>
      <c r="X69" s="1"/>
      <c r="Y69" s="1"/>
      <c r="Z69" s="1"/>
    </row>
    <row r="70" spans="1:26" customFormat="1" ht="24" customHeight="1">
      <c r="A70" s="3" t="s">
        <v>5</v>
      </c>
      <c r="B70" s="3" t="s">
        <v>16</v>
      </c>
      <c r="C70" s="3" t="s">
        <v>38</v>
      </c>
      <c r="D70" s="3" t="s">
        <v>39</v>
      </c>
      <c r="E70" s="3" t="s">
        <v>40</v>
      </c>
      <c r="F70" s="3" t="s">
        <v>41</v>
      </c>
      <c r="G70" s="3" t="s">
        <v>10</v>
      </c>
      <c r="H70" s="1"/>
      <c r="I70" s="1"/>
      <c r="J70" s="1"/>
      <c r="K70" s="1"/>
      <c r="L70" s="1"/>
      <c r="M70" s="1"/>
      <c r="N70" s="1"/>
      <c r="O70" s="1"/>
      <c r="P70" s="1"/>
      <c r="Q70" s="1"/>
      <c r="R70" s="1"/>
      <c r="S70" s="1"/>
      <c r="T70" s="1"/>
      <c r="U70" s="1"/>
      <c r="V70" s="1"/>
      <c r="W70" s="1"/>
      <c r="X70" s="1"/>
      <c r="Y70" s="1"/>
      <c r="Z70" s="1"/>
    </row>
    <row r="71" spans="1:26" customFormat="1" ht="24" customHeight="1">
      <c r="A71" s="2">
        <v>1</v>
      </c>
      <c r="B71" s="5" t="s">
        <v>150</v>
      </c>
      <c r="C71" s="27">
        <v>24890</v>
      </c>
      <c r="D71" s="9" t="s">
        <v>94</v>
      </c>
      <c r="E71" s="2">
        <v>49</v>
      </c>
      <c r="F71" s="2">
        <v>32</v>
      </c>
      <c r="G71" s="2">
        <v>81</v>
      </c>
      <c r="H71" s="1"/>
      <c r="I71" s="1"/>
      <c r="J71" s="1"/>
      <c r="K71" s="1"/>
      <c r="L71" s="1"/>
      <c r="M71" s="1"/>
      <c r="N71" s="1"/>
      <c r="O71" s="1"/>
      <c r="P71" s="1"/>
      <c r="Q71" s="1"/>
      <c r="R71" s="1"/>
      <c r="S71" s="1"/>
      <c r="T71" s="1"/>
      <c r="U71" s="1"/>
      <c r="V71" s="1"/>
      <c r="W71" s="1"/>
      <c r="X71" s="1"/>
      <c r="Y71" s="1"/>
      <c r="Z71" s="1"/>
    </row>
    <row r="72" spans="1:26" customFormat="1" ht="24" customHeight="1">
      <c r="A72" s="2">
        <v>2</v>
      </c>
      <c r="B72" s="5" t="s">
        <v>150</v>
      </c>
      <c r="C72" s="28">
        <v>24975</v>
      </c>
      <c r="D72" s="29" t="s">
        <v>91</v>
      </c>
      <c r="E72" s="2">
        <v>81</v>
      </c>
      <c r="F72" s="2" t="s">
        <v>15</v>
      </c>
      <c r="G72" s="2">
        <v>81</v>
      </c>
      <c r="H72" s="1"/>
      <c r="I72" s="1"/>
      <c r="J72" s="1"/>
      <c r="K72" s="1"/>
      <c r="L72" s="1"/>
      <c r="M72" s="1"/>
      <c r="N72" s="1"/>
      <c r="O72" s="1"/>
      <c r="P72" s="1"/>
      <c r="Q72" s="1"/>
      <c r="R72" s="1"/>
      <c r="S72" s="1"/>
      <c r="T72" s="1"/>
      <c r="U72" s="1"/>
      <c r="V72" s="1"/>
      <c r="W72" s="1"/>
      <c r="X72" s="1"/>
      <c r="Y72" s="1"/>
      <c r="Z72" s="1"/>
    </row>
    <row r="73" spans="1:26" customFormat="1" ht="24" customHeight="1">
      <c r="A73" s="2">
        <v>3</v>
      </c>
      <c r="B73" s="5" t="s">
        <v>150</v>
      </c>
      <c r="C73" s="28">
        <v>25101</v>
      </c>
      <c r="D73" s="29" t="s">
        <v>91</v>
      </c>
      <c r="E73" s="2">
        <v>92</v>
      </c>
      <c r="F73" s="2" t="s">
        <v>15</v>
      </c>
      <c r="G73" s="2">
        <v>92</v>
      </c>
      <c r="H73" s="1"/>
      <c r="I73" s="1"/>
      <c r="J73" s="1"/>
      <c r="K73" s="1"/>
      <c r="L73" s="1"/>
      <c r="M73" s="1"/>
      <c r="N73" s="1"/>
      <c r="O73" s="1"/>
      <c r="P73" s="1"/>
      <c r="Q73" s="1"/>
      <c r="R73" s="1"/>
      <c r="S73" s="1"/>
      <c r="T73" s="1"/>
      <c r="U73" s="1"/>
      <c r="V73" s="1"/>
      <c r="W73" s="1"/>
      <c r="X73" s="1"/>
      <c r="Y73" s="1"/>
      <c r="Z73" s="1"/>
    </row>
    <row r="74" spans="1:26" customFormat="1" ht="24" customHeight="1">
      <c r="A74" s="223" t="s">
        <v>10</v>
      </c>
      <c r="B74" s="224"/>
      <c r="C74" s="224"/>
      <c r="D74" s="225"/>
      <c r="E74" s="3">
        <v>222</v>
      </c>
      <c r="F74" s="3">
        <v>32</v>
      </c>
      <c r="G74" s="3">
        <v>254</v>
      </c>
      <c r="H74" s="1"/>
      <c r="I74" s="1"/>
      <c r="J74" s="1"/>
      <c r="K74" s="1"/>
      <c r="L74" s="1"/>
      <c r="M74" s="1"/>
      <c r="N74" s="1"/>
      <c r="O74" s="1"/>
      <c r="P74" s="1"/>
      <c r="Q74" s="1"/>
      <c r="R74" s="1"/>
      <c r="S74" s="1"/>
      <c r="T74" s="1"/>
      <c r="U74" s="1"/>
      <c r="V74" s="1"/>
      <c r="W74" s="1"/>
      <c r="X74" s="1"/>
      <c r="Y74" s="1"/>
      <c r="Z74" s="1"/>
    </row>
    <row r="75" spans="1:26" customFormat="1" ht="24" customHeight="1">
      <c r="A75" s="11"/>
      <c r="B75" s="1"/>
      <c r="C75" s="11"/>
      <c r="D75" s="1"/>
      <c r="E75" s="11"/>
      <c r="F75" s="1"/>
      <c r="G75" s="1"/>
      <c r="H75" s="1"/>
      <c r="I75" s="1"/>
      <c r="J75" s="1"/>
      <c r="K75" s="1"/>
      <c r="L75" s="1"/>
      <c r="M75" s="1"/>
      <c r="N75" s="1"/>
      <c r="O75" s="1"/>
      <c r="P75" s="1"/>
      <c r="Q75" s="1"/>
      <c r="R75" s="1"/>
      <c r="S75" s="1"/>
      <c r="T75" s="1"/>
      <c r="U75" s="1"/>
      <c r="V75" s="1"/>
      <c r="W75" s="1"/>
      <c r="X75" s="1"/>
      <c r="Y75" s="1"/>
      <c r="Z75" s="1"/>
    </row>
    <row r="76" spans="1:26" customFormat="1" ht="24" customHeight="1">
      <c r="A76" s="11"/>
      <c r="B76" s="1"/>
      <c r="C76" s="11"/>
      <c r="D76" s="1"/>
      <c r="E76" s="11"/>
      <c r="F76" s="1"/>
      <c r="G76" s="1"/>
      <c r="H76" s="1"/>
      <c r="I76" s="1"/>
      <c r="J76" s="1"/>
      <c r="K76" s="1"/>
      <c r="L76" s="1"/>
      <c r="M76" s="1"/>
      <c r="N76" s="1"/>
      <c r="O76" s="1"/>
      <c r="P76" s="1"/>
      <c r="Q76" s="1"/>
      <c r="R76" s="1"/>
      <c r="S76" s="1"/>
      <c r="T76" s="1"/>
      <c r="U76" s="1"/>
      <c r="V76" s="1"/>
      <c r="W76" s="1"/>
      <c r="X76" s="1"/>
      <c r="Y76" s="1"/>
      <c r="Z76" s="1"/>
    </row>
    <row r="77" spans="1:26" customFormat="1" ht="24" customHeight="1">
      <c r="A77" s="11"/>
      <c r="B77" s="1"/>
      <c r="C77" s="11"/>
      <c r="D77" s="1"/>
      <c r="E77" s="11"/>
      <c r="F77" s="1"/>
      <c r="G77" s="1"/>
      <c r="H77" s="1"/>
      <c r="I77" s="1"/>
      <c r="J77" s="1"/>
      <c r="K77" s="1"/>
      <c r="L77" s="1"/>
      <c r="M77" s="1"/>
      <c r="N77" s="1"/>
      <c r="O77" s="1"/>
      <c r="P77" s="1"/>
      <c r="Q77" s="1"/>
      <c r="R77" s="1"/>
      <c r="S77" s="1"/>
      <c r="T77" s="1"/>
      <c r="U77" s="1"/>
      <c r="V77" s="1"/>
      <c r="W77" s="1"/>
      <c r="X77" s="1"/>
      <c r="Y77" s="1"/>
      <c r="Z77" s="1"/>
    </row>
    <row r="78" spans="1:26" customFormat="1" ht="24" customHeight="1">
      <c r="A78" s="11"/>
      <c r="B78" s="1"/>
      <c r="C78" s="11"/>
      <c r="D78" s="1"/>
      <c r="E78" s="11"/>
      <c r="F78" s="1"/>
      <c r="G78" s="1"/>
      <c r="H78" s="1"/>
      <c r="I78" s="1"/>
      <c r="J78" s="1"/>
      <c r="K78" s="1"/>
      <c r="L78" s="1"/>
      <c r="M78" s="1"/>
      <c r="N78" s="1"/>
      <c r="O78" s="1"/>
      <c r="P78" s="1"/>
      <c r="Q78" s="1"/>
      <c r="R78" s="1"/>
      <c r="S78" s="1"/>
      <c r="T78" s="1"/>
      <c r="U78" s="1"/>
      <c r="V78" s="1"/>
      <c r="W78" s="1"/>
      <c r="X78" s="1"/>
      <c r="Y78" s="1"/>
      <c r="Z78" s="1"/>
    </row>
    <row r="79" spans="1:26" customFormat="1" ht="24" customHeight="1">
      <c r="A79" s="11"/>
      <c r="B79" s="1"/>
      <c r="C79" s="11"/>
      <c r="D79" s="1"/>
      <c r="E79" s="11"/>
      <c r="F79" s="1"/>
      <c r="G79" s="1"/>
      <c r="H79" s="1"/>
      <c r="I79" s="1"/>
      <c r="J79" s="1"/>
      <c r="K79" s="1"/>
      <c r="L79" s="1"/>
      <c r="M79" s="1"/>
      <c r="N79" s="1"/>
      <c r="O79" s="1"/>
      <c r="P79" s="1"/>
      <c r="Q79" s="1"/>
      <c r="R79" s="1"/>
      <c r="S79" s="1"/>
      <c r="T79" s="1"/>
      <c r="U79" s="1"/>
      <c r="V79" s="1"/>
      <c r="W79" s="1"/>
      <c r="X79" s="1"/>
      <c r="Y79" s="1"/>
      <c r="Z79" s="1"/>
    </row>
    <row r="80" spans="1:26" customFormat="1" ht="24" customHeight="1">
      <c r="A80" s="11"/>
      <c r="B80" s="1"/>
      <c r="C80" s="11"/>
      <c r="D80" s="1"/>
      <c r="E80" s="11"/>
      <c r="F80" s="1"/>
      <c r="G80" s="1"/>
      <c r="H80" s="1"/>
      <c r="I80" s="1"/>
      <c r="J80" s="1"/>
      <c r="K80" s="1"/>
      <c r="L80" s="1"/>
      <c r="M80" s="1"/>
      <c r="N80" s="1"/>
      <c r="O80" s="1"/>
      <c r="P80" s="1"/>
      <c r="Q80" s="1"/>
      <c r="R80" s="1"/>
      <c r="S80" s="1"/>
      <c r="T80" s="1"/>
      <c r="U80" s="1"/>
      <c r="V80" s="1"/>
      <c r="W80" s="1"/>
      <c r="X80" s="1"/>
      <c r="Y80" s="1"/>
      <c r="Z80" s="1"/>
    </row>
    <row r="81" spans="1:26" customFormat="1" ht="24" customHeight="1">
      <c r="A81" s="11"/>
      <c r="B81" s="1"/>
      <c r="C81" s="11"/>
      <c r="D81" s="1"/>
      <c r="E81" s="11"/>
      <c r="F81" s="1"/>
      <c r="G81" s="1"/>
      <c r="H81" s="1"/>
      <c r="I81" s="1"/>
      <c r="J81" s="1"/>
      <c r="K81" s="1"/>
      <c r="L81" s="1"/>
      <c r="M81" s="1"/>
      <c r="N81" s="1"/>
      <c r="O81" s="1"/>
      <c r="P81" s="1"/>
      <c r="Q81" s="1"/>
      <c r="R81" s="1"/>
      <c r="S81" s="1"/>
      <c r="T81" s="1"/>
      <c r="U81" s="1"/>
      <c r="V81" s="1"/>
      <c r="W81" s="1"/>
      <c r="X81" s="1"/>
      <c r="Y81" s="1"/>
      <c r="Z81" s="1"/>
    </row>
    <row r="82" spans="1:26" customFormat="1" ht="24" customHeight="1">
      <c r="A82" s="11"/>
      <c r="B82" s="1"/>
      <c r="C82" s="11"/>
      <c r="D82" s="1"/>
      <c r="E82" s="11"/>
      <c r="F82" s="1"/>
      <c r="G82" s="1"/>
      <c r="H82" s="1"/>
      <c r="I82" s="1"/>
      <c r="J82" s="1"/>
      <c r="K82" s="1"/>
      <c r="L82" s="1"/>
      <c r="M82" s="1"/>
      <c r="N82" s="1"/>
      <c r="O82" s="1"/>
      <c r="P82" s="1"/>
      <c r="Q82" s="1"/>
      <c r="R82" s="1"/>
      <c r="S82" s="1"/>
      <c r="T82" s="1"/>
      <c r="U82" s="1"/>
      <c r="V82" s="1"/>
      <c r="W82" s="1"/>
      <c r="X82" s="1"/>
      <c r="Y82" s="1"/>
      <c r="Z82" s="1"/>
    </row>
    <row r="83" spans="1:26" customFormat="1" ht="24" customHeight="1">
      <c r="A83" s="11"/>
      <c r="B83" s="1"/>
      <c r="C83" s="11"/>
      <c r="D83" s="1"/>
      <c r="E83" s="11"/>
      <c r="F83" s="1"/>
      <c r="G83" s="1"/>
      <c r="H83" s="1"/>
      <c r="I83" s="1"/>
      <c r="J83" s="1"/>
      <c r="K83" s="1"/>
      <c r="L83" s="1"/>
      <c r="M83" s="1"/>
      <c r="N83" s="1"/>
      <c r="O83" s="1"/>
      <c r="P83" s="1"/>
      <c r="Q83" s="1"/>
      <c r="R83" s="1"/>
      <c r="S83" s="1"/>
      <c r="T83" s="1"/>
      <c r="U83" s="1"/>
      <c r="V83" s="1"/>
      <c r="W83" s="1"/>
      <c r="X83" s="1"/>
      <c r="Y83" s="1"/>
      <c r="Z83" s="1"/>
    </row>
    <row r="84" spans="1:26" customFormat="1" ht="24" customHeight="1">
      <c r="A84" s="11"/>
      <c r="B84" s="1"/>
      <c r="C84" s="11"/>
      <c r="D84" s="1"/>
      <c r="E84" s="11"/>
      <c r="F84" s="1"/>
      <c r="G84" s="1"/>
      <c r="H84" s="1"/>
      <c r="I84" s="1"/>
      <c r="J84" s="1"/>
      <c r="K84" s="1"/>
      <c r="L84" s="1"/>
      <c r="M84" s="1"/>
      <c r="N84" s="1"/>
      <c r="O84" s="1"/>
      <c r="P84" s="1"/>
      <c r="Q84" s="1"/>
      <c r="R84" s="1"/>
      <c r="S84" s="1"/>
      <c r="T84" s="1"/>
      <c r="U84" s="1"/>
      <c r="V84" s="1"/>
      <c r="W84" s="1"/>
      <c r="X84" s="1"/>
      <c r="Y84" s="1"/>
      <c r="Z84" s="1"/>
    </row>
    <row r="85" spans="1:26" customFormat="1" ht="24" customHeight="1">
      <c r="A85" s="11"/>
      <c r="B85" s="1"/>
      <c r="C85" s="11"/>
      <c r="D85" s="1"/>
      <c r="E85" s="11"/>
      <c r="F85" s="1"/>
      <c r="G85" s="1"/>
      <c r="H85" s="1"/>
      <c r="I85" s="1"/>
      <c r="J85" s="1"/>
      <c r="K85" s="1"/>
      <c r="L85" s="1"/>
      <c r="M85" s="1"/>
      <c r="N85" s="1"/>
      <c r="O85" s="1"/>
      <c r="P85" s="1"/>
      <c r="Q85" s="1"/>
      <c r="R85" s="1"/>
      <c r="S85" s="1"/>
      <c r="T85" s="1"/>
      <c r="U85" s="1"/>
      <c r="V85" s="1"/>
      <c r="W85" s="1"/>
      <c r="X85" s="1"/>
      <c r="Y85" s="1"/>
      <c r="Z85" s="1"/>
    </row>
    <row r="86" spans="1:26" customFormat="1" ht="24" customHeight="1">
      <c r="A86" s="11"/>
      <c r="B86" s="1"/>
      <c r="C86" s="11"/>
      <c r="D86" s="1"/>
      <c r="E86" s="11"/>
      <c r="F86" s="1"/>
      <c r="G86" s="1"/>
      <c r="H86" s="1"/>
      <c r="I86" s="1"/>
      <c r="J86" s="1"/>
      <c r="K86" s="1"/>
      <c r="L86" s="1"/>
      <c r="M86" s="1"/>
      <c r="N86" s="1"/>
      <c r="O86" s="1"/>
      <c r="P86" s="1"/>
      <c r="Q86" s="1"/>
      <c r="R86" s="1"/>
      <c r="S86" s="1"/>
      <c r="T86" s="1"/>
      <c r="U86" s="1"/>
      <c r="V86" s="1"/>
      <c r="W86" s="1"/>
      <c r="X86" s="1"/>
      <c r="Y86" s="1"/>
      <c r="Z86" s="1"/>
    </row>
    <row r="87" spans="1:26" customFormat="1" ht="24" customHeight="1">
      <c r="A87" s="11"/>
      <c r="B87" s="1"/>
      <c r="C87" s="11"/>
      <c r="D87" s="1"/>
      <c r="E87" s="11"/>
      <c r="F87" s="1"/>
      <c r="G87" s="1"/>
      <c r="H87" s="1"/>
      <c r="I87" s="1"/>
      <c r="J87" s="1"/>
      <c r="K87" s="1"/>
      <c r="L87" s="1"/>
      <c r="M87" s="1"/>
      <c r="N87" s="1"/>
      <c r="O87" s="1"/>
      <c r="P87" s="1"/>
      <c r="Q87" s="1"/>
      <c r="R87" s="1"/>
      <c r="S87" s="1"/>
      <c r="T87" s="1"/>
      <c r="U87" s="1"/>
      <c r="V87" s="1"/>
      <c r="W87" s="1"/>
      <c r="X87" s="1"/>
      <c r="Y87" s="1"/>
      <c r="Z87" s="1"/>
    </row>
    <row r="88" spans="1:26" customFormat="1" ht="24" customHeight="1">
      <c r="A88" s="11"/>
      <c r="B88" s="1"/>
      <c r="C88" s="11"/>
      <c r="D88" s="1"/>
      <c r="E88" s="11"/>
      <c r="F88" s="1"/>
      <c r="G88" s="1"/>
      <c r="H88" s="1"/>
      <c r="I88" s="1"/>
      <c r="J88" s="1"/>
      <c r="K88" s="1"/>
      <c r="L88" s="1"/>
      <c r="M88" s="1"/>
      <c r="N88" s="1"/>
      <c r="O88" s="1"/>
      <c r="P88" s="1"/>
      <c r="Q88" s="1"/>
      <c r="R88" s="1"/>
      <c r="S88" s="1"/>
      <c r="T88" s="1"/>
      <c r="U88" s="1"/>
      <c r="V88" s="1"/>
      <c r="W88" s="1"/>
      <c r="X88" s="1"/>
      <c r="Y88" s="1"/>
      <c r="Z88" s="1"/>
    </row>
    <row r="89" spans="1:26" customFormat="1" ht="24" customHeight="1">
      <c r="A89" s="11"/>
      <c r="B89" s="1"/>
      <c r="C89" s="11"/>
      <c r="D89" s="1"/>
      <c r="E89" s="11"/>
      <c r="F89" s="1"/>
      <c r="G89" s="1"/>
      <c r="H89" s="1"/>
      <c r="I89" s="1"/>
      <c r="J89" s="1"/>
      <c r="K89" s="1"/>
      <c r="L89" s="1"/>
      <c r="M89" s="1"/>
      <c r="N89" s="1"/>
      <c r="O89" s="1"/>
      <c r="P89" s="1"/>
      <c r="Q89" s="1"/>
      <c r="R89" s="1"/>
      <c r="S89" s="1"/>
      <c r="T89" s="1"/>
      <c r="U89" s="1"/>
      <c r="V89" s="1"/>
      <c r="W89" s="1"/>
      <c r="X89" s="1"/>
      <c r="Y89" s="1"/>
      <c r="Z89" s="1"/>
    </row>
    <row r="90" spans="1:26" customFormat="1" ht="24" customHeight="1">
      <c r="A90" s="11"/>
      <c r="B90" s="1"/>
      <c r="C90" s="11"/>
      <c r="D90" s="1"/>
      <c r="E90" s="11"/>
      <c r="F90" s="1"/>
      <c r="G90" s="1"/>
      <c r="H90" s="1"/>
      <c r="I90" s="1"/>
      <c r="J90" s="1"/>
      <c r="K90" s="1"/>
      <c r="L90" s="1"/>
      <c r="M90" s="1"/>
      <c r="N90" s="1"/>
      <c r="O90" s="1"/>
      <c r="P90" s="1"/>
      <c r="Q90" s="1"/>
      <c r="R90" s="1"/>
      <c r="S90" s="1"/>
      <c r="T90" s="1"/>
      <c r="U90" s="1"/>
      <c r="V90" s="1"/>
      <c r="W90" s="1"/>
      <c r="X90" s="1"/>
      <c r="Y90" s="1"/>
      <c r="Z90" s="1"/>
    </row>
    <row r="91" spans="1:26" customFormat="1" ht="24" customHeight="1">
      <c r="A91" s="11"/>
      <c r="B91" s="1"/>
      <c r="C91" s="11"/>
      <c r="D91" s="1"/>
      <c r="E91" s="11"/>
      <c r="F91" s="1"/>
      <c r="G91" s="1"/>
      <c r="H91" s="1"/>
      <c r="I91" s="1"/>
      <c r="J91" s="1"/>
      <c r="K91" s="1"/>
      <c r="L91" s="1"/>
      <c r="M91" s="1"/>
      <c r="N91" s="1"/>
      <c r="O91" s="1"/>
      <c r="P91" s="1"/>
      <c r="Q91" s="1"/>
      <c r="R91" s="1"/>
      <c r="S91" s="1"/>
      <c r="T91" s="1"/>
      <c r="U91" s="1"/>
      <c r="V91" s="1"/>
      <c r="W91" s="1"/>
      <c r="X91" s="1"/>
      <c r="Y91" s="1"/>
      <c r="Z91" s="1"/>
    </row>
    <row r="92" spans="1:26" customFormat="1" ht="24" customHeight="1">
      <c r="A92" s="11"/>
      <c r="B92" s="1"/>
      <c r="C92" s="11"/>
      <c r="D92" s="1"/>
      <c r="E92" s="11"/>
      <c r="F92" s="1"/>
      <c r="G92" s="1"/>
      <c r="H92" s="1"/>
      <c r="I92" s="1"/>
      <c r="J92" s="1"/>
      <c r="K92" s="1"/>
      <c r="L92" s="1"/>
      <c r="M92" s="1"/>
      <c r="N92" s="1"/>
      <c r="O92" s="1"/>
      <c r="P92" s="1"/>
      <c r="Q92" s="1"/>
      <c r="R92" s="1"/>
      <c r="S92" s="1"/>
      <c r="T92" s="1"/>
      <c r="U92" s="1"/>
      <c r="V92" s="1"/>
      <c r="W92" s="1"/>
      <c r="X92" s="1"/>
      <c r="Y92" s="1"/>
      <c r="Z92" s="1"/>
    </row>
    <row r="93" spans="1:26" customFormat="1" ht="24" customHeight="1">
      <c r="A93" s="11"/>
      <c r="B93" s="1"/>
      <c r="C93" s="11"/>
      <c r="D93" s="1"/>
      <c r="E93" s="11"/>
      <c r="F93" s="1"/>
      <c r="G93" s="1"/>
      <c r="H93" s="1"/>
      <c r="I93" s="1"/>
      <c r="J93" s="1"/>
      <c r="K93" s="1"/>
      <c r="L93" s="1"/>
      <c r="M93" s="1"/>
      <c r="N93" s="1"/>
      <c r="O93" s="1"/>
      <c r="P93" s="1"/>
      <c r="Q93" s="1"/>
      <c r="R93" s="1"/>
      <c r="S93" s="1"/>
      <c r="T93" s="1"/>
      <c r="U93" s="1"/>
      <c r="V93" s="1"/>
      <c r="W93" s="1"/>
      <c r="X93" s="1"/>
      <c r="Y93" s="1"/>
      <c r="Z93" s="1"/>
    </row>
    <row r="94" spans="1:26" customFormat="1" ht="24" customHeight="1">
      <c r="A94" s="11"/>
      <c r="B94" s="1"/>
      <c r="C94" s="11"/>
      <c r="D94" s="1"/>
      <c r="E94" s="11"/>
      <c r="F94" s="1"/>
      <c r="G94" s="1"/>
      <c r="H94" s="1"/>
      <c r="I94" s="1"/>
      <c r="J94" s="1"/>
      <c r="K94" s="1"/>
      <c r="L94" s="1"/>
      <c r="M94" s="1"/>
      <c r="N94" s="1"/>
      <c r="O94" s="1"/>
      <c r="P94" s="1"/>
      <c r="Q94" s="1"/>
      <c r="R94" s="1"/>
      <c r="S94" s="1"/>
      <c r="T94" s="1"/>
      <c r="U94" s="1"/>
      <c r="V94" s="1"/>
      <c r="W94" s="1"/>
      <c r="X94" s="1"/>
      <c r="Y94" s="1"/>
      <c r="Z94" s="1"/>
    </row>
    <row r="95" spans="1:26" customFormat="1" ht="24" customHeight="1">
      <c r="A95" s="11"/>
      <c r="B95" s="1"/>
      <c r="C95" s="11"/>
      <c r="D95" s="1"/>
      <c r="E95" s="11"/>
      <c r="F95" s="1"/>
      <c r="G95" s="1"/>
      <c r="H95" s="1"/>
      <c r="I95" s="1"/>
      <c r="J95" s="1"/>
      <c r="K95" s="1"/>
      <c r="L95" s="1"/>
      <c r="M95" s="1"/>
      <c r="N95" s="1"/>
      <c r="O95" s="1"/>
      <c r="P95" s="1"/>
      <c r="Q95" s="1"/>
      <c r="R95" s="1"/>
      <c r="S95" s="1"/>
      <c r="T95" s="1"/>
      <c r="U95" s="1"/>
      <c r="V95" s="1"/>
      <c r="W95" s="1"/>
      <c r="X95" s="1"/>
      <c r="Y95" s="1"/>
      <c r="Z95" s="1"/>
    </row>
    <row r="96" spans="1:26" customFormat="1" ht="24" customHeight="1">
      <c r="A96" s="11"/>
      <c r="B96" s="1"/>
      <c r="C96" s="11"/>
      <c r="D96" s="1"/>
      <c r="E96" s="11"/>
      <c r="F96" s="1"/>
      <c r="G96" s="1"/>
      <c r="H96" s="1"/>
      <c r="I96" s="1"/>
      <c r="J96" s="1"/>
      <c r="K96" s="1"/>
      <c r="L96" s="1"/>
      <c r="M96" s="1"/>
      <c r="N96" s="1"/>
      <c r="O96" s="1"/>
      <c r="P96" s="1"/>
      <c r="Q96" s="1"/>
      <c r="R96" s="1"/>
      <c r="S96" s="1"/>
      <c r="T96" s="1"/>
      <c r="U96" s="1"/>
      <c r="V96" s="1"/>
      <c r="W96" s="1"/>
      <c r="X96" s="1"/>
      <c r="Y96" s="1"/>
      <c r="Z96" s="1"/>
    </row>
    <row r="97" spans="1:26" customFormat="1" ht="24" customHeight="1">
      <c r="A97" s="11"/>
      <c r="B97" s="1"/>
      <c r="C97" s="11"/>
      <c r="D97" s="1"/>
      <c r="E97" s="11"/>
      <c r="F97" s="1"/>
      <c r="G97" s="1"/>
      <c r="H97" s="1"/>
      <c r="I97" s="1"/>
      <c r="J97" s="1"/>
      <c r="K97" s="1"/>
      <c r="L97" s="1"/>
      <c r="M97" s="1"/>
      <c r="N97" s="1"/>
      <c r="O97" s="1"/>
      <c r="P97" s="1"/>
      <c r="Q97" s="1"/>
      <c r="R97" s="1"/>
      <c r="S97" s="1"/>
      <c r="T97" s="1"/>
      <c r="U97" s="1"/>
      <c r="V97" s="1"/>
      <c r="W97" s="1"/>
      <c r="X97" s="1"/>
      <c r="Y97" s="1"/>
      <c r="Z97" s="1"/>
    </row>
    <row r="98" spans="1:26" customFormat="1" ht="24" customHeight="1">
      <c r="A98" s="11"/>
      <c r="B98" s="1"/>
      <c r="C98" s="11"/>
      <c r="D98" s="1"/>
      <c r="E98" s="11"/>
      <c r="F98" s="1"/>
      <c r="G98" s="1"/>
      <c r="H98" s="1"/>
      <c r="I98" s="1"/>
      <c r="J98" s="1"/>
      <c r="K98" s="1"/>
      <c r="L98" s="1"/>
      <c r="M98" s="1"/>
      <c r="N98" s="1"/>
      <c r="O98" s="1"/>
      <c r="P98" s="1"/>
      <c r="Q98" s="1"/>
      <c r="R98" s="1"/>
      <c r="S98" s="1"/>
      <c r="T98" s="1"/>
      <c r="U98" s="1"/>
      <c r="V98" s="1"/>
      <c r="W98" s="1"/>
      <c r="X98" s="1"/>
      <c r="Y98" s="1"/>
      <c r="Z98" s="1"/>
    </row>
    <row r="99" spans="1:26" customFormat="1" ht="24" customHeight="1">
      <c r="A99" s="11"/>
      <c r="B99" s="1"/>
      <c r="C99" s="11"/>
      <c r="D99" s="1"/>
      <c r="E99" s="11"/>
      <c r="F99" s="1"/>
      <c r="G99" s="1"/>
      <c r="H99" s="1"/>
      <c r="I99" s="1"/>
      <c r="J99" s="1"/>
      <c r="K99" s="1"/>
      <c r="L99" s="1"/>
      <c r="M99" s="1"/>
      <c r="N99" s="1"/>
      <c r="O99" s="1"/>
      <c r="P99" s="1"/>
      <c r="Q99" s="1"/>
      <c r="R99" s="1"/>
      <c r="S99" s="1"/>
      <c r="T99" s="1"/>
      <c r="U99" s="1"/>
      <c r="V99" s="1"/>
      <c r="W99" s="1"/>
      <c r="X99" s="1"/>
      <c r="Y99" s="1"/>
      <c r="Z99" s="1"/>
    </row>
    <row r="100" spans="1:26" customFormat="1" ht="24" customHeight="1">
      <c r="A100" s="11"/>
      <c r="B100" s="1"/>
      <c r="C100" s="11"/>
      <c r="D100" s="1"/>
      <c r="E100" s="11"/>
      <c r="F100" s="1"/>
      <c r="G100" s="1"/>
      <c r="H100" s="1"/>
      <c r="I100" s="1"/>
      <c r="J100" s="1"/>
      <c r="K100" s="1"/>
      <c r="L100" s="1"/>
      <c r="M100" s="1"/>
      <c r="N100" s="1"/>
      <c r="O100" s="1"/>
      <c r="P100" s="1"/>
      <c r="Q100" s="1"/>
      <c r="R100" s="1"/>
      <c r="S100" s="1"/>
      <c r="T100" s="1"/>
      <c r="U100" s="1"/>
      <c r="V100" s="1"/>
      <c r="W100" s="1"/>
      <c r="X100" s="1"/>
      <c r="Y100" s="1"/>
      <c r="Z100" s="1"/>
    </row>
    <row r="101" spans="1:26" customFormat="1" ht="24" customHeight="1">
      <c r="A101" s="11"/>
      <c r="B101" s="1"/>
      <c r="C101" s="11"/>
      <c r="D101" s="1"/>
      <c r="E101" s="11"/>
      <c r="F101" s="1"/>
      <c r="G101" s="1"/>
      <c r="H101" s="1"/>
      <c r="I101" s="1"/>
      <c r="J101" s="1"/>
      <c r="K101" s="1"/>
      <c r="L101" s="1"/>
      <c r="M101" s="1"/>
      <c r="N101" s="1"/>
      <c r="O101" s="1"/>
      <c r="P101" s="1"/>
      <c r="Q101" s="1"/>
      <c r="R101" s="1"/>
      <c r="S101" s="1"/>
      <c r="T101" s="1"/>
      <c r="U101" s="1"/>
      <c r="V101" s="1"/>
      <c r="W101" s="1"/>
      <c r="X101" s="1"/>
      <c r="Y101" s="1"/>
      <c r="Z101" s="1"/>
    </row>
    <row r="102" spans="1:26" customFormat="1" ht="24" customHeight="1">
      <c r="A102" s="11"/>
      <c r="B102" s="1"/>
      <c r="C102" s="11"/>
      <c r="D102" s="1"/>
      <c r="E102" s="11"/>
      <c r="F102" s="1"/>
      <c r="G102" s="1"/>
      <c r="H102" s="1"/>
      <c r="I102" s="1"/>
      <c r="J102" s="1"/>
      <c r="K102" s="1"/>
      <c r="L102" s="1"/>
      <c r="M102" s="1"/>
      <c r="N102" s="1"/>
      <c r="O102" s="1"/>
      <c r="P102" s="1"/>
      <c r="Q102" s="1"/>
      <c r="R102" s="1"/>
      <c r="S102" s="1"/>
      <c r="T102" s="1"/>
      <c r="U102" s="1"/>
      <c r="V102" s="1"/>
      <c r="W102" s="1"/>
      <c r="X102" s="1"/>
      <c r="Y102" s="1"/>
      <c r="Z102" s="1"/>
    </row>
    <row r="103" spans="1:26" customFormat="1" ht="24" customHeight="1">
      <c r="A103" s="11"/>
      <c r="B103" s="1"/>
      <c r="C103" s="11"/>
      <c r="D103" s="1"/>
      <c r="E103" s="11"/>
      <c r="F103" s="1"/>
      <c r="G103" s="1"/>
      <c r="H103" s="1"/>
      <c r="I103" s="1"/>
      <c r="J103" s="1"/>
      <c r="K103" s="1"/>
      <c r="L103" s="1"/>
      <c r="M103" s="1"/>
      <c r="N103" s="1"/>
      <c r="O103" s="1"/>
      <c r="P103" s="1"/>
      <c r="Q103" s="1"/>
      <c r="R103" s="1"/>
      <c r="S103" s="1"/>
      <c r="T103" s="1"/>
      <c r="U103" s="1"/>
      <c r="V103" s="1"/>
      <c r="W103" s="1"/>
      <c r="X103" s="1"/>
      <c r="Y103" s="1"/>
      <c r="Z103" s="1"/>
    </row>
    <row r="104" spans="1:26" customFormat="1" ht="24" customHeight="1">
      <c r="A104" s="11"/>
      <c r="B104" s="1"/>
      <c r="C104" s="11"/>
      <c r="D104" s="1"/>
      <c r="E104" s="11"/>
      <c r="F104" s="1"/>
      <c r="G104" s="1"/>
      <c r="H104" s="1"/>
      <c r="I104" s="1"/>
      <c r="J104" s="1"/>
      <c r="K104" s="1"/>
      <c r="L104" s="1"/>
      <c r="M104" s="1"/>
      <c r="N104" s="1"/>
      <c r="O104" s="1"/>
      <c r="P104" s="1"/>
      <c r="Q104" s="1"/>
      <c r="R104" s="1"/>
      <c r="S104" s="1"/>
      <c r="T104" s="1"/>
      <c r="U104" s="1"/>
      <c r="V104" s="1"/>
      <c r="W104" s="1"/>
      <c r="X104" s="1"/>
      <c r="Y104" s="1"/>
      <c r="Z104" s="1"/>
    </row>
    <row r="105" spans="1:26" customFormat="1" ht="24" customHeight="1">
      <c r="A105" s="11"/>
      <c r="B105" s="1"/>
      <c r="C105" s="11"/>
      <c r="D105" s="1"/>
      <c r="E105" s="11"/>
      <c r="F105" s="1"/>
      <c r="G105" s="1"/>
      <c r="H105" s="1"/>
      <c r="I105" s="1"/>
      <c r="J105" s="1"/>
      <c r="K105" s="1"/>
      <c r="L105" s="1"/>
      <c r="M105" s="1"/>
      <c r="N105" s="1"/>
      <c r="O105" s="1"/>
      <c r="P105" s="1"/>
      <c r="Q105" s="1"/>
      <c r="R105" s="1"/>
      <c r="S105" s="1"/>
      <c r="T105" s="1"/>
      <c r="U105" s="1"/>
      <c r="V105" s="1"/>
      <c r="W105" s="1"/>
      <c r="X105" s="1"/>
      <c r="Y105" s="1"/>
      <c r="Z105" s="1"/>
    </row>
    <row r="106" spans="1:26" customFormat="1" ht="24" customHeight="1">
      <c r="A106" s="11"/>
      <c r="B106" s="1"/>
      <c r="C106" s="11"/>
      <c r="D106" s="1"/>
      <c r="E106" s="11"/>
      <c r="F106" s="1"/>
      <c r="G106" s="1"/>
      <c r="H106" s="1"/>
      <c r="I106" s="1"/>
      <c r="J106" s="1"/>
      <c r="K106" s="1"/>
      <c r="L106" s="1"/>
      <c r="M106" s="1"/>
      <c r="N106" s="1"/>
      <c r="O106" s="1"/>
      <c r="P106" s="1"/>
      <c r="Q106" s="1"/>
      <c r="R106" s="1"/>
      <c r="S106" s="1"/>
      <c r="T106" s="1"/>
      <c r="U106" s="1"/>
      <c r="V106" s="1"/>
      <c r="W106" s="1"/>
      <c r="X106" s="1"/>
      <c r="Y106" s="1"/>
      <c r="Z106" s="1"/>
    </row>
    <row r="107" spans="1:26" customFormat="1" ht="24" customHeight="1">
      <c r="A107" s="11"/>
      <c r="B107" s="1"/>
      <c r="C107" s="11"/>
      <c r="D107" s="1"/>
      <c r="E107" s="11"/>
      <c r="F107" s="1"/>
      <c r="G107" s="1"/>
      <c r="H107" s="1"/>
      <c r="I107" s="1"/>
      <c r="J107" s="1"/>
      <c r="K107" s="1"/>
      <c r="L107" s="1"/>
      <c r="M107" s="1"/>
      <c r="N107" s="1"/>
      <c r="O107" s="1"/>
      <c r="P107" s="1"/>
      <c r="Q107" s="1"/>
      <c r="R107" s="1"/>
      <c r="S107" s="1"/>
      <c r="T107" s="1"/>
      <c r="U107" s="1"/>
      <c r="V107" s="1"/>
      <c r="W107" s="1"/>
      <c r="X107" s="1"/>
      <c r="Y107" s="1"/>
      <c r="Z107" s="1"/>
    </row>
    <row r="108" spans="1:26" customFormat="1" ht="24" customHeight="1">
      <c r="A108" s="11"/>
      <c r="B108" s="1"/>
      <c r="C108" s="11"/>
      <c r="D108" s="1"/>
      <c r="E108" s="11"/>
      <c r="F108" s="1"/>
      <c r="G108" s="1"/>
      <c r="H108" s="1"/>
      <c r="I108" s="1"/>
      <c r="J108" s="1"/>
      <c r="K108" s="1"/>
      <c r="L108" s="1"/>
      <c r="M108" s="1"/>
      <c r="N108" s="1"/>
      <c r="O108" s="1"/>
      <c r="P108" s="1"/>
      <c r="Q108" s="1"/>
      <c r="R108" s="1"/>
      <c r="S108" s="1"/>
      <c r="T108" s="1"/>
      <c r="U108" s="1"/>
      <c r="V108" s="1"/>
      <c r="W108" s="1"/>
      <c r="X108" s="1"/>
      <c r="Y108" s="1"/>
      <c r="Z108" s="1"/>
    </row>
    <row r="109" spans="1:26" customFormat="1" ht="24" customHeight="1">
      <c r="A109" s="11"/>
      <c r="B109" s="1"/>
      <c r="C109" s="11"/>
      <c r="D109" s="1"/>
      <c r="E109" s="11"/>
      <c r="F109" s="1"/>
      <c r="G109" s="1"/>
      <c r="H109" s="1"/>
      <c r="I109" s="1"/>
      <c r="J109" s="1"/>
      <c r="K109" s="1"/>
      <c r="L109" s="1"/>
      <c r="M109" s="1"/>
      <c r="N109" s="1"/>
      <c r="O109" s="1"/>
      <c r="P109" s="1"/>
      <c r="Q109" s="1"/>
      <c r="R109" s="1"/>
      <c r="S109" s="1"/>
      <c r="T109" s="1"/>
      <c r="U109" s="1"/>
      <c r="V109" s="1"/>
      <c r="W109" s="1"/>
      <c r="X109" s="1"/>
      <c r="Y109" s="1"/>
      <c r="Z109" s="1"/>
    </row>
    <row r="110" spans="1:26" customFormat="1" ht="24" customHeight="1">
      <c r="A110" s="11"/>
      <c r="B110" s="1"/>
      <c r="C110" s="11"/>
      <c r="D110" s="1"/>
      <c r="E110" s="11"/>
      <c r="F110" s="1"/>
      <c r="G110" s="1"/>
      <c r="H110" s="1"/>
      <c r="I110" s="1"/>
      <c r="J110" s="1"/>
      <c r="K110" s="1"/>
      <c r="L110" s="1"/>
      <c r="M110" s="1"/>
      <c r="N110" s="1"/>
      <c r="O110" s="1"/>
      <c r="P110" s="1"/>
      <c r="Q110" s="1"/>
      <c r="R110" s="1"/>
      <c r="S110" s="1"/>
      <c r="T110" s="1"/>
      <c r="U110" s="1"/>
      <c r="V110" s="1"/>
      <c r="W110" s="1"/>
      <c r="X110" s="1"/>
      <c r="Y110" s="1"/>
      <c r="Z110" s="1"/>
    </row>
    <row r="111" spans="1:26" customFormat="1" ht="24" customHeight="1">
      <c r="A111" s="11"/>
      <c r="B111" s="1"/>
      <c r="C111" s="11"/>
      <c r="D111" s="1"/>
      <c r="E111" s="11"/>
      <c r="F111" s="1"/>
      <c r="G111" s="1"/>
      <c r="H111" s="1"/>
      <c r="I111" s="1"/>
      <c r="J111" s="1"/>
      <c r="K111" s="1"/>
      <c r="L111" s="1"/>
      <c r="M111" s="1"/>
      <c r="N111" s="1"/>
      <c r="O111" s="1"/>
      <c r="P111" s="1"/>
      <c r="Q111" s="1"/>
      <c r="R111" s="1"/>
      <c r="S111" s="1"/>
      <c r="T111" s="1"/>
      <c r="U111" s="1"/>
      <c r="V111" s="1"/>
      <c r="W111" s="1"/>
      <c r="X111" s="1"/>
      <c r="Y111" s="1"/>
      <c r="Z111" s="1"/>
    </row>
    <row r="112" spans="1:26" customFormat="1" ht="24" customHeight="1">
      <c r="A112" s="11"/>
      <c r="B112" s="1"/>
      <c r="C112" s="11"/>
      <c r="D112" s="1"/>
      <c r="E112" s="11"/>
      <c r="F112" s="1"/>
      <c r="G112" s="1"/>
      <c r="H112" s="1"/>
      <c r="I112" s="1"/>
      <c r="J112" s="1"/>
      <c r="K112" s="1"/>
      <c r="L112" s="1"/>
      <c r="M112" s="1"/>
      <c r="N112" s="1"/>
      <c r="O112" s="1"/>
      <c r="P112" s="1"/>
      <c r="Q112" s="1"/>
      <c r="R112" s="1"/>
      <c r="S112" s="1"/>
      <c r="T112" s="1"/>
      <c r="U112" s="1"/>
      <c r="V112" s="1"/>
      <c r="W112" s="1"/>
      <c r="X112" s="1"/>
      <c r="Y112" s="1"/>
      <c r="Z112" s="1"/>
    </row>
    <row r="113" spans="1:26" customFormat="1" ht="24" customHeight="1">
      <c r="A113" s="11"/>
      <c r="B113" s="1"/>
      <c r="C113" s="11"/>
      <c r="D113" s="1"/>
      <c r="E113" s="11"/>
      <c r="F113" s="1"/>
      <c r="G113" s="1"/>
      <c r="H113" s="1"/>
      <c r="I113" s="1"/>
      <c r="J113" s="1"/>
      <c r="K113" s="1"/>
      <c r="L113" s="1"/>
      <c r="M113" s="1"/>
      <c r="N113" s="1"/>
      <c r="O113" s="1"/>
      <c r="P113" s="1"/>
      <c r="Q113" s="1"/>
      <c r="R113" s="1"/>
      <c r="S113" s="1"/>
      <c r="T113" s="1"/>
      <c r="U113" s="1"/>
      <c r="V113" s="1"/>
      <c r="W113" s="1"/>
      <c r="X113" s="1"/>
      <c r="Y113" s="1"/>
      <c r="Z113" s="1"/>
    </row>
    <row r="114" spans="1:26" customFormat="1" ht="24" customHeight="1">
      <c r="A114" s="11"/>
      <c r="B114" s="1"/>
      <c r="C114" s="11"/>
      <c r="D114" s="1"/>
      <c r="E114" s="11"/>
      <c r="F114" s="1"/>
      <c r="G114" s="1"/>
      <c r="H114" s="1"/>
      <c r="I114" s="1"/>
      <c r="J114" s="1"/>
      <c r="K114" s="1"/>
      <c r="L114" s="1"/>
      <c r="M114" s="1"/>
      <c r="N114" s="1"/>
      <c r="O114" s="1"/>
      <c r="P114" s="1"/>
      <c r="Q114" s="1"/>
      <c r="R114" s="1"/>
      <c r="S114" s="1"/>
      <c r="T114" s="1"/>
      <c r="U114" s="1"/>
      <c r="V114" s="1"/>
      <c r="W114" s="1"/>
      <c r="X114" s="1"/>
      <c r="Y114" s="1"/>
      <c r="Z114" s="1"/>
    </row>
    <row r="115" spans="1:26" customFormat="1" ht="24" customHeight="1">
      <c r="A115" s="11"/>
      <c r="B115" s="1"/>
      <c r="C115" s="11"/>
      <c r="D115" s="1"/>
      <c r="E115" s="11"/>
      <c r="F115" s="1"/>
      <c r="G115" s="1"/>
      <c r="H115" s="1"/>
      <c r="I115" s="1"/>
      <c r="J115" s="1"/>
      <c r="K115" s="1"/>
      <c r="L115" s="1"/>
      <c r="M115" s="1"/>
      <c r="N115" s="1"/>
      <c r="O115" s="1"/>
      <c r="P115" s="1"/>
      <c r="Q115" s="1"/>
      <c r="R115" s="1"/>
      <c r="S115" s="1"/>
      <c r="T115" s="1"/>
      <c r="U115" s="1"/>
      <c r="V115" s="1"/>
      <c r="W115" s="1"/>
      <c r="X115" s="1"/>
      <c r="Y115" s="1"/>
      <c r="Z115" s="1"/>
    </row>
    <row r="116" spans="1:26" customFormat="1" ht="24" customHeight="1">
      <c r="A116" s="11"/>
      <c r="B116" s="1"/>
      <c r="C116" s="11"/>
      <c r="D116" s="1"/>
      <c r="E116" s="11"/>
      <c r="F116" s="1"/>
      <c r="G116" s="1"/>
      <c r="H116" s="1"/>
      <c r="I116" s="1"/>
      <c r="J116" s="1"/>
      <c r="K116" s="1"/>
      <c r="L116" s="1"/>
      <c r="M116" s="1"/>
      <c r="N116" s="1"/>
      <c r="O116" s="1"/>
      <c r="P116" s="1"/>
      <c r="Q116" s="1"/>
      <c r="R116" s="1"/>
      <c r="S116" s="1"/>
      <c r="T116" s="1"/>
      <c r="U116" s="1"/>
      <c r="V116" s="1"/>
      <c r="W116" s="1"/>
      <c r="X116" s="1"/>
      <c r="Y116" s="1"/>
      <c r="Z116" s="1"/>
    </row>
    <row r="117" spans="1:26" customFormat="1" ht="24" customHeight="1">
      <c r="A117" s="11"/>
      <c r="B117" s="1"/>
      <c r="C117" s="11"/>
      <c r="D117" s="1"/>
      <c r="E117" s="11"/>
      <c r="F117" s="1"/>
      <c r="G117" s="1"/>
      <c r="H117" s="1"/>
      <c r="I117" s="1"/>
      <c r="J117" s="1"/>
      <c r="K117" s="1"/>
      <c r="L117" s="1"/>
      <c r="M117" s="1"/>
      <c r="N117" s="1"/>
      <c r="O117" s="1"/>
      <c r="P117" s="1"/>
      <c r="Q117" s="1"/>
      <c r="R117" s="1"/>
      <c r="S117" s="1"/>
      <c r="T117" s="1"/>
      <c r="U117" s="1"/>
      <c r="V117" s="1"/>
      <c r="W117" s="1"/>
      <c r="X117" s="1"/>
      <c r="Y117" s="1"/>
      <c r="Z117" s="1"/>
    </row>
    <row r="118" spans="1:26" customFormat="1" ht="24" customHeight="1">
      <c r="A118" s="11"/>
      <c r="B118" s="1"/>
      <c r="C118" s="11"/>
      <c r="D118" s="1"/>
      <c r="E118" s="11"/>
      <c r="F118" s="1"/>
      <c r="G118" s="1"/>
      <c r="H118" s="1"/>
      <c r="I118" s="1"/>
      <c r="J118" s="1"/>
      <c r="K118" s="1"/>
      <c r="L118" s="1"/>
      <c r="M118" s="1"/>
      <c r="N118" s="1"/>
      <c r="O118" s="1"/>
      <c r="P118" s="1"/>
      <c r="Q118" s="1"/>
      <c r="R118" s="1"/>
      <c r="S118" s="1"/>
      <c r="T118" s="1"/>
      <c r="U118" s="1"/>
      <c r="V118" s="1"/>
      <c r="W118" s="1"/>
      <c r="X118" s="1"/>
      <c r="Y118" s="1"/>
      <c r="Z118" s="1"/>
    </row>
    <row r="119" spans="1:26" customFormat="1" ht="24" customHeight="1">
      <c r="A119" s="11"/>
      <c r="B119" s="1"/>
      <c r="C119" s="11"/>
      <c r="D119" s="1"/>
      <c r="E119" s="11"/>
      <c r="F119" s="1"/>
      <c r="G119" s="1"/>
      <c r="H119" s="1"/>
      <c r="I119" s="1"/>
      <c r="J119" s="1"/>
      <c r="K119" s="1"/>
      <c r="L119" s="1"/>
      <c r="M119" s="1"/>
      <c r="N119" s="1"/>
      <c r="O119" s="1"/>
      <c r="P119" s="1"/>
      <c r="Q119" s="1"/>
      <c r="R119" s="1"/>
      <c r="S119" s="1"/>
      <c r="T119" s="1"/>
      <c r="U119" s="1"/>
      <c r="V119" s="1"/>
      <c r="W119" s="1"/>
      <c r="X119" s="1"/>
      <c r="Y119" s="1"/>
      <c r="Z119" s="1"/>
    </row>
    <row r="120" spans="1:26" customFormat="1" ht="24" customHeight="1">
      <c r="A120" s="11"/>
      <c r="B120" s="1"/>
      <c r="C120" s="11"/>
      <c r="D120" s="1"/>
      <c r="E120" s="11"/>
      <c r="F120" s="1"/>
      <c r="G120" s="1"/>
      <c r="H120" s="1"/>
      <c r="I120" s="1"/>
      <c r="J120" s="1"/>
      <c r="K120" s="1"/>
      <c r="L120" s="1"/>
      <c r="M120" s="1"/>
      <c r="N120" s="1"/>
      <c r="O120" s="1"/>
      <c r="P120" s="1"/>
      <c r="Q120" s="1"/>
      <c r="R120" s="1"/>
      <c r="S120" s="1"/>
      <c r="T120" s="1"/>
      <c r="U120" s="1"/>
      <c r="V120" s="1"/>
      <c r="W120" s="1"/>
      <c r="X120" s="1"/>
      <c r="Y120" s="1"/>
      <c r="Z120" s="1"/>
    </row>
    <row r="121" spans="1:26" customFormat="1" ht="24" customHeight="1">
      <c r="A121" s="11"/>
      <c r="B121" s="1"/>
      <c r="C121" s="11"/>
      <c r="D121" s="1"/>
      <c r="E121" s="11"/>
      <c r="F121" s="1"/>
      <c r="G121" s="1"/>
      <c r="H121" s="1"/>
      <c r="I121" s="1"/>
      <c r="J121" s="1"/>
      <c r="K121" s="1"/>
      <c r="L121" s="1"/>
      <c r="M121" s="1"/>
      <c r="N121" s="1"/>
      <c r="O121" s="1"/>
      <c r="P121" s="1"/>
      <c r="Q121" s="1"/>
      <c r="R121" s="1"/>
      <c r="S121" s="1"/>
      <c r="T121" s="1"/>
      <c r="U121" s="1"/>
      <c r="V121" s="1"/>
      <c r="W121" s="1"/>
      <c r="X121" s="1"/>
      <c r="Y121" s="1"/>
      <c r="Z121" s="1"/>
    </row>
    <row r="122" spans="1:26" customFormat="1" ht="24" customHeight="1">
      <c r="A122" s="11"/>
      <c r="B122" s="1"/>
      <c r="C122" s="11"/>
      <c r="D122" s="1"/>
      <c r="E122" s="11"/>
      <c r="F122" s="1"/>
      <c r="G122" s="1"/>
      <c r="H122" s="1"/>
      <c r="I122" s="1"/>
      <c r="J122" s="1"/>
      <c r="K122" s="1"/>
      <c r="L122" s="1"/>
      <c r="M122" s="1"/>
      <c r="N122" s="1"/>
      <c r="O122" s="1"/>
      <c r="P122" s="1"/>
      <c r="Q122" s="1"/>
      <c r="R122" s="1"/>
      <c r="S122" s="1"/>
      <c r="T122" s="1"/>
      <c r="U122" s="1"/>
      <c r="V122" s="1"/>
      <c r="W122" s="1"/>
      <c r="X122" s="1"/>
      <c r="Y122" s="1"/>
      <c r="Z122" s="1"/>
    </row>
    <row r="123" spans="1:26" customFormat="1" ht="24" customHeight="1">
      <c r="A123" s="11"/>
      <c r="B123" s="1"/>
      <c r="C123" s="11"/>
      <c r="D123" s="1"/>
      <c r="E123" s="11"/>
      <c r="F123" s="1"/>
      <c r="G123" s="1"/>
      <c r="H123" s="1"/>
      <c r="I123" s="1"/>
      <c r="J123" s="1"/>
      <c r="K123" s="1"/>
      <c r="L123" s="1"/>
      <c r="M123" s="1"/>
      <c r="N123" s="1"/>
      <c r="O123" s="1"/>
      <c r="P123" s="1"/>
      <c r="Q123" s="1"/>
      <c r="R123" s="1"/>
      <c r="S123" s="1"/>
      <c r="T123" s="1"/>
      <c r="U123" s="1"/>
      <c r="V123" s="1"/>
      <c r="W123" s="1"/>
      <c r="X123" s="1"/>
      <c r="Y123" s="1"/>
      <c r="Z123" s="1"/>
    </row>
    <row r="124" spans="1:26" customFormat="1" ht="24" customHeight="1">
      <c r="A124" s="11"/>
      <c r="B124" s="1"/>
      <c r="C124" s="11"/>
      <c r="D124" s="1"/>
      <c r="E124" s="11"/>
      <c r="F124" s="1"/>
      <c r="G124" s="1"/>
      <c r="H124" s="1"/>
      <c r="I124" s="1"/>
      <c r="J124" s="1"/>
      <c r="K124" s="1"/>
      <c r="L124" s="1"/>
      <c r="M124" s="1"/>
      <c r="N124" s="1"/>
      <c r="O124" s="1"/>
      <c r="P124" s="1"/>
      <c r="Q124" s="1"/>
      <c r="R124" s="1"/>
      <c r="S124" s="1"/>
      <c r="T124" s="1"/>
      <c r="U124" s="1"/>
      <c r="V124" s="1"/>
      <c r="W124" s="1"/>
      <c r="X124" s="1"/>
      <c r="Y124" s="1"/>
      <c r="Z124" s="1"/>
    </row>
    <row r="125" spans="1:26" customFormat="1" ht="24" customHeight="1">
      <c r="A125" s="11"/>
      <c r="B125" s="1"/>
      <c r="C125" s="11"/>
      <c r="D125" s="1"/>
      <c r="E125" s="11"/>
      <c r="F125" s="1"/>
      <c r="G125" s="1"/>
      <c r="H125" s="1"/>
      <c r="I125" s="1"/>
      <c r="J125" s="1"/>
      <c r="K125" s="1"/>
      <c r="L125" s="1"/>
      <c r="M125" s="1"/>
      <c r="N125" s="1"/>
      <c r="O125" s="1"/>
      <c r="P125" s="1"/>
      <c r="Q125" s="1"/>
      <c r="R125" s="1"/>
      <c r="S125" s="1"/>
      <c r="T125" s="1"/>
      <c r="U125" s="1"/>
      <c r="V125" s="1"/>
      <c r="W125" s="1"/>
      <c r="X125" s="1"/>
      <c r="Y125" s="1"/>
      <c r="Z125" s="1"/>
    </row>
    <row r="126" spans="1:26" customFormat="1" ht="24" customHeight="1">
      <c r="A126" s="11"/>
      <c r="B126" s="1"/>
      <c r="C126" s="11"/>
      <c r="D126" s="1"/>
      <c r="E126" s="11"/>
      <c r="F126" s="1"/>
      <c r="G126" s="1"/>
      <c r="H126" s="1"/>
      <c r="I126" s="1"/>
      <c r="J126" s="1"/>
      <c r="K126" s="1"/>
      <c r="L126" s="1"/>
      <c r="M126" s="1"/>
      <c r="N126" s="1"/>
      <c r="O126" s="1"/>
      <c r="P126" s="1"/>
      <c r="Q126" s="1"/>
      <c r="R126" s="1"/>
      <c r="S126" s="1"/>
      <c r="T126" s="1"/>
      <c r="U126" s="1"/>
      <c r="V126" s="1"/>
      <c r="W126" s="1"/>
      <c r="X126" s="1"/>
      <c r="Y126" s="1"/>
      <c r="Z126" s="1"/>
    </row>
    <row r="127" spans="1:26" customFormat="1" ht="24" customHeight="1">
      <c r="A127" s="11"/>
      <c r="B127" s="1"/>
      <c r="C127" s="11"/>
      <c r="D127" s="1"/>
      <c r="E127" s="11"/>
      <c r="F127" s="1"/>
      <c r="G127" s="1"/>
      <c r="H127" s="1"/>
      <c r="I127" s="1"/>
      <c r="J127" s="1"/>
      <c r="K127" s="1"/>
      <c r="L127" s="1"/>
      <c r="M127" s="1"/>
      <c r="N127" s="1"/>
      <c r="O127" s="1"/>
      <c r="P127" s="1"/>
      <c r="Q127" s="1"/>
      <c r="R127" s="1"/>
      <c r="S127" s="1"/>
      <c r="T127" s="1"/>
      <c r="U127" s="1"/>
      <c r="V127" s="1"/>
      <c r="W127" s="1"/>
      <c r="X127" s="1"/>
      <c r="Y127" s="1"/>
      <c r="Z127" s="1"/>
    </row>
    <row r="128" spans="1:26" customFormat="1" ht="24" customHeight="1">
      <c r="A128" s="11"/>
      <c r="B128" s="1"/>
      <c r="C128" s="11"/>
      <c r="D128" s="1"/>
      <c r="E128" s="11"/>
      <c r="F128" s="1"/>
      <c r="G128" s="1"/>
      <c r="H128" s="1"/>
      <c r="I128" s="1"/>
      <c r="J128" s="1"/>
      <c r="K128" s="1"/>
      <c r="L128" s="1"/>
      <c r="M128" s="1"/>
      <c r="N128" s="1"/>
      <c r="O128" s="1"/>
      <c r="P128" s="1"/>
      <c r="Q128" s="1"/>
      <c r="R128" s="1"/>
      <c r="S128" s="1"/>
      <c r="T128" s="1"/>
      <c r="U128" s="1"/>
      <c r="V128" s="1"/>
      <c r="W128" s="1"/>
      <c r="X128" s="1"/>
      <c r="Y128" s="1"/>
      <c r="Z128" s="1"/>
    </row>
    <row r="129" spans="1:26" customFormat="1" ht="24" customHeight="1">
      <c r="A129" s="11"/>
      <c r="B129" s="1"/>
      <c r="C129" s="11"/>
      <c r="D129" s="1"/>
      <c r="E129" s="11"/>
      <c r="F129" s="1"/>
      <c r="G129" s="1"/>
      <c r="H129" s="1"/>
      <c r="I129" s="1"/>
      <c r="J129" s="1"/>
      <c r="K129" s="1"/>
      <c r="L129" s="1"/>
      <c r="M129" s="1"/>
      <c r="N129" s="1"/>
      <c r="O129" s="1"/>
      <c r="P129" s="1"/>
      <c r="Q129" s="1"/>
      <c r="R129" s="1"/>
      <c r="S129" s="1"/>
      <c r="T129" s="1"/>
      <c r="U129" s="1"/>
      <c r="V129" s="1"/>
      <c r="W129" s="1"/>
      <c r="X129" s="1"/>
      <c r="Y129" s="1"/>
      <c r="Z129" s="1"/>
    </row>
    <row r="130" spans="1:26" customFormat="1" ht="24" customHeight="1">
      <c r="A130" s="11"/>
      <c r="B130" s="1"/>
      <c r="C130" s="11"/>
      <c r="D130" s="1"/>
      <c r="E130" s="11"/>
      <c r="F130" s="1"/>
      <c r="G130" s="1"/>
      <c r="H130" s="1"/>
      <c r="I130" s="1"/>
      <c r="J130" s="1"/>
      <c r="K130" s="1"/>
      <c r="L130" s="1"/>
      <c r="M130" s="1"/>
      <c r="N130" s="1"/>
      <c r="O130" s="1"/>
      <c r="P130" s="1"/>
      <c r="Q130" s="1"/>
      <c r="R130" s="1"/>
      <c r="S130" s="1"/>
      <c r="T130" s="1"/>
      <c r="U130" s="1"/>
      <c r="V130" s="1"/>
      <c r="W130" s="1"/>
      <c r="X130" s="1"/>
      <c r="Y130" s="1"/>
      <c r="Z130" s="1"/>
    </row>
    <row r="131" spans="1:26" customFormat="1" ht="24" customHeight="1">
      <c r="A131" s="11"/>
      <c r="B131" s="1"/>
      <c r="C131" s="11"/>
      <c r="D131" s="1"/>
      <c r="E131" s="11"/>
      <c r="F131" s="1"/>
      <c r="G131" s="1"/>
      <c r="H131" s="1"/>
      <c r="I131" s="1"/>
      <c r="J131" s="1"/>
      <c r="K131" s="1"/>
      <c r="L131" s="1"/>
      <c r="M131" s="1"/>
      <c r="N131" s="1"/>
      <c r="O131" s="1"/>
      <c r="P131" s="1"/>
      <c r="Q131" s="1"/>
      <c r="R131" s="1"/>
      <c r="S131" s="1"/>
      <c r="T131" s="1"/>
      <c r="U131" s="1"/>
      <c r="V131" s="1"/>
      <c r="W131" s="1"/>
      <c r="X131" s="1"/>
      <c r="Y131" s="1"/>
      <c r="Z131" s="1"/>
    </row>
    <row r="132" spans="1:26" customFormat="1" ht="24" customHeight="1">
      <c r="A132" s="11"/>
      <c r="B132" s="1"/>
      <c r="C132" s="11"/>
      <c r="D132" s="1"/>
      <c r="E132" s="11"/>
      <c r="F132" s="1"/>
      <c r="G132" s="1"/>
      <c r="H132" s="1"/>
      <c r="I132" s="1"/>
      <c r="J132" s="1"/>
      <c r="K132" s="1"/>
      <c r="L132" s="1"/>
      <c r="M132" s="1"/>
      <c r="N132" s="1"/>
      <c r="O132" s="1"/>
      <c r="P132" s="1"/>
      <c r="Q132" s="1"/>
      <c r="R132" s="1"/>
      <c r="S132" s="1"/>
      <c r="T132" s="1"/>
      <c r="U132" s="1"/>
      <c r="V132" s="1"/>
      <c r="W132" s="1"/>
      <c r="X132" s="1"/>
      <c r="Y132" s="1"/>
      <c r="Z132" s="1"/>
    </row>
    <row r="133" spans="1:26" customFormat="1" ht="24" customHeight="1">
      <c r="A133" s="11"/>
      <c r="B133" s="1"/>
      <c r="C133" s="11"/>
      <c r="D133" s="1"/>
      <c r="E133" s="11"/>
      <c r="F133" s="1"/>
      <c r="G133" s="1"/>
      <c r="H133" s="1"/>
      <c r="I133" s="1"/>
      <c r="J133" s="1"/>
      <c r="K133" s="1"/>
      <c r="L133" s="1"/>
      <c r="M133" s="1"/>
      <c r="N133" s="1"/>
      <c r="O133" s="1"/>
      <c r="P133" s="1"/>
      <c r="Q133" s="1"/>
      <c r="R133" s="1"/>
      <c r="S133" s="1"/>
      <c r="T133" s="1"/>
      <c r="U133" s="1"/>
      <c r="V133" s="1"/>
      <c r="W133" s="1"/>
      <c r="X133" s="1"/>
      <c r="Y133" s="1"/>
      <c r="Z133" s="1"/>
    </row>
    <row r="134" spans="1:26" customFormat="1" ht="24" customHeight="1">
      <c r="A134" s="11"/>
      <c r="B134" s="1"/>
      <c r="C134" s="11"/>
      <c r="D134" s="1"/>
      <c r="E134" s="11"/>
      <c r="F134" s="1"/>
      <c r="G134" s="1"/>
      <c r="H134" s="1"/>
      <c r="I134" s="1"/>
      <c r="J134" s="1"/>
      <c r="K134" s="1"/>
      <c r="L134" s="1"/>
      <c r="M134" s="1"/>
      <c r="N134" s="1"/>
      <c r="O134" s="1"/>
      <c r="P134" s="1"/>
      <c r="Q134" s="1"/>
      <c r="R134" s="1"/>
      <c r="S134" s="1"/>
      <c r="T134" s="1"/>
      <c r="U134" s="1"/>
      <c r="V134" s="1"/>
      <c r="W134" s="1"/>
      <c r="X134" s="1"/>
      <c r="Y134" s="1"/>
      <c r="Z134" s="1"/>
    </row>
    <row r="135" spans="1:26" customFormat="1" ht="24" customHeight="1">
      <c r="A135" s="11"/>
      <c r="B135" s="1"/>
      <c r="C135" s="11"/>
      <c r="D135" s="1"/>
      <c r="E135" s="11"/>
      <c r="F135" s="1"/>
      <c r="G135" s="1"/>
      <c r="H135" s="1"/>
      <c r="I135" s="1"/>
      <c r="J135" s="1"/>
      <c r="K135" s="1"/>
      <c r="L135" s="1"/>
      <c r="M135" s="1"/>
      <c r="N135" s="1"/>
      <c r="O135" s="1"/>
      <c r="P135" s="1"/>
      <c r="Q135" s="1"/>
      <c r="R135" s="1"/>
      <c r="S135" s="1"/>
      <c r="T135" s="1"/>
      <c r="U135" s="1"/>
      <c r="V135" s="1"/>
      <c r="W135" s="1"/>
      <c r="X135" s="1"/>
      <c r="Y135" s="1"/>
      <c r="Z135" s="1"/>
    </row>
    <row r="136" spans="1:26" customFormat="1" ht="24" customHeight="1">
      <c r="A136" s="11"/>
      <c r="B136" s="1"/>
      <c r="C136" s="11"/>
      <c r="D136" s="1"/>
      <c r="E136" s="11"/>
      <c r="F136" s="1"/>
      <c r="G136" s="1"/>
      <c r="H136" s="1"/>
      <c r="I136" s="1"/>
      <c r="J136" s="1"/>
      <c r="K136" s="1"/>
      <c r="L136" s="1"/>
      <c r="M136" s="1"/>
      <c r="N136" s="1"/>
      <c r="O136" s="1"/>
      <c r="P136" s="1"/>
      <c r="Q136" s="1"/>
      <c r="R136" s="1"/>
      <c r="S136" s="1"/>
      <c r="T136" s="1"/>
      <c r="U136" s="1"/>
      <c r="V136" s="1"/>
      <c r="W136" s="1"/>
      <c r="X136" s="1"/>
      <c r="Y136" s="1"/>
      <c r="Z136" s="1"/>
    </row>
    <row r="137" spans="1:26" customFormat="1" ht="24" customHeight="1">
      <c r="A137" s="11"/>
      <c r="B137" s="1"/>
      <c r="C137" s="11"/>
      <c r="D137" s="1"/>
      <c r="E137" s="11"/>
      <c r="F137" s="1"/>
      <c r="G137" s="1"/>
      <c r="H137" s="1"/>
      <c r="I137" s="1"/>
      <c r="J137" s="1"/>
      <c r="K137" s="1"/>
      <c r="L137" s="1"/>
      <c r="M137" s="1"/>
      <c r="N137" s="1"/>
      <c r="O137" s="1"/>
      <c r="P137" s="1"/>
      <c r="Q137" s="1"/>
      <c r="R137" s="1"/>
      <c r="S137" s="1"/>
      <c r="T137" s="1"/>
      <c r="U137" s="1"/>
      <c r="V137" s="1"/>
      <c r="W137" s="1"/>
      <c r="X137" s="1"/>
      <c r="Y137" s="1"/>
      <c r="Z137" s="1"/>
    </row>
    <row r="138" spans="1:26" customFormat="1" ht="24" customHeight="1">
      <c r="A138" s="11"/>
      <c r="B138" s="1"/>
      <c r="C138" s="11"/>
      <c r="D138" s="1"/>
      <c r="E138" s="11"/>
      <c r="F138" s="1"/>
      <c r="G138" s="1"/>
      <c r="H138" s="1"/>
      <c r="I138" s="1"/>
      <c r="J138" s="1"/>
      <c r="K138" s="1"/>
      <c r="L138" s="1"/>
      <c r="M138" s="1"/>
      <c r="N138" s="1"/>
      <c r="O138" s="1"/>
      <c r="P138" s="1"/>
      <c r="Q138" s="1"/>
      <c r="R138" s="1"/>
      <c r="S138" s="1"/>
      <c r="T138" s="1"/>
      <c r="U138" s="1"/>
      <c r="V138" s="1"/>
      <c r="W138" s="1"/>
      <c r="X138" s="1"/>
      <c r="Y138" s="1"/>
      <c r="Z138" s="1"/>
    </row>
    <row r="139" spans="1:26" customFormat="1" ht="24" customHeight="1">
      <c r="A139" s="11"/>
      <c r="B139" s="1"/>
      <c r="C139" s="11"/>
      <c r="D139" s="1"/>
      <c r="E139" s="11"/>
      <c r="F139" s="1"/>
      <c r="G139" s="1"/>
      <c r="H139" s="1"/>
      <c r="I139" s="1"/>
      <c r="J139" s="1"/>
      <c r="K139" s="1"/>
      <c r="L139" s="1"/>
      <c r="M139" s="1"/>
      <c r="N139" s="1"/>
      <c r="O139" s="1"/>
      <c r="P139" s="1"/>
      <c r="Q139" s="1"/>
      <c r="R139" s="1"/>
      <c r="S139" s="1"/>
      <c r="T139" s="1"/>
      <c r="U139" s="1"/>
      <c r="V139" s="1"/>
      <c r="W139" s="1"/>
      <c r="X139" s="1"/>
      <c r="Y139" s="1"/>
      <c r="Z139" s="1"/>
    </row>
    <row r="140" spans="1:26" customFormat="1" ht="24" customHeight="1">
      <c r="A140" s="11"/>
      <c r="B140" s="1"/>
      <c r="C140" s="11"/>
      <c r="D140" s="1"/>
      <c r="E140" s="11"/>
      <c r="F140" s="1"/>
      <c r="G140" s="1"/>
      <c r="H140" s="1"/>
      <c r="I140" s="1"/>
      <c r="J140" s="1"/>
      <c r="K140" s="1"/>
      <c r="L140" s="1"/>
      <c r="M140" s="1"/>
      <c r="N140" s="1"/>
      <c r="O140" s="1"/>
      <c r="P140" s="1"/>
      <c r="Q140" s="1"/>
      <c r="R140" s="1"/>
      <c r="S140" s="1"/>
      <c r="T140" s="1"/>
      <c r="U140" s="1"/>
      <c r="V140" s="1"/>
      <c r="W140" s="1"/>
      <c r="X140" s="1"/>
      <c r="Y140" s="1"/>
      <c r="Z140" s="1"/>
    </row>
    <row r="141" spans="1:26" customFormat="1" ht="24" customHeight="1">
      <c r="A141" s="11"/>
      <c r="B141" s="1"/>
      <c r="C141" s="11"/>
      <c r="D141" s="1"/>
      <c r="E141" s="11"/>
      <c r="F141" s="1"/>
      <c r="G141" s="1"/>
      <c r="H141" s="1"/>
      <c r="I141" s="1"/>
      <c r="J141" s="1"/>
      <c r="K141" s="1"/>
      <c r="L141" s="1"/>
      <c r="M141" s="1"/>
      <c r="N141" s="1"/>
      <c r="O141" s="1"/>
      <c r="P141" s="1"/>
      <c r="Q141" s="1"/>
      <c r="R141" s="1"/>
      <c r="S141" s="1"/>
      <c r="T141" s="1"/>
      <c r="U141" s="1"/>
      <c r="V141" s="1"/>
      <c r="W141" s="1"/>
      <c r="X141" s="1"/>
      <c r="Y141" s="1"/>
      <c r="Z141" s="1"/>
    </row>
    <row r="142" spans="1:26" customFormat="1" ht="24" customHeight="1">
      <c r="A142" s="11"/>
      <c r="B142" s="1"/>
      <c r="C142" s="11"/>
      <c r="D142" s="1"/>
      <c r="E142" s="11"/>
      <c r="F142" s="1"/>
      <c r="G142" s="1"/>
      <c r="H142" s="1"/>
      <c r="I142" s="1"/>
      <c r="J142" s="1"/>
      <c r="K142" s="1"/>
      <c r="L142" s="1"/>
      <c r="M142" s="1"/>
      <c r="N142" s="1"/>
      <c r="O142" s="1"/>
      <c r="P142" s="1"/>
      <c r="Q142" s="1"/>
      <c r="R142" s="1"/>
      <c r="S142" s="1"/>
      <c r="T142" s="1"/>
      <c r="U142" s="1"/>
      <c r="V142" s="1"/>
      <c r="W142" s="1"/>
      <c r="X142" s="1"/>
      <c r="Y142" s="1"/>
      <c r="Z142" s="1"/>
    </row>
    <row r="143" spans="1:26" customFormat="1" ht="24" customHeight="1">
      <c r="A143" s="11"/>
      <c r="B143" s="1"/>
      <c r="C143" s="11"/>
      <c r="D143" s="1"/>
      <c r="E143" s="11"/>
      <c r="F143" s="1"/>
      <c r="G143" s="1"/>
      <c r="H143" s="1"/>
      <c r="I143" s="1"/>
      <c r="J143" s="1"/>
      <c r="K143" s="1"/>
      <c r="L143" s="1"/>
      <c r="M143" s="1"/>
      <c r="N143" s="1"/>
      <c r="O143" s="1"/>
      <c r="P143" s="1"/>
      <c r="Q143" s="1"/>
      <c r="R143" s="1"/>
      <c r="S143" s="1"/>
      <c r="T143" s="1"/>
      <c r="U143" s="1"/>
      <c r="V143" s="1"/>
      <c r="W143" s="1"/>
      <c r="X143" s="1"/>
      <c r="Y143" s="1"/>
      <c r="Z143" s="1"/>
    </row>
    <row r="144" spans="1:26" customFormat="1" ht="24" customHeight="1">
      <c r="A144" s="11"/>
      <c r="B144" s="1"/>
      <c r="C144" s="11"/>
      <c r="D144" s="1"/>
      <c r="E144" s="11"/>
      <c r="F144" s="1"/>
      <c r="G144" s="1"/>
      <c r="H144" s="1"/>
      <c r="I144" s="1"/>
      <c r="J144" s="1"/>
      <c r="K144" s="1"/>
      <c r="L144" s="1"/>
      <c r="M144" s="1"/>
      <c r="N144" s="1"/>
      <c r="O144" s="1"/>
      <c r="P144" s="1"/>
      <c r="Q144" s="1"/>
      <c r="R144" s="1"/>
      <c r="S144" s="1"/>
      <c r="T144" s="1"/>
      <c r="U144" s="1"/>
      <c r="V144" s="1"/>
      <c r="W144" s="1"/>
      <c r="X144" s="1"/>
      <c r="Y144" s="1"/>
      <c r="Z144" s="1"/>
    </row>
    <row r="145" spans="1:26" customFormat="1" ht="24" customHeight="1">
      <c r="A145" s="11"/>
      <c r="B145" s="1"/>
      <c r="C145" s="11"/>
      <c r="D145" s="1"/>
      <c r="E145" s="11"/>
      <c r="F145" s="1"/>
      <c r="G145" s="1"/>
      <c r="H145" s="1"/>
      <c r="I145" s="1"/>
      <c r="J145" s="1"/>
      <c r="K145" s="1"/>
      <c r="L145" s="1"/>
      <c r="M145" s="1"/>
      <c r="N145" s="1"/>
      <c r="O145" s="1"/>
      <c r="P145" s="1"/>
      <c r="Q145" s="1"/>
      <c r="R145" s="1"/>
      <c r="S145" s="1"/>
      <c r="T145" s="1"/>
      <c r="U145" s="1"/>
      <c r="V145" s="1"/>
      <c r="W145" s="1"/>
      <c r="X145" s="1"/>
      <c r="Y145" s="1"/>
      <c r="Z145" s="1"/>
    </row>
    <row r="146" spans="1:26" customFormat="1" ht="24" customHeight="1">
      <c r="A146" s="11"/>
      <c r="B146" s="1"/>
      <c r="C146" s="11"/>
      <c r="D146" s="1"/>
      <c r="E146" s="11"/>
      <c r="F146" s="1"/>
      <c r="G146" s="1"/>
      <c r="H146" s="1"/>
      <c r="I146" s="1"/>
      <c r="J146" s="1"/>
      <c r="K146" s="1"/>
      <c r="L146" s="1"/>
      <c r="M146" s="1"/>
      <c r="N146" s="1"/>
      <c r="O146" s="1"/>
      <c r="P146" s="1"/>
      <c r="Q146" s="1"/>
      <c r="R146" s="1"/>
      <c r="S146" s="1"/>
      <c r="T146" s="1"/>
      <c r="U146" s="1"/>
      <c r="V146" s="1"/>
      <c r="W146" s="1"/>
      <c r="X146" s="1"/>
      <c r="Y146" s="1"/>
      <c r="Z146" s="1"/>
    </row>
    <row r="147" spans="1:26" customFormat="1" ht="24" customHeight="1">
      <c r="A147" s="11"/>
      <c r="B147" s="1"/>
      <c r="C147" s="11"/>
      <c r="D147" s="1"/>
      <c r="E147" s="11"/>
      <c r="F147" s="1"/>
      <c r="G147" s="1"/>
      <c r="H147" s="1"/>
      <c r="I147" s="1"/>
      <c r="J147" s="1"/>
      <c r="K147" s="1"/>
      <c r="L147" s="1"/>
      <c r="M147" s="1"/>
      <c r="N147" s="1"/>
      <c r="O147" s="1"/>
      <c r="P147" s="1"/>
      <c r="Q147" s="1"/>
      <c r="R147" s="1"/>
      <c r="S147" s="1"/>
      <c r="T147" s="1"/>
      <c r="U147" s="1"/>
      <c r="V147" s="1"/>
      <c r="W147" s="1"/>
      <c r="X147" s="1"/>
      <c r="Y147" s="1"/>
      <c r="Z147" s="1"/>
    </row>
    <row r="148" spans="1:26" customFormat="1" ht="24" customHeight="1">
      <c r="A148" s="11"/>
      <c r="B148" s="1"/>
      <c r="C148" s="11"/>
      <c r="D148" s="1"/>
      <c r="E148" s="11"/>
      <c r="F148" s="1"/>
      <c r="G148" s="1"/>
      <c r="H148" s="1"/>
      <c r="I148" s="1"/>
      <c r="J148" s="1"/>
      <c r="K148" s="1"/>
      <c r="L148" s="1"/>
      <c r="M148" s="1"/>
      <c r="N148" s="1"/>
      <c r="O148" s="1"/>
      <c r="P148" s="1"/>
      <c r="Q148" s="1"/>
      <c r="R148" s="1"/>
      <c r="S148" s="1"/>
      <c r="T148" s="1"/>
      <c r="U148" s="1"/>
      <c r="V148" s="1"/>
      <c r="W148" s="1"/>
      <c r="X148" s="1"/>
      <c r="Y148" s="1"/>
      <c r="Z148" s="1"/>
    </row>
    <row r="149" spans="1:26" customFormat="1" ht="24" customHeight="1">
      <c r="A149" s="11"/>
      <c r="B149" s="1"/>
      <c r="C149" s="11"/>
      <c r="D149" s="1"/>
      <c r="E149" s="11"/>
      <c r="F149" s="1"/>
      <c r="G149" s="1"/>
      <c r="H149" s="1"/>
      <c r="I149" s="1"/>
      <c r="J149" s="1"/>
      <c r="K149" s="1"/>
      <c r="L149" s="1"/>
      <c r="M149" s="1"/>
      <c r="N149" s="1"/>
      <c r="O149" s="1"/>
      <c r="P149" s="1"/>
      <c r="Q149" s="1"/>
      <c r="R149" s="1"/>
      <c r="S149" s="1"/>
      <c r="T149" s="1"/>
      <c r="U149" s="1"/>
      <c r="V149" s="1"/>
      <c r="W149" s="1"/>
      <c r="X149" s="1"/>
      <c r="Y149" s="1"/>
      <c r="Z149" s="1"/>
    </row>
    <row r="150" spans="1:26" customFormat="1" ht="24" customHeight="1">
      <c r="A150" s="11"/>
      <c r="B150" s="1"/>
      <c r="C150" s="11"/>
      <c r="D150" s="1"/>
      <c r="E150" s="11"/>
      <c r="F150" s="1"/>
      <c r="G150" s="1"/>
      <c r="H150" s="1"/>
      <c r="I150" s="1"/>
      <c r="J150" s="1"/>
      <c r="K150" s="1"/>
      <c r="L150" s="1"/>
      <c r="M150" s="1"/>
      <c r="N150" s="1"/>
      <c r="O150" s="1"/>
      <c r="P150" s="1"/>
      <c r="Q150" s="1"/>
      <c r="R150" s="1"/>
      <c r="S150" s="1"/>
      <c r="T150" s="1"/>
      <c r="U150" s="1"/>
      <c r="V150" s="1"/>
      <c r="W150" s="1"/>
      <c r="X150" s="1"/>
      <c r="Y150" s="1"/>
      <c r="Z150" s="1"/>
    </row>
    <row r="151" spans="1:26" customFormat="1" ht="24" customHeight="1">
      <c r="A151" s="11"/>
      <c r="B151" s="1"/>
      <c r="C151" s="11"/>
      <c r="D151" s="1"/>
      <c r="E151" s="11"/>
      <c r="F151" s="1"/>
      <c r="G151" s="1"/>
      <c r="H151" s="1"/>
      <c r="I151" s="1"/>
      <c r="J151" s="1"/>
      <c r="K151" s="1"/>
      <c r="L151" s="1"/>
      <c r="M151" s="1"/>
      <c r="N151" s="1"/>
      <c r="O151" s="1"/>
      <c r="P151" s="1"/>
      <c r="Q151" s="1"/>
      <c r="R151" s="1"/>
      <c r="S151" s="1"/>
      <c r="T151" s="1"/>
      <c r="U151" s="1"/>
      <c r="V151" s="1"/>
      <c r="W151" s="1"/>
      <c r="X151" s="1"/>
      <c r="Y151" s="1"/>
      <c r="Z151" s="1"/>
    </row>
    <row r="152" spans="1:26" customFormat="1" ht="24" customHeight="1">
      <c r="A152" s="11"/>
      <c r="B152" s="1"/>
      <c r="C152" s="11"/>
      <c r="D152" s="1"/>
      <c r="E152" s="11"/>
      <c r="F152" s="1"/>
      <c r="G152" s="1"/>
      <c r="H152" s="1"/>
      <c r="I152" s="1"/>
      <c r="J152" s="1"/>
      <c r="K152" s="1"/>
      <c r="L152" s="1"/>
      <c r="M152" s="1"/>
      <c r="N152" s="1"/>
      <c r="O152" s="1"/>
      <c r="P152" s="1"/>
      <c r="Q152" s="1"/>
      <c r="R152" s="1"/>
      <c r="S152" s="1"/>
      <c r="T152" s="1"/>
      <c r="U152" s="1"/>
      <c r="V152" s="1"/>
      <c r="W152" s="1"/>
      <c r="X152" s="1"/>
      <c r="Y152" s="1"/>
      <c r="Z152" s="1"/>
    </row>
    <row r="153" spans="1:26" customFormat="1" ht="24" customHeight="1">
      <c r="A153" s="11"/>
      <c r="B153" s="1"/>
      <c r="C153" s="11"/>
      <c r="D153" s="1"/>
      <c r="E153" s="11"/>
      <c r="F153" s="1"/>
      <c r="G153" s="1"/>
      <c r="H153" s="1"/>
      <c r="I153" s="1"/>
      <c r="J153" s="1"/>
      <c r="K153" s="1"/>
      <c r="L153" s="1"/>
      <c r="M153" s="1"/>
      <c r="N153" s="1"/>
      <c r="O153" s="1"/>
      <c r="P153" s="1"/>
      <c r="Q153" s="1"/>
      <c r="R153" s="1"/>
      <c r="S153" s="1"/>
      <c r="T153" s="1"/>
      <c r="U153" s="1"/>
      <c r="V153" s="1"/>
      <c r="W153" s="1"/>
      <c r="X153" s="1"/>
      <c r="Y153" s="1"/>
      <c r="Z153" s="1"/>
    </row>
    <row r="154" spans="1:26" customFormat="1" ht="24" customHeight="1">
      <c r="A154" s="11"/>
      <c r="B154" s="1"/>
      <c r="C154" s="11"/>
      <c r="D154" s="1"/>
      <c r="E154" s="11"/>
      <c r="F154" s="1"/>
      <c r="G154" s="1"/>
      <c r="H154" s="1"/>
      <c r="I154" s="1"/>
      <c r="J154" s="1"/>
      <c r="K154" s="1"/>
      <c r="L154" s="1"/>
      <c r="M154" s="1"/>
      <c r="N154" s="1"/>
      <c r="O154" s="1"/>
      <c r="P154" s="1"/>
      <c r="Q154" s="1"/>
      <c r="R154" s="1"/>
      <c r="S154" s="1"/>
      <c r="T154" s="1"/>
      <c r="U154" s="1"/>
      <c r="V154" s="1"/>
      <c r="W154" s="1"/>
      <c r="X154" s="1"/>
      <c r="Y154" s="1"/>
      <c r="Z154" s="1"/>
    </row>
    <row r="155" spans="1:26" customFormat="1" ht="24" customHeight="1">
      <c r="A155" s="11"/>
      <c r="B155" s="1"/>
      <c r="C155" s="11"/>
      <c r="D155" s="1"/>
      <c r="E155" s="11"/>
      <c r="F155" s="1"/>
      <c r="G155" s="1"/>
      <c r="H155" s="1"/>
      <c r="I155" s="1"/>
      <c r="J155" s="1"/>
      <c r="K155" s="1"/>
      <c r="L155" s="1"/>
      <c r="M155" s="1"/>
      <c r="N155" s="1"/>
      <c r="O155" s="1"/>
      <c r="P155" s="1"/>
      <c r="Q155" s="1"/>
      <c r="R155" s="1"/>
      <c r="S155" s="1"/>
      <c r="T155" s="1"/>
      <c r="U155" s="1"/>
      <c r="V155" s="1"/>
      <c r="W155" s="1"/>
      <c r="X155" s="1"/>
      <c r="Y155" s="1"/>
      <c r="Z155" s="1"/>
    </row>
    <row r="156" spans="1:26" customFormat="1" ht="24" customHeight="1">
      <c r="A156" s="11"/>
      <c r="B156" s="1"/>
      <c r="C156" s="11"/>
      <c r="D156" s="1"/>
      <c r="E156" s="11"/>
      <c r="F156" s="1"/>
      <c r="G156" s="1"/>
      <c r="H156" s="1"/>
      <c r="I156" s="1"/>
      <c r="J156" s="1"/>
      <c r="K156" s="1"/>
      <c r="L156" s="1"/>
      <c r="M156" s="1"/>
      <c r="N156" s="1"/>
      <c r="O156" s="1"/>
      <c r="P156" s="1"/>
      <c r="Q156" s="1"/>
      <c r="R156" s="1"/>
      <c r="S156" s="1"/>
      <c r="T156" s="1"/>
      <c r="U156" s="1"/>
      <c r="V156" s="1"/>
      <c r="W156" s="1"/>
      <c r="X156" s="1"/>
      <c r="Y156" s="1"/>
      <c r="Z156" s="1"/>
    </row>
    <row r="157" spans="1:26" customFormat="1" ht="24" customHeight="1">
      <c r="A157" s="11"/>
      <c r="B157" s="1"/>
      <c r="C157" s="11"/>
      <c r="D157" s="1"/>
      <c r="E157" s="11"/>
      <c r="F157" s="1"/>
      <c r="G157" s="1"/>
      <c r="H157" s="1"/>
      <c r="I157" s="1"/>
      <c r="J157" s="1"/>
      <c r="K157" s="1"/>
      <c r="L157" s="1"/>
      <c r="M157" s="1"/>
      <c r="N157" s="1"/>
      <c r="O157" s="1"/>
      <c r="P157" s="1"/>
      <c r="Q157" s="1"/>
      <c r="R157" s="1"/>
      <c r="S157" s="1"/>
      <c r="T157" s="1"/>
      <c r="U157" s="1"/>
      <c r="V157" s="1"/>
      <c r="W157" s="1"/>
      <c r="X157" s="1"/>
      <c r="Y157" s="1"/>
      <c r="Z157" s="1"/>
    </row>
    <row r="158" spans="1:26" customFormat="1" ht="24" customHeight="1">
      <c r="A158" s="11"/>
      <c r="B158" s="1"/>
      <c r="C158" s="11"/>
      <c r="D158" s="1"/>
      <c r="E158" s="11"/>
      <c r="F158" s="1"/>
      <c r="G158" s="1"/>
      <c r="H158" s="1"/>
      <c r="I158" s="1"/>
      <c r="J158" s="1"/>
      <c r="K158" s="1"/>
      <c r="L158" s="1"/>
      <c r="M158" s="1"/>
      <c r="N158" s="1"/>
      <c r="O158" s="1"/>
      <c r="P158" s="1"/>
      <c r="Q158" s="1"/>
      <c r="R158" s="1"/>
      <c r="S158" s="1"/>
      <c r="T158" s="1"/>
      <c r="U158" s="1"/>
      <c r="V158" s="1"/>
      <c r="W158" s="1"/>
      <c r="X158" s="1"/>
      <c r="Y158" s="1"/>
      <c r="Z158" s="1"/>
    </row>
    <row r="159" spans="1:26" customFormat="1" ht="24" customHeight="1">
      <c r="A159" s="11"/>
      <c r="B159" s="1"/>
      <c r="C159" s="11"/>
      <c r="D159" s="1"/>
      <c r="E159" s="11"/>
      <c r="F159" s="1"/>
      <c r="G159" s="1"/>
      <c r="H159" s="1"/>
      <c r="I159" s="1"/>
      <c r="J159" s="1"/>
      <c r="K159" s="1"/>
      <c r="L159" s="1"/>
      <c r="M159" s="1"/>
      <c r="N159" s="1"/>
      <c r="O159" s="1"/>
      <c r="P159" s="1"/>
      <c r="Q159" s="1"/>
      <c r="R159" s="1"/>
      <c r="S159" s="1"/>
      <c r="T159" s="1"/>
      <c r="U159" s="1"/>
      <c r="V159" s="1"/>
      <c r="W159" s="1"/>
      <c r="X159" s="1"/>
      <c r="Y159" s="1"/>
      <c r="Z159" s="1"/>
    </row>
    <row r="160" spans="1:26" customFormat="1" ht="24" customHeight="1">
      <c r="A160" s="11"/>
      <c r="B160" s="1"/>
      <c r="C160" s="11"/>
      <c r="D160" s="1"/>
      <c r="E160" s="11"/>
      <c r="F160" s="1"/>
      <c r="G160" s="1"/>
      <c r="H160" s="1"/>
      <c r="I160" s="1"/>
      <c r="J160" s="1"/>
      <c r="K160" s="1"/>
      <c r="L160" s="1"/>
      <c r="M160" s="1"/>
      <c r="N160" s="1"/>
      <c r="O160" s="1"/>
      <c r="P160" s="1"/>
      <c r="Q160" s="1"/>
      <c r="R160" s="1"/>
      <c r="S160" s="1"/>
      <c r="T160" s="1"/>
      <c r="U160" s="1"/>
      <c r="V160" s="1"/>
      <c r="W160" s="1"/>
      <c r="X160" s="1"/>
      <c r="Y160" s="1"/>
      <c r="Z160" s="1"/>
    </row>
    <row r="161" spans="1:26" customFormat="1" ht="24" customHeight="1">
      <c r="A161" s="11"/>
      <c r="B161" s="1"/>
      <c r="C161" s="11"/>
      <c r="D161" s="1"/>
      <c r="E161" s="11"/>
      <c r="F161" s="1"/>
      <c r="G161" s="1"/>
      <c r="H161" s="1"/>
      <c r="I161" s="1"/>
      <c r="J161" s="1"/>
      <c r="K161" s="1"/>
      <c r="L161" s="1"/>
      <c r="M161" s="1"/>
      <c r="N161" s="1"/>
      <c r="O161" s="1"/>
      <c r="P161" s="1"/>
      <c r="Q161" s="1"/>
      <c r="R161" s="1"/>
      <c r="S161" s="1"/>
      <c r="T161" s="1"/>
      <c r="U161" s="1"/>
      <c r="V161" s="1"/>
      <c r="W161" s="1"/>
      <c r="X161" s="1"/>
      <c r="Y161" s="1"/>
      <c r="Z161" s="1"/>
    </row>
    <row r="162" spans="1:26" customFormat="1" ht="24" customHeight="1">
      <c r="A162" s="11"/>
      <c r="B162" s="1"/>
      <c r="C162" s="11"/>
      <c r="D162" s="1"/>
      <c r="E162" s="11"/>
      <c r="F162" s="1"/>
      <c r="G162" s="1"/>
      <c r="H162" s="1"/>
      <c r="I162" s="1"/>
      <c r="J162" s="1"/>
      <c r="K162" s="1"/>
      <c r="L162" s="1"/>
      <c r="M162" s="1"/>
      <c r="N162" s="1"/>
      <c r="O162" s="1"/>
      <c r="P162" s="1"/>
      <c r="Q162" s="1"/>
      <c r="R162" s="1"/>
      <c r="S162" s="1"/>
      <c r="T162" s="1"/>
      <c r="U162" s="1"/>
      <c r="V162" s="1"/>
      <c r="W162" s="1"/>
      <c r="X162" s="1"/>
      <c r="Y162" s="1"/>
      <c r="Z162" s="1"/>
    </row>
    <row r="163" spans="1:26" customFormat="1" ht="24" customHeight="1">
      <c r="A163" s="11"/>
      <c r="B163" s="1"/>
      <c r="C163" s="11"/>
      <c r="D163" s="1"/>
      <c r="E163" s="11"/>
      <c r="F163" s="1"/>
      <c r="G163" s="1"/>
      <c r="H163" s="1"/>
      <c r="I163" s="1"/>
      <c r="J163" s="1"/>
      <c r="K163" s="1"/>
      <c r="L163" s="1"/>
      <c r="M163" s="1"/>
      <c r="N163" s="1"/>
      <c r="O163" s="1"/>
      <c r="P163" s="1"/>
      <c r="Q163" s="1"/>
      <c r="R163" s="1"/>
      <c r="S163" s="1"/>
      <c r="T163" s="1"/>
      <c r="U163" s="1"/>
      <c r="V163" s="1"/>
      <c r="W163" s="1"/>
      <c r="X163" s="1"/>
      <c r="Y163" s="1"/>
      <c r="Z163" s="1"/>
    </row>
    <row r="164" spans="1:26" customFormat="1" ht="24" customHeight="1">
      <c r="A164" s="11"/>
      <c r="B164" s="1"/>
      <c r="C164" s="11"/>
      <c r="D164" s="1"/>
      <c r="E164" s="11"/>
      <c r="F164" s="1"/>
      <c r="G164" s="1"/>
      <c r="H164" s="1"/>
      <c r="I164" s="1"/>
      <c r="J164" s="1"/>
      <c r="K164" s="1"/>
      <c r="L164" s="1"/>
      <c r="M164" s="1"/>
      <c r="N164" s="1"/>
      <c r="O164" s="1"/>
      <c r="P164" s="1"/>
      <c r="Q164" s="1"/>
      <c r="R164" s="1"/>
      <c r="S164" s="1"/>
      <c r="T164" s="1"/>
      <c r="U164" s="1"/>
      <c r="V164" s="1"/>
      <c r="W164" s="1"/>
      <c r="X164" s="1"/>
      <c r="Y164" s="1"/>
      <c r="Z164" s="1"/>
    </row>
    <row r="165" spans="1:26" customFormat="1" ht="24" customHeight="1">
      <c r="A165" s="11"/>
      <c r="B165" s="1"/>
      <c r="C165" s="11"/>
      <c r="D165" s="1"/>
      <c r="E165" s="11"/>
      <c r="F165" s="1"/>
      <c r="G165" s="1"/>
      <c r="H165" s="1"/>
      <c r="I165" s="1"/>
      <c r="J165" s="1"/>
      <c r="K165" s="1"/>
      <c r="L165" s="1"/>
      <c r="M165" s="1"/>
      <c r="N165" s="1"/>
      <c r="O165" s="1"/>
      <c r="P165" s="1"/>
      <c r="Q165" s="1"/>
      <c r="R165" s="1"/>
      <c r="S165" s="1"/>
      <c r="T165" s="1"/>
      <c r="U165" s="1"/>
      <c r="V165" s="1"/>
      <c r="W165" s="1"/>
      <c r="X165" s="1"/>
      <c r="Y165" s="1"/>
      <c r="Z165" s="1"/>
    </row>
    <row r="166" spans="1:26" customFormat="1" ht="24" customHeight="1">
      <c r="A166" s="11"/>
      <c r="B166" s="1"/>
      <c r="C166" s="11"/>
      <c r="D166" s="1"/>
      <c r="E166" s="11"/>
      <c r="F166" s="1"/>
      <c r="G166" s="1"/>
      <c r="H166" s="1"/>
      <c r="I166" s="1"/>
      <c r="J166" s="1"/>
      <c r="K166" s="1"/>
      <c r="L166" s="1"/>
      <c r="M166" s="1"/>
      <c r="N166" s="1"/>
      <c r="O166" s="1"/>
      <c r="P166" s="1"/>
      <c r="Q166" s="1"/>
      <c r="R166" s="1"/>
      <c r="S166" s="1"/>
      <c r="T166" s="1"/>
      <c r="U166" s="1"/>
      <c r="V166" s="1"/>
      <c r="W166" s="1"/>
      <c r="X166" s="1"/>
      <c r="Y166" s="1"/>
      <c r="Z166" s="1"/>
    </row>
    <row r="167" spans="1:26" customFormat="1" ht="24" customHeight="1">
      <c r="A167" s="11"/>
      <c r="B167" s="1"/>
      <c r="C167" s="11"/>
      <c r="D167" s="1"/>
      <c r="E167" s="11"/>
      <c r="F167" s="1"/>
      <c r="G167" s="1"/>
      <c r="H167" s="1"/>
      <c r="I167" s="1"/>
      <c r="J167" s="1"/>
      <c r="K167" s="1"/>
      <c r="L167" s="1"/>
      <c r="M167" s="1"/>
      <c r="N167" s="1"/>
      <c r="O167" s="1"/>
      <c r="P167" s="1"/>
      <c r="Q167" s="1"/>
      <c r="R167" s="1"/>
      <c r="S167" s="1"/>
      <c r="T167" s="1"/>
      <c r="U167" s="1"/>
      <c r="V167" s="1"/>
      <c r="W167" s="1"/>
      <c r="X167" s="1"/>
      <c r="Y167" s="1"/>
      <c r="Z167" s="1"/>
    </row>
    <row r="168" spans="1:26" customFormat="1" ht="24" customHeight="1">
      <c r="A168" s="11"/>
      <c r="B168" s="1"/>
      <c r="C168" s="11"/>
      <c r="D168" s="1"/>
      <c r="E168" s="11"/>
      <c r="F168" s="1"/>
      <c r="G168" s="1"/>
      <c r="H168" s="1"/>
      <c r="I168" s="1"/>
      <c r="J168" s="1"/>
      <c r="K168" s="1"/>
      <c r="L168" s="1"/>
      <c r="M168" s="1"/>
      <c r="N168" s="1"/>
      <c r="O168" s="1"/>
      <c r="P168" s="1"/>
      <c r="Q168" s="1"/>
      <c r="R168" s="1"/>
      <c r="S168" s="1"/>
      <c r="T168" s="1"/>
      <c r="U168" s="1"/>
      <c r="V168" s="1"/>
      <c r="W168" s="1"/>
      <c r="X168" s="1"/>
      <c r="Y168" s="1"/>
      <c r="Z168" s="1"/>
    </row>
    <row r="169" spans="1:26" customFormat="1" ht="24" customHeight="1">
      <c r="A169" s="11"/>
      <c r="B169" s="1"/>
      <c r="C169" s="11"/>
      <c r="D169" s="1"/>
      <c r="E169" s="11"/>
      <c r="F169" s="1"/>
      <c r="G169" s="1"/>
      <c r="H169" s="1"/>
      <c r="I169" s="1"/>
      <c r="J169" s="1"/>
      <c r="K169" s="1"/>
      <c r="L169" s="1"/>
      <c r="M169" s="1"/>
      <c r="N169" s="1"/>
      <c r="O169" s="1"/>
      <c r="P169" s="1"/>
      <c r="Q169" s="1"/>
      <c r="R169" s="1"/>
      <c r="S169" s="1"/>
      <c r="T169" s="1"/>
      <c r="U169" s="1"/>
      <c r="V169" s="1"/>
      <c r="W169" s="1"/>
      <c r="X169" s="1"/>
      <c r="Y169" s="1"/>
      <c r="Z169" s="1"/>
    </row>
    <row r="170" spans="1:26" customFormat="1" ht="24" customHeight="1">
      <c r="A170" s="11"/>
      <c r="B170" s="1"/>
      <c r="C170" s="11"/>
      <c r="D170" s="1"/>
      <c r="E170" s="11"/>
      <c r="F170" s="1"/>
      <c r="G170" s="1"/>
      <c r="H170" s="1"/>
      <c r="I170" s="1"/>
      <c r="J170" s="1"/>
      <c r="K170" s="1"/>
      <c r="L170" s="1"/>
      <c r="M170" s="1"/>
      <c r="N170" s="1"/>
      <c r="O170" s="1"/>
      <c r="P170" s="1"/>
      <c r="Q170" s="1"/>
      <c r="R170" s="1"/>
      <c r="S170" s="1"/>
      <c r="T170" s="1"/>
      <c r="U170" s="1"/>
      <c r="V170" s="1"/>
      <c r="W170" s="1"/>
      <c r="X170" s="1"/>
      <c r="Y170" s="1"/>
      <c r="Z170" s="1"/>
    </row>
    <row r="171" spans="1:26" customFormat="1" ht="24" customHeight="1">
      <c r="A171" s="11"/>
      <c r="B171" s="1"/>
      <c r="C171" s="11"/>
      <c r="D171" s="1"/>
      <c r="E171" s="11"/>
      <c r="F171" s="1"/>
      <c r="G171" s="1"/>
      <c r="H171" s="1"/>
      <c r="I171" s="1"/>
      <c r="J171" s="1"/>
      <c r="K171" s="1"/>
      <c r="L171" s="1"/>
      <c r="M171" s="1"/>
      <c r="N171" s="1"/>
      <c r="O171" s="1"/>
      <c r="P171" s="1"/>
      <c r="Q171" s="1"/>
      <c r="R171" s="1"/>
      <c r="S171" s="1"/>
      <c r="T171" s="1"/>
      <c r="U171" s="1"/>
      <c r="V171" s="1"/>
      <c r="W171" s="1"/>
      <c r="X171" s="1"/>
      <c r="Y171" s="1"/>
      <c r="Z171" s="1"/>
    </row>
    <row r="172" spans="1:26" customFormat="1" ht="24" customHeight="1">
      <c r="A172" s="11"/>
      <c r="B172" s="1"/>
      <c r="C172" s="11"/>
      <c r="D172" s="1"/>
      <c r="E172" s="11"/>
      <c r="F172" s="1"/>
      <c r="G172" s="1"/>
      <c r="H172" s="1"/>
      <c r="I172" s="1"/>
      <c r="J172" s="1"/>
      <c r="K172" s="1"/>
      <c r="L172" s="1"/>
      <c r="M172" s="1"/>
      <c r="N172" s="1"/>
      <c r="O172" s="1"/>
      <c r="P172" s="1"/>
      <c r="Q172" s="1"/>
      <c r="R172" s="1"/>
      <c r="S172" s="1"/>
      <c r="T172" s="1"/>
      <c r="U172" s="1"/>
      <c r="V172" s="1"/>
      <c r="W172" s="1"/>
      <c r="X172" s="1"/>
      <c r="Y172" s="1"/>
      <c r="Z172" s="1"/>
    </row>
    <row r="173" spans="1:26" customFormat="1" ht="24" customHeight="1">
      <c r="A173" s="11"/>
      <c r="B173" s="1"/>
      <c r="C173" s="11"/>
      <c r="D173" s="1"/>
      <c r="E173" s="11"/>
      <c r="F173" s="1"/>
      <c r="G173" s="1"/>
      <c r="H173" s="1"/>
      <c r="I173" s="1"/>
      <c r="J173" s="1"/>
      <c r="K173" s="1"/>
      <c r="L173" s="1"/>
      <c r="M173" s="1"/>
      <c r="N173" s="1"/>
      <c r="O173" s="1"/>
      <c r="P173" s="1"/>
      <c r="Q173" s="1"/>
      <c r="R173" s="1"/>
      <c r="S173" s="1"/>
      <c r="T173" s="1"/>
      <c r="U173" s="1"/>
      <c r="V173" s="1"/>
      <c r="W173" s="1"/>
      <c r="X173" s="1"/>
      <c r="Y173" s="1"/>
      <c r="Z173" s="1"/>
    </row>
    <row r="174" spans="1:26" customFormat="1" ht="24" customHeight="1">
      <c r="A174" s="11"/>
      <c r="B174" s="1"/>
      <c r="C174" s="11"/>
      <c r="D174" s="1"/>
      <c r="E174" s="11"/>
      <c r="F174" s="1"/>
      <c r="G174" s="1"/>
      <c r="H174" s="1"/>
      <c r="I174" s="1"/>
      <c r="J174" s="1"/>
      <c r="K174" s="1"/>
      <c r="L174" s="1"/>
      <c r="M174" s="1"/>
      <c r="N174" s="1"/>
      <c r="O174" s="1"/>
      <c r="P174" s="1"/>
      <c r="Q174" s="1"/>
      <c r="R174" s="1"/>
      <c r="S174" s="1"/>
      <c r="T174" s="1"/>
      <c r="U174" s="1"/>
      <c r="V174" s="1"/>
      <c r="W174" s="1"/>
      <c r="X174" s="1"/>
      <c r="Y174" s="1"/>
      <c r="Z174" s="1"/>
    </row>
    <row r="175" spans="1:26" customFormat="1" ht="24" customHeight="1">
      <c r="A175" s="11"/>
      <c r="B175" s="1"/>
      <c r="C175" s="11"/>
      <c r="D175" s="1"/>
      <c r="E175" s="11"/>
      <c r="F175" s="1"/>
      <c r="G175" s="1"/>
      <c r="H175" s="1"/>
      <c r="I175" s="1"/>
      <c r="J175" s="1"/>
      <c r="K175" s="1"/>
      <c r="L175" s="1"/>
      <c r="M175" s="1"/>
      <c r="N175" s="1"/>
      <c r="O175" s="1"/>
      <c r="P175" s="1"/>
      <c r="Q175" s="1"/>
      <c r="R175" s="1"/>
      <c r="S175" s="1"/>
      <c r="T175" s="1"/>
      <c r="U175" s="1"/>
      <c r="V175" s="1"/>
      <c r="W175" s="1"/>
      <c r="X175" s="1"/>
      <c r="Y175" s="1"/>
      <c r="Z175" s="1"/>
    </row>
    <row r="176" spans="1:26" customFormat="1" ht="24" customHeight="1">
      <c r="A176" s="11"/>
      <c r="B176" s="1"/>
      <c r="C176" s="11"/>
      <c r="D176" s="1"/>
      <c r="E176" s="11"/>
      <c r="F176" s="1"/>
      <c r="G176" s="1"/>
      <c r="H176" s="1"/>
      <c r="I176" s="1"/>
      <c r="J176" s="1"/>
      <c r="K176" s="1"/>
      <c r="L176" s="1"/>
      <c r="M176" s="1"/>
      <c r="N176" s="1"/>
      <c r="O176" s="1"/>
      <c r="P176" s="1"/>
      <c r="Q176" s="1"/>
      <c r="R176" s="1"/>
      <c r="S176" s="1"/>
      <c r="T176" s="1"/>
      <c r="U176" s="1"/>
      <c r="V176" s="1"/>
      <c r="W176" s="1"/>
      <c r="X176" s="1"/>
      <c r="Y176" s="1"/>
      <c r="Z176" s="1"/>
    </row>
    <row r="177" spans="1:26" customFormat="1" ht="24" customHeight="1">
      <c r="A177" s="11"/>
      <c r="B177" s="1"/>
      <c r="C177" s="11"/>
      <c r="D177" s="1"/>
      <c r="E177" s="11"/>
      <c r="F177" s="1"/>
      <c r="G177" s="1"/>
      <c r="H177" s="1"/>
      <c r="I177" s="1"/>
      <c r="J177" s="1"/>
      <c r="K177" s="1"/>
      <c r="L177" s="1"/>
      <c r="M177" s="1"/>
      <c r="N177" s="1"/>
      <c r="O177" s="1"/>
      <c r="P177" s="1"/>
      <c r="Q177" s="1"/>
      <c r="R177" s="1"/>
      <c r="S177" s="1"/>
      <c r="T177" s="1"/>
      <c r="U177" s="1"/>
      <c r="V177" s="1"/>
      <c r="W177" s="1"/>
      <c r="X177" s="1"/>
      <c r="Y177" s="1"/>
      <c r="Z177" s="1"/>
    </row>
    <row r="178" spans="1:26" customFormat="1" ht="24" customHeight="1">
      <c r="A178" s="11"/>
      <c r="B178" s="1"/>
      <c r="C178" s="11"/>
      <c r="D178" s="1"/>
      <c r="E178" s="11"/>
      <c r="F178" s="1"/>
      <c r="G178" s="1"/>
      <c r="H178" s="1"/>
      <c r="I178" s="1"/>
      <c r="J178" s="1"/>
      <c r="K178" s="1"/>
      <c r="L178" s="1"/>
      <c r="M178" s="1"/>
      <c r="N178" s="1"/>
      <c r="O178" s="1"/>
      <c r="P178" s="1"/>
      <c r="Q178" s="1"/>
      <c r="R178" s="1"/>
      <c r="S178" s="1"/>
      <c r="T178" s="1"/>
      <c r="U178" s="1"/>
      <c r="V178" s="1"/>
      <c r="W178" s="1"/>
      <c r="X178" s="1"/>
      <c r="Y178" s="1"/>
      <c r="Z178" s="1"/>
    </row>
  </sheetData>
  <mergeCells count="12">
    <mergeCell ref="A67:D67"/>
    <mergeCell ref="A69:D69"/>
    <mergeCell ref="E69:G69"/>
    <mergeCell ref="A74:D74"/>
    <mergeCell ref="A24:D24"/>
    <mergeCell ref="E24:G24"/>
    <mergeCell ref="A46:D46"/>
    <mergeCell ref="A48:D48"/>
    <mergeCell ref="E48:G48"/>
    <mergeCell ref="A62:D62"/>
    <mergeCell ref="A60:D60"/>
    <mergeCell ref="E62:G6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KPI 7.4.1</vt:lpstr>
      <vt:lpstr>KPI 7.4.2</vt:lpstr>
      <vt:lpstr>KPI 7.4.3</vt:lpstr>
      <vt:lpstr>KPI 7.4.4</vt:lpstr>
      <vt:lpstr>KPI 7.4.5</vt:lpstr>
      <vt:lpstr>KPI 7.4.6</vt:lpstr>
      <vt:lpstr>KPI 7.4-7</vt:lpstr>
      <vt:lpstr>KPI 7.4.8</vt:lpstr>
      <vt:lpstr>KPI 7.4-9</vt:lpstr>
      <vt:lpstr>KPI 7.4-10</vt:lpstr>
      <vt:lpstr>KPI 7.4.11</vt:lpstr>
      <vt:lpstr>KPI 7.4.12</vt:lpstr>
      <vt:lpstr>KPI 7.4.13</vt:lpstr>
      <vt:lpstr>KPI 7.4.14</vt:lpstr>
      <vt:lpstr>KPI 7.4.15</vt:lpstr>
      <vt:lpstr>'KPI 7.4.2'!_Hlk218021506</vt:lpstr>
      <vt:lpstr>'KPI 7.4.2'!_Hlk218021684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VET101268</dc:creator>
  <cp:lastModifiedBy>Printip</cp:lastModifiedBy>
  <dcterms:created xsi:type="dcterms:W3CDTF">2026-01-11T04:07:45Z</dcterms:created>
  <dcterms:modified xsi:type="dcterms:W3CDTF">2026-01-30T06:18:01Z</dcterms:modified>
</cp:coreProperties>
</file>