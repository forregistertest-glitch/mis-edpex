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PC-DIAG\Downloads\academic\"/>
    </mc:Choice>
  </mc:AlternateContent>
  <xr:revisionPtr revIDLastSave="0" documentId="8_{4C77A7C0-F6E2-4541-8692-B588F402FBC4}" xr6:coauthVersionLast="47" xr6:coauthVersionMax="47" xr10:uidLastSave="{00000000-0000-0000-0000-000000000000}"/>
  <bookViews>
    <workbookView xWindow="28680" yWindow="-1845" windowWidth="24240" windowHeight="17520" activeTab="13" xr2:uid="{00000000-000D-0000-FFFF-FFFF00000000}"/>
  </bookViews>
  <sheets>
    <sheet name="ALL" sheetId="1" r:id="rId1"/>
    <sheet name="ALL2" sheetId="2" r:id="rId2"/>
    <sheet name="PubTeam" sheetId="3" r:id="rId3"/>
    <sheet name="PubFromDB" sheetId="4" r:id="rId4"/>
    <sheet name="KUVET_Researcher" sheetId="5" r:id="rId5"/>
    <sheet name="Fac_Section" sheetId="6" r:id="rId6"/>
    <sheet name="Cluster" sheetId="7" r:id="rId7"/>
    <sheet name="SJR_VET_Q_2022" sheetId="8" r:id="rId8"/>
    <sheet name="SNAreseachV1" sheetId="9" r:id="rId9"/>
    <sheet name="SJR 2023" sheetId="10" r:id="rId10"/>
    <sheet name="Publication" sheetId="11" r:id="rId11"/>
    <sheet name="Sheet6" sheetId="12" r:id="rId12"/>
    <sheet name="Pivot Table 1" sheetId="13" r:id="rId13"/>
    <sheet name="ผลงานวิจัยอาจารผู้รับผิดชอบหลัก" sheetId="14" r:id="rId14"/>
    <sheet name="Pivot Table 2" sheetId="15" r:id="rId15"/>
  </sheets>
  <definedNames>
    <definedName name="_xlnm._FilterDatabase" localSheetId="0" hidden="1">ALL!$A$1:$AM$8</definedName>
    <definedName name="_xlnm._FilterDatabase" localSheetId="1" hidden="1">'ALL2'!$A$1:$AN$8</definedName>
    <definedName name="_xlnm._FilterDatabase" localSheetId="6" hidden="1">Cluster!$A$1:$Z$6</definedName>
    <definedName name="_xlnm._FilterDatabase" localSheetId="4" hidden="1">KUVET_Researcher!$A$1:$Z$702</definedName>
    <definedName name="_xlnm._FilterDatabase" localSheetId="3" hidden="1">PubFromDB!$A$1:$Z$6</definedName>
    <definedName name="_xlnm._FilterDatabase" localSheetId="10" hidden="1">Publication!$A$1:$P$11</definedName>
    <definedName name="_xlnm._FilterDatabase" localSheetId="2" hidden="1">PubTeam!$A$1:$K$7</definedName>
    <definedName name="_xlnm._FilterDatabase" localSheetId="11" hidden="1">Sheet6!$A$1:$E$5</definedName>
    <definedName name="_xlnm._FilterDatabase" localSheetId="7" hidden="1">SJR_VET_Q_2022!$A$1:$Z$5</definedName>
    <definedName name="_xlnm._FilterDatabase" localSheetId="8" hidden="1">SNAreseachV1!$A$1:$T$148</definedName>
    <definedName name="_xlnm._FilterDatabase" localSheetId="13" hidden="1">ผลงานวิจัยอาจารผู้รับผิดชอบหลัก!$A$1:$Z$5</definedName>
  </definedNames>
  <calcPr calcId="191029"/>
  <pivotCaches>
    <pivotCache cacheId="5" r:id="rId16"/>
    <pivotCache cacheId="9" r:id="rId17"/>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4" l="1"/>
  <c r="D4" i="14"/>
  <c r="D3" i="14"/>
  <c r="D2" i="14"/>
  <c r="E5" i="12" a="1"/>
  <c r="E5" i="12" s="1"/>
  <c r="E4" i="12" a="1"/>
  <c r="E4" i="12" s="1"/>
  <c r="E3" i="12" a="1"/>
  <c r="E3" i="12" s="1"/>
  <c r="E2" i="12" a="1"/>
  <c r="E2" i="12" s="1"/>
  <c r="T148" i="9"/>
  <c r="S148" i="9"/>
  <c r="R148" i="9"/>
  <c r="Q148" i="9"/>
  <c r="P148" i="9"/>
  <c r="O148" i="9"/>
  <c r="N148" i="9"/>
  <c r="M148" i="9"/>
  <c r="L148" i="9"/>
  <c r="K148" i="9"/>
  <c r="J148" i="9"/>
  <c r="I148" i="9"/>
  <c r="H148" i="9"/>
  <c r="G148" i="9"/>
  <c r="F148" i="9"/>
  <c r="E148" i="9"/>
  <c r="D148" i="9"/>
  <c r="C148" i="9"/>
  <c r="B148" i="9"/>
  <c r="A148" i="9"/>
  <c r="T147" i="9"/>
  <c r="S147" i="9"/>
  <c r="R147" i="9"/>
  <c r="Q147" i="9"/>
  <c r="P147" i="9"/>
  <c r="O147" i="9"/>
  <c r="N147" i="9"/>
  <c r="M147" i="9"/>
  <c r="L147" i="9"/>
  <c r="K147" i="9"/>
  <c r="J147" i="9"/>
  <c r="I147" i="9"/>
  <c r="H147" i="9"/>
  <c r="G147" i="9"/>
  <c r="F147" i="9"/>
  <c r="E147" i="9"/>
  <c r="D147" i="9"/>
  <c r="C147" i="9"/>
  <c r="B147" i="9"/>
  <c r="A147" i="9"/>
  <c r="T146" i="9"/>
  <c r="S146" i="9"/>
  <c r="R146" i="9"/>
  <c r="Q146" i="9"/>
  <c r="P146" i="9"/>
  <c r="O146" i="9"/>
  <c r="N146" i="9"/>
  <c r="M146" i="9"/>
  <c r="L146" i="9"/>
  <c r="K146" i="9"/>
  <c r="J146" i="9"/>
  <c r="I146" i="9"/>
  <c r="H146" i="9"/>
  <c r="G146" i="9"/>
  <c r="F146" i="9"/>
  <c r="E146" i="9"/>
  <c r="D146" i="9"/>
  <c r="C146" i="9"/>
  <c r="B146" i="9"/>
  <c r="A146" i="9"/>
  <c r="T145" i="9"/>
  <c r="S145" i="9"/>
  <c r="R145" i="9"/>
  <c r="Q145" i="9"/>
  <c r="P145" i="9"/>
  <c r="O145" i="9"/>
  <c r="N145" i="9"/>
  <c r="M145" i="9"/>
  <c r="L145" i="9"/>
  <c r="K145" i="9"/>
  <c r="J145" i="9"/>
  <c r="I145" i="9"/>
  <c r="H145" i="9"/>
  <c r="G145" i="9"/>
  <c r="F145" i="9"/>
  <c r="E145" i="9"/>
  <c r="D145" i="9"/>
  <c r="C145" i="9"/>
  <c r="B145" i="9"/>
  <c r="A145" i="9"/>
  <c r="T144" i="9"/>
  <c r="S144" i="9"/>
  <c r="R144" i="9"/>
  <c r="Q144" i="9"/>
  <c r="P144" i="9"/>
  <c r="O144" i="9"/>
  <c r="N144" i="9"/>
  <c r="M144" i="9"/>
  <c r="L144" i="9"/>
  <c r="K144" i="9"/>
  <c r="J144" i="9"/>
  <c r="I144" i="9"/>
  <c r="H144" i="9"/>
  <c r="G144" i="9"/>
  <c r="F144" i="9"/>
  <c r="E144" i="9"/>
  <c r="D144" i="9"/>
  <c r="C144" i="9"/>
  <c r="B144" i="9"/>
  <c r="A144" i="9"/>
  <c r="T143" i="9"/>
  <c r="S143" i="9"/>
  <c r="R143" i="9"/>
  <c r="Q143" i="9"/>
  <c r="P143" i="9"/>
  <c r="O143" i="9"/>
  <c r="N143" i="9"/>
  <c r="M143" i="9"/>
  <c r="L143" i="9"/>
  <c r="K143" i="9"/>
  <c r="J143" i="9"/>
  <c r="I143" i="9"/>
  <c r="H143" i="9"/>
  <c r="G143" i="9"/>
  <c r="F143" i="9"/>
  <c r="E143" i="9"/>
  <c r="D143" i="9"/>
  <c r="C143" i="9"/>
  <c r="B143" i="9"/>
  <c r="A143" i="9"/>
  <c r="T142" i="9"/>
  <c r="S142" i="9"/>
  <c r="R142" i="9"/>
  <c r="Q142" i="9"/>
  <c r="P142" i="9"/>
  <c r="O142" i="9"/>
  <c r="N142" i="9"/>
  <c r="M142" i="9"/>
  <c r="L142" i="9"/>
  <c r="K142" i="9"/>
  <c r="J142" i="9"/>
  <c r="I142" i="9"/>
  <c r="H142" i="9"/>
  <c r="G142" i="9"/>
  <c r="F142" i="9"/>
  <c r="E142" i="9"/>
  <c r="D142" i="9"/>
  <c r="C142" i="9"/>
  <c r="B142" i="9"/>
  <c r="A142" i="9"/>
  <c r="T141" i="9"/>
  <c r="S141" i="9"/>
  <c r="R141" i="9"/>
  <c r="Q141" i="9"/>
  <c r="P141" i="9"/>
  <c r="O141" i="9"/>
  <c r="N141" i="9"/>
  <c r="M141" i="9"/>
  <c r="L141" i="9"/>
  <c r="K141" i="9"/>
  <c r="J141" i="9"/>
  <c r="I141" i="9"/>
  <c r="H141" i="9"/>
  <c r="G141" i="9"/>
  <c r="F141" i="9"/>
  <c r="E141" i="9"/>
  <c r="D141" i="9"/>
  <c r="C141" i="9"/>
  <c r="B141" i="9"/>
  <c r="A141" i="9"/>
  <c r="T140" i="9"/>
  <c r="S140" i="9"/>
  <c r="R140" i="9"/>
  <c r="Q140" i="9"/>
  <c r="P140" i="9"/>
  <c r="O140" i="9"/>
  <c r="N140" i="9"/>
  <c r="M140" i="9"/>
  <c r="L140" i="9"/>
  <c r="K140" i="9"/>
  <c r="J140" i="9"/>
  <c r="I140" i="9"/>
  <c r="H140" i="9"/>
  <c r="G140" i="9"/>
  <c r="F140" i="9"/>
  <c r="E140" i="9"/>
  <c r="D140" i="9"/>
  <c r="C140" i="9"/>
  <c r="B140" i="9"/>
  <c r="A140" i="9"/>
  <c r="T139" i="9"/>
  <c r="S139" i="9"/>
  <c r="R139" i="9"/>
  <c r="Q139" i="9"/>
  <c r="P139" i="9"/>
  <c r="O139" i="9"/>
  <c r="N139" i="9"/>
  <c r="M139" i="9"/>
  <c r="L139" i="9"/>
  <c r="K139" i="9"/>
  <c r="J139" i="9"/>
  <c r="I139" i="9"/>
  <c r="H139" i="9"/>
  <c r="G139" i="9"/>
  <c r="F139" i="9"/>
  <c r="E139" i="9"/>
  <c r="D139" i="9"/>
  <c r="C139" i="9"/>
  <c r="B139" i="9"/>
  <c r="A139" i="9"/>
  <c r="T138" i="9"/>
  <c r="S138" i="9"/>
  <c r="R138" i="9"/>
  <c r="Q138" i="9"/>
  <c r="P138" i="9"/>
  <c r="O138" i="9"/>
  <c r="N138" i="9"/>
  <c r="M138" i="9"/>
  <c r="L138" i="9"/>
  <c r="K138" i="9"/>
  <c r="J138" i="9"/>
  <c r="I138" i="9"/>
  <c r="H138" i="9"/>
  <c r="G138" i="9"/>
  <c r="F138" i="9"/>
  <c r="E138" i="9"/>
  <c r="D138" i="9"/>
  <c r="C138" i="9"/>
  <c r="B138" i="9"/>
  <c r="A138" i="9"/>
  <c r="T137" i="9"/>
  <c r="S137" i="9"/>
  <c r="R137" i="9"/>
  <c r="Q137" i="9"/>
  <c r="P137" i="9"/>
  <c r="O137" i="9"/>
  <c r="N137" i="9"/>
  <c r="M137" i="9"/>
  <c r="L137" i="9"/>
  <c r="K137" i="9"/>
  <c r="J137" i="9"/>
  <c r="I137" i="9"/>
  <c r="H137" i="9"/>
  <c r="G137" i="9"/>
  <c r="F137" i="9"/>
  <c r="E137" i="9"/>
  <c r="D137" i="9"/>
  <c r="C137" i="9"/>
  <c r="B137" i="9"/>
  <c r="A137" i="9"/>
  <c r="T136" i="9"/>
  <c r="S136" i="9"/>
  <c r="R136" i="9"/>
  <c r="Q136" i="9"/>
  <c r="P136" i="9"/>
  <c r="O136" i="9"/>
  <c r="N136" i="9"/>
  <c r="M136" i="9"/>
  <c r="L136" i="9"/>
  <c r="K136" i="9"/>
  <c r="J136" i="9"/>
  <c r="I136" i="9"/>
  <c r="H136" i="9"/>
  <c r="G136" i="9"/>
  <c r="F136" i="9"/>
  <c r="E136" i="9"/>
  <c r="D136" i="9"/>
  <c r="C136" i="9"/>
  <c r="B136" i="9"/>
  <c r="A136" i="9"/>
  <c r="T135" i="9"/>
  <c r="S135" i="9"/>
  <c r="R135" i="9"/>
  <c r="Q135" i="9"/>
  <c r="P135" i="9"/>
  <c r="O135" i="9"/>
  <c r="N135" i="9"/>
  <c r="M135" i="9"/>
  <c r="L135" i="9"/>
  <c r="K135" i="9"/>
  <c r="J135" i="9"/>
  <c r="I135" i="9"/>
  <c r="H135" i="9"/>
  <c r="G135" i="9"/>
  <c r="F135" i="9"/>
  <c r="E135" i="9"/>
  <c r="D135" i="9"/>
  <c r="C135" i="9"/>
  <c r="B135" i="9"/>
  <c r="A135" i="9"/>
  <c r="T134" i="9"/>
  <c r="R134" i="9"/>
  <c r="Q134" i="9"/>
  <c r="P134" i="9"/>
  <c r="O134" i="9"/>
  <c r="N134" i="9"/>
  <c r="M134" i="9"/>
  <c r="L134" i="9"/>
  <c r="K134" i="9"/>
  <c r="J134" i="9"/>
  <c r="I134" i="9"/>
  <c r="H134" i="9"/>
  <c r="G134" i="9"/>
  <c r="F134" i="9"/>
  <c r="E134" i="9"/>
  <c r="D134" i="9"/>
  <c r="C134" i="9"/>
  <c r="B134" i="9"/>
  <c r="A134" i="9"/>
  <c r="T133" i="9"/>
  <c r="R133" i="9"/>
  <c r="Q133" i="9"/>
  <c r="P133" i="9"/>
  <c r="O133" i="9"/>
  <c r="N133" i="9"/>
  <c r="M133" i="9"/>
  <c r="L133" i="9"/>
  <c r="K133" i="9"/>
  <c r="J133" i="9"/>
  <c r="I133" i="9"/>
  <c r="H133" i="9"/>
  <c r="G133" i="9"/>
  <c r="F133" i="9"/>
  <c r="E133" i="9"/>
  <c r="D133" i="9"/>
  <c r="C133" i="9"/>
  <c r="B133" i="9"/>
  <c r="A133" i="9"/>
  <c r="T132" i="9"/>
  <c r="S132" i="9"/>
  <c r="R132" i="9"/>
  <c r="Q132" i="9"/>
  <c r="P132" i="9"/>
  <c r="O132" i="9"/>
  <c r="N132" i="9"/>
  <c r="M132" i="9"/>
  <c r="L132" i="9"/>
  <c r="K132" i="9"/>
  <c r="J132" i="9"/>
  <c r="I132" i="9"/>
  <c r="H132" i="9"/>
  <c r="G132" i="9"/>
  <c r="F132" i="9"/>
  <c r="E132" i="9"/>
  <c r="D132" i="9"/>
  <c r="C132" i="9"/>
  <c r="B132" i="9"/>
  <c r="A132" i="9"/>
  <c r="T131" i="9"/>
  <c r="S131" i="9"/>
  <c r="R131" i="9"/>
  <c r="Q131" i="9"/>
  <c r="P131" i="9"/>
  <c r="O131" i="9"/>
  <c r="N131" i="9"/>
  <c r="M131" i="9"/>
  <c r="L131" i="9"/>
  <c r="K131" i="9"/>
  <c r="J131" i="9"/>
  <c r="I131" i="9"/>
  <c r="H131" i="9"/>
  <c r="G131" i="9"/>
  <c r="F131" i="9"/>
  <c r="E131" i="9"/>
  <c r="D131" i="9"/>
  <c r="C131" i="9"/>
  <c r="B131" i="9"/>
  <c r="A131" i="9"/>
  <c r="T130" i="9"/>
  <c r="S130" i="9"/>
  <c r="R130" i="9"/>
  <c r="Q130" i="9"/>
  <c r="P130" i="9"/>
  <c r="O130" i="9"/>
  <c r="N130" i="9"/>
  <c r="M130" i="9"/>
  <c r="L130" i="9"/>
  <c r="K130" i="9"/>
  <c r="J130" i="9"/>
  <c r="I130" i="9"/>
  <c r="H130" i="9"/>
  <c r="G130" i="9"/>
  <c r="F130" i="9"/>
  <c r="E130" i="9"/>
  <c r="D130" i="9"/>
  <c r="C130" i="9"/>
  <c r="B130" i="9"/>
  <c r="A130" i="9"/>
  <c r="T129" i="9"/>
  <c r="S129" i="9"/>
  <c r="R129" i="9"/>
  <c r="Q129" i="9"/>
  <c r="P129" i="9"/>
  <c r="O129" i="9"/>
  <c r="N129" i="9"/>
  <c r="M129" i="9"/>
  <c r="L129" i="9"/>
  <c r="K129" i="9"/>
  <c r="J129" i="9"/>
  <c r="I129" i="9"/>
  <c r="H129" i="9"/>
  <c r="G129" i="9"/>
  <c r="F129" i="9"/>
  <c r="E129" i="9"/>
  <c r="D129" i="9"/>
  <c r="C129" i="9"/>
  <c r="B129" i="9"/>
  <c r="A129" i="9"/>
  <c r="T128" i="9"/>
  <c r="S128" i="9"/>
  <c r="R128" i="9"/>
  <c r="Q128" i="9"/>
  <c r="P128" i="9"/>
  <c r="O128" i="9"/>
  <c r="N128" i="9"/>
  <c r="M128" i="9"/>
  <c r="L128" i="9"/>
  <c r="K128" i="9"/>
  <c r="J128" i="9"/>
  <c r="I128" i="9"/>
  <c r="H128" i="9"/>
  <c r="G128" i="9"/>
  <c r="F128" i="9"/>
  <c r="E128" i="9"/>
  <c r="D128" i="9"/>
  <c r="C128" i="9"/>
  <c r="B128" i="9"/>
  <c r="A128" i="9"/>
  <c r="T127" i="9"/>
  <c r="S127" i="9"/>
  <c r="R127" i="9"/>
  <c r="Q127" i="9"/>
  <c r="P127" i="9"/>
  <c r="O127" i="9"/>
  <c r="N127" i="9"/>
  <c r="M127" i="9"/>
  <c r="L127" i="9"/>
  <c r="K127" i="9"/>
  <c r="J127" i="9"/>
  <c r="I127" i="9"/>
  <c r="H127" i="9"/>
  <c r="G127" i="9"/>
  <c r="F127" i="9"/>
  <c r="E127" i="9"/>
  <c r="D127" i="9"/>
  <c r="C127" i="9"/>
  <c r="B127" i="9"/>
  <c r="A127" i="9"/>
  <c r="T126" i="9"/>
  <c r="S126" i="9"/>
  <c r="R126" i="9"/>
  <c r="Q126" i="9"/>
  <c r="P126" i="9"/>
  <c r="O126" i="9"/>
  <c r="N126" i="9"/>
  <c r="M126" i="9"/>
  <c r="L126" i="9"/>
  <c r="K126" i="9"/>
  <c r="J126" i="9"/>
  <c r="I126" i="9"/>
  <c r="H126" i="9"/>
  <c r="G126" i="9"/>
  <c r="F126" i="9"/>
  <c r="E126" i="9"/>
  <c r="D126" i="9"/>
  <c r="C126" i="9"/>
  <c r="B126" i="9"/>
  <c r="A126" i="9"/>
  <c r="T125" i="9"/>
  <c r="S125" i="9"/>
  <c r="R125" i="9"/>
  <c r="Q125" i="9"/>
  <c r="P125" i="9"/>
  <c r="O125" i="9"/>
  <c r="N125" i="9"/>
  <c r="M125" i="9"/>
  <c r="L125" i="9"/>
  <c r="K125" i="9"/>
  <c r="J125" i="9"/>
  <c r="I125" i="9"/>
  <c r="H125" i="9"/>
  <c r="G125" i="9"/>
  <c r="F125" i="9"/>
  <c r="E125" i="9"/>
  <c r="D125" i="9"/>
  <c r="C125" i="9"/>
  <c r="B125" i="9"/>
  <c r="A125" i="9"/>
  <c r="T124" i="9"/>
  <c r="S124" i="9"/>
  <c r="R124" i="9"/>
  <c r="Q124" i="9"/>
  <c r="P124" i="9"/>
  <c r="O124" i="9"/>
  <c r="N124" i="9"/>
  <c r="M124" i="9"/>
  <c r="L124" i="9"/>
  <c r="K124" i="9"/>
  <c r="J124" i="9"/>
  <c r="I124" i="9"/>
  <c r="H124" i="9"/>
  <c r="G124" i="9"/>
  <c r="F124" i="9"/>
  <c r="E124" i="9"/>
  <c r="D124" i="9"/>
  <c r="C124" i="9"/>
  <c r="B124" i="9"/>
  <c r="A124" i="9"/>
  <c r="T123" i="9"/>
  <c r="S123" i="9"/>
  <c r="R123" i="9"/>
  <c r="Q123" i="9"/>
  <c r="P123" i="9"/>
  <c r="O123" i="9"/>
  <c r="N123" i="9"/>
  <c r="M123" i="9"/>
  <c r="L123" i="9"/>
  <c r="K123" i="9"/>
  <c r="J123" i="9"/>
  <c r="I123" i="9"/>
  <c r="H123" i="9"/>
  <c r="G123" i="9"/>
  <c r="F123" i="9"/>
  <c r="E123" i="9"/>
  <c r="D123" i="9"/>
  <c r="C123" i="9"/>
  <c r="B123" i="9"/>
  <c r="A123" i="9"/>
  <c r="T122" i="9"/>
  <c r="S122" i="9"/>
  <c r="R122" i="9"/>
  <c r="Q122" i="9"/>
  <c r="P122" i="9"/>
  <c r="O122" i="9"/>
  <c r="N122" i="9"/>
  <c r="M122" i="9"/>
  <c r="L122" i="9"/>
  <c r="K122" i="9"/>
  <c r="J122" i="9"/>
  <c r="I122" i="9"/>
  <c r="H122" i="9"/>
  <c r="G122" i="9"/>
  <c r="F122" i="9"/>
  <c r="E122" i="9"/>
  <c r="D122" i="9"/>
  <c r="C122" i="9"/>
  <c r="B122" i="9"/>
  <c r="A122" i="9"/>
  <c r="T121" i="9"/>
  <c r="S121" i="9"/>
  <c r="R121" i="9"/>
  <c r="Q121" i="9"/>
  <c r="P121" i="9"/>
  <c r="O121" i="9"/>
  <c r="N121" i="9"/>
  <c r="M121" i="9"/>
  <c r="L121" i="9"/>
  <c r="K121" i="9"/>
  <c r="J121" i="9"/>
  <c r="I121" i="9"/>
  <c r="H121" i="9"/>
  <c r="G121" i="9"/>
  <c r="F121" i="9"/>
  <c r="E121" i="9"/>
  <c r="D121" i="9"/>
  <c r="C121" i="9"/>
  <c r="B121" i="9"/>
  <c r="A121" i="9"/>
  <c r="T120" i="9"/>
  <c r="S120" i="9"/>
  <c r="R120" i="9"/>
  <c r="Q120" i="9"/>
  <c r="P120" i="9"/>
  <c r="O120" i="9"/>
  <c r="N120" i="9"/>
  <c r="M120" i="9"/>
  <c r="L120" i="9"/>
  <c r="K120" i="9"/>
  <c r="J120" i="9"/>
  <c r="I120" i="9"/>
  <c r="H120" i="9"/>
  <c r="G120" i="9"/>
  <c r="F120" i="9"/>
  <c r="E120" i="9"/>
  <c r="D120" i="9"/>
  <c r="C120" i="9"/>
  <c r="B120" i="9"/>
  <c r="A120" i="9"/>
  <c r="T119" i="9"/>
  <c r="S119" i="9"/>
  <c r="R119" i="9"/>
  <c r="Q119" i="9"/>
  <c r="P119" i="9"/>
  <c r="O119" i="9"/>
  <c r="N119" i="9"/>
  <c r="M119" i="9"/>
  <c r="L119" i="9"/>
  <c r="K119" i="9"/>
  <c r="J119" i="9"/>
  <c r="I119" i="9"/>
  <c r="H119" i="9"/>
  <c r="G119" i="9"/>
  <c r="F119" i="9"/>
  <c r="E119" i="9"/>
  <c r="D119" i="9"/>
  <c r="C119" i="9"/>
  <c r="B119" i="9"/>
  <c r="A119" i="9"/>
  <c r="T118" i="9"/>
  <c r="S118" i="9"/>
  <c r="R118" i="9"/>
  <c r="Q118" i="9"/>
  <c r="P118" i="9"/>
  <c r="O118" i="9"/>
  <c r="N118" i="9"/>
  <c r="M118" i="9"/>
  <c r="L118" i="9"/>
  <c r="K118" i="9"/>
  <c r="J118" i="9"/>
  <c r="I118" i="9"/>
  <c r="H118" i="9"/>
  <c r="G118" i="9"/>
  <c r="F118" i="9"/>
  <c r="E118" i="9"/>
  <c r="D118" i="9"/>
  <c r="C118" i="9"/>
  <c r="B118" i="9"/>
  <c r="A118" i="9"/>
  <c r="T117" i="9"/>
  <c r="S117" i="9"/>
  <c r="R117" i="9"/>
  <c r="Q117" i="9"/>
  <c r="P117" i="9"/>
  <c r="O117" i="9"/>
  <c r="N117" i="9"/>
  <c r="M117" i="9"/>
  <c r="L117" i="9"/>
  <c r="K117" i="9"/>
  <c r="J117" i="9"/>
  <c r="I117" i="9"/>
  <c r="H117" i="9"/>
  <c r="G117" i="9"/>
  <c r="F117" i="9"/>
  <c r="E117" i="9"/>
  <c r="D117" i="9"/>
  <c r="C117" i="9"/>
  <c r="B117" i="9"/>
  <c r="A117" i="9"/>
  <c r="T116" i="9"/>
  <c r="S116" i="9"/>
  <c r="R116" i="9"/>
  <c r="Q116" i="9"/>
  <c r="P116" i="9"/>
  <c r="O116" i="9"/>
  <c r="N116" i="9"/>
  <c r="M116" i="9"/>
  <c r="L116" i="9"/>
  <c r="K116" i="9"/>
  <c r="J116" i="9"/>
  <c r="I116" i="9"/>
  <c r="H116" i="9"/>
  <c r="G116" i="9"/>
  <c r="F116" i="9"/>
  <c r="E116" i="9"/>
  <c r="D116" i="9"/>
  <c r="C116" i="9"/>
  <c r="B116" i="9"/>
  <c r="A116" i="9"/>
  <c r="T115" i="9"/>
  <c r="S115" i="9"/>
  <c r="R115" i="9"/>
  <c r="Q115" i="9"/>
  <c r="P115" i="9"/>
  <c r="O115" i="9"/>
  <c r="N115" i="9"/>
  <c r="M115" i="9"/>
  <c r="L115" i="9"/>
  <c r="K115" i="9"/>
  <c r="J115" i="9"/>
  <c r="I115" i="9"/>
  <c r="H115" i="9"/>
  <c r="G115" i="9"/>
  <c r="F115" i="9"/>
  <c r="E115" i="9"/>
  <c r="D115" i="9"/>
  <c r="C115" i="9"/>
  <c r="B115" i="9"/>
  <c r="A115" i="9"/>
  <c r="T114" i="9"/>
  <c r="S114" i="9"/>
  <c r="R114" i="9"/>
  <c r="Q114" i="9"/>
  <c r="P114" i="9"/>
  <c r="O114" i="9"/>
  <c r="N114" i="9"/>
  <c r="M114" i="9"/>
  <c r="L114" i="9"/>
  <c r="K114" i="9"/>
  <c r="J114" i="9"/>
  <c r="I114" i="9"/>
  <c r="H114" i="9"/>
  <c r="G114" i="9"/>
  <c r="F114" i="9"/>
  <c r="E114" i="9"/>
  <c r="D114" i="9"/>
  <c r="C114" i="9"/>
  <c r="B114" i="9"/>
  <c r="A114" i="9"/>
  <c r="T113" i="9"/>
  <c r="S113" i="9"/>
  <c r="R113" i="9"/>
  <c r="Q113" i="9"/>
  <c r="P113" i="9"/>
  <c r="O113" i="9"/>
  <c r="N113" i="9"/>
  <c r="M113" i="9"/>
  <c r="L113" i="9"/>
  <c r="K113" i="9"/>
  <c r="J113" i="9"/>
  <c r="I113" i="9"/>
  <c r="H113" i="9"/>
  <c r="G113" i="9"/>
  <c r="F113" i="9"/>
  <c r="E113" i="9"/>
  <c r="D113" i="9"/>
  <c r="C113" i="9"/>
  <c r="B113" i="9"/>
  <c r="A113" i="9"/>
  <c r="T112" i="9"/>
  <c r="S112" i="9"/>
  <c r="R112" i="9"/>
  <c r="Q112" i="9"/>
  <c r="P112" i="9"/>
  <c r="O112" i="9"/>
  <c r="N112" i="9"/>
  <c r="M112" i="9"/>
  <c r="L112" i="9"/>
  <c r="K112" i="9"/>
  <c r="J112" i="9"/>
  <c r="I112" i="9"/>
  <c r="H112" i="9"/>
  <c r="G112" i="9"/>
  <c r="F112" i="9"/>
  <c r="E112" i="9"/>
  <c r="D112" i="9"/>
  <c r="C112" i="9"/>
  <c r="B112" i="9"/>
  <c r="A112" i="9"/>
  <c r="T111" i="9"/>
  <c r="S111" i="9"/>
  <c r="R111" i="9"/>
  <c r="Q111" i="9"/>
  <c r="P111" i="9"/>
  <c r="O111" i="9"/>
  <c r="N111" i="9"/>
  <c r="M111" i="9"/>
  <c r="L111" i="9"/>
  <c r="K111" i="9"/>
  <c r="J111" i="9"/>
  <c r="I111" i="9"/>
  <c r="H111" i="9"/>
  <c r="G111" i="9"/>
  <c r="F111" i="9"/>
  <c r="E111" i="9"/>
  <c r="D111" i="9"/>
  <c r="C111" i="9"/>
  <c r="B111" i="9"/>
  <c r="A111" i="9"/>
  <c r="T110" i="9"/>
  <c r="S110" i="9"/>
  <c r="R110" i="9"/>
  <c r="Q110" i="9"/>
  <c r="P110" i="9"/>
  <c r="O110" i="9"/>
  <c r="N110" i="9"/>
  <c r="M110" i="9"/>
  <c r="L110" i="9"/>
  <c r="K110" i="9"/>
  <c r="J110" i="9"/>
  <c r="I110" i="9"/>
  <c r="H110" i="9"/>
  <c r="G110" i="9"/>
  <c r="F110" i="9"/>
  <c r="E110" i="9"/>
  <c r="D110" i="9"/>
  <c r="C110" i="9"/>
  <c r="B110" i="9"/>
  <c r="A110" i="9"/>
  <c r="T109" i="9"/>
  <c r="S109" i="9"/>
  <c r="R109" i="9"/>
  <c r="Q109" i="9"/>
  <c r="P109" i="9"/>
  <c r="O109" i="9"/>
  <c r="N109" i="9"/>
  <c r="M109" i="9"/>
  <c r="L109" i="9"/>
  <c r="K109" i="9"/>
  <c r="J109" i="9"/>
  <c r="I109" i="9"/>
  <c r="H109" i="9"/>
  <c r="G109" i="9"/>
  <c r="F109" i="9"/>
  <c r="E109" i="9"/>
  <c r="D109" i="9"/>
  <c r="C109" i="9"/>
  <c r="B109" i="9"/>
  <c r="A109" i="9"/>
  <c r="T108" i="9"/>
  <c r="S108" i="9"/>
  <c r="R108" i="9"/>
  <c r="Q108" i="9"/>
  <c r="P108" i="9"/>
  <c r="O108" i="9"/>
  <c r="N108" i="9"/>
  <c r="M108" i="9"/>
  <c r="L108" i="9"/>
  <c r="K108" i="9"/>
  <c r="J108" i="9"/>
  <c r="I108" i="9"/>
  <c r="H108" i="9"/>
  <c r="G108" i="9"/>
  <c r="F108" i="9"/>
  <c r="E108" i="9"/>
  <c r="D108" i="9"/>
  <c r="C108" i="9"/>
  <c r="B108" i="9"/>
  <c r="A108" i="9"/>
  <c r="T107" i="9"/>
  <c r="S107" i="9"/>
  <c r="R107" i="9"/>
  <c r="Q107" i="9"/>
  <c r="P107" i="9"/>
  <c r="O107" i="9"/>
  <c r="N107" i="9"/>
  <c r="M107" i="9"/>
  <c r="L107" i="9"/>
  <c r="K107" i="9"/>
  <c r="J107" i="9"/>
  <c r="I107" i="9"/>
  <c r="H107" i="9"/>
  <c r="G107" i="9"/>
  <c r="F107" i="9"/>
  <c r="E107" i="9"/>
  <c r="D107" i="9"/>
  <c r="C107" i="9"/>
  <c r="B107" i="9"/>
  <c r="A107" i="9"/>
  <c r="T106" i="9"/>
  <c r="S106" i="9"/>
  <c r="R106" i="9"/>
  <c r="Q106" i="9"/>
  <c r="P106" i="9"/>
  <c r="O106" i="9"/>
  <c r="N106" i="9"/>
  <c r="M106" i="9"/>
  <c r="L106" i="9"/>
  <c r="K106" i="9"/>
  <c r="J106" i="9"/>
  <c r="I106" i="9"/>
  <c r="H106" i="9"/>
  <c r="G106" i="9"/>
  <c r="F106" i="9"/>
  <c r="E106" i="9"/>
  <c r="D106" i="9"/>
  <c r="C106" i="9"/>
  <c r="B106" i="9"/>
  <c r="A106" i="9"/>
  <c r="T105" i="9"/>
  <c r="S105" i="9"/>
  <c r="R105" i="9"/>
  <c r="Q105" i="9"/>
  <c r="P105" i="9"/>
  <c r="O105" i="9"/>
  <c r="N105" i="9"/>
  <c r="M105" i="9"/>
  <c r="L105" i="9"/>
  <c r="K105" i="9"/>
  <c r="J105" i="9"/>
  <c r="I105" i="9"/>
  <c r="H105" i="9"/>
  <c r="G105" i="9"/>
  <c r="F105" i="9"/>
  <c r="E105" i="9"/>
  <c r="D105" i="9"/>
  <c r="C105" i="9"/>
  <c r="B105" i="9"/>
  <c r="A105" i="9"/>
  <c r="T104" i="9"/>
  <c r="S104" i="9"/>
  <c r="R104" i="9"/>
  <c r="Q104" i="9"/>
  <c r="P104" i="9"/>
  <c r="O104" i="9"/>
  <c r="N104" i="9"/>
  <c r="M104" i="9"/>
  <c r="L104" i="9"/>
  <c r="K104" i="9"/>
  <c r="J104" i="9"/>
  <c r="I104" i="9"/>
  <c r="H104" i="9"/>
  <c r="G104" i="9"/>
  <c r="F104" i="9"/>
  <c r="E104" i="9"/>
  <c r="D104" i="9"/>
  <c r="C104" i="9"/>
  <c r="B104" i="9"/>
  <c r="A104" i="9"/>
  <c r="T103" i="9"/>
  <c r="S103" i="9"/>
  <c r="R103" i="9"/>
  <c r="Q103" i="9"/>
  <c r="P103" i="9"/>
  <c r="O103" i="9"/>
  <c r="N103" i="9"/>
  <c r="M103" i="9"/>
  <c r="L103" i="9"/>
  <c r="K103" i="9"/>
  <c r="J103" i="9"/>
  <c r="I103" i="9"/>
  <c r="H103" i="9"/>
  <c r="G103" i="9"/>
  <c r="F103" i="9"/>
  <c r="E103" i="9"/>
  <c r="D103" i="9"/>
  <c r="C103" i="9"/>
  <c r="B103" i="9"/>
  <c r="A103" i="9"/>
  <c r="T102" i="9"/>
  <c r="S102" i="9"/>
  <c r="R102" i="9"/>
  <c r="Q102" i="9"/>
  <c r="P102" i="9"/>
  <c r="O102" i="9"/>
  <c r="N102" i="9"/>
  <c r="M102" i="9"/>
  <c r="L102" i="9"/>
  <c r="K102" i="9"/>
  <c r="J102" i="9"/>
  <c r="I102" i="9"/>
  <c r="H102" i="9"/>
  <c r="G102" i="9"/>
  <c r="F102" i="9"/>
  <c r="E102" i="9"/>
  <c r="D102" i="9"/>
  <c r="C102" i="9"/>
  <c r="B102" i="9"/>
  <c r="A102" i="9"/>
  <c r="T101" i="9"/>
  <c r="S101" i="9"/>
  <c r="R101" i="9"/>
  <c r="Q101" i="9"/>
  <c r="P101" i="9"/>
  <c r="O101" i="9"/>
  <c r="N101" i="9"/>
  <c r="M101" i="9"/>
  <c r="L101" i="9"/>
  <c r="K101" i="9"/>
  <c r="J101" i="9"/>
  <c r="I101" i="9"/>
  <c r="H101" i="9"/>
  <c r="G101" i="9"/>
  <c r="F101" i="9"/>
  <c r="E101" i="9"/>
  <c r="D101" i="9"/>
  <c r="C101" i="9"/>
  <c r="B101" i="9"/>
  <c r="A101" i="9"/>
  <c r="T100" i="9"/>
  <c r="S100" i="9"/>
  <c r="R100" i="9"/>
  <c r="Q100" i="9"/>
  <c r="P100" i="9"/>
  <c r="O100" i="9"/>
  <c r="N100" i="9"/>
  <c r="M100" i="9"/>
  <c r="L100" i="9"/>
  <c r="K100" i="9"/>
  <c r="J100" i="9"/>
  <c r="I100" i="9"/>
  <c r="H100" i="9"/>
  <c r="G100" i="9"/>
  <c r="F100" i="9"/>
  <c r="E100" i="9"/>
  <c r="D100" i="9"/>
  <c r="C100" i="9"/>
  <c r="B100" i="9"/>
  <c r="A100" i="9"/>
  <c r="T99" i="9"/>
  <c r="S99" i="9"/>
  <c r="R99" i="9"/>
  <c r="Q99" i="9"/>
  <c r="P99" i="9"/>
  <c r="O99" i="9"/>
  <c r="N99" i="9"/>
  <c r="M99" i="9"/>
  <c r="L99" i="9"/>
  <c r="K99" i="9"/>
  <c r="J99" i="9"/>
  <c r="I99" i="9"/>
  <c r="H99" i="9"/>
  <c r="G99" i="9"/>
  <c r="F99" i="9"/>
  <c r="E99" i="9"/>
  <c r="D99" i="9"/>
  <c r="C99" i="9"/>
  <c r="B99" i="9"/>
  <c r="A99" i="9"/>
  <c r="T98" i="9"/>
  <c r="S98" i="9"/>
  <c r="R98" i="9"/>
  <c r="Q98" i="9"/>
  <c r="P98" i="9"/>
  <c r="O98" i="9"/>
  <c r="N98" i="9"/>
  <c r="M98" i="9"/>
  <c r="L98" i="9"/>
  <c r="K98" i="9"/>
  <c r="J98" i="9"/>
  <c r="I98" i="9"/>
  <c r="H98" i="9"/>
  <c r="G98" i="9"/>
  <c r="F98" i="9"/>
  <c r="E98" i="9"/>
  <c r="D98" i="9"/>
  <c r="C98" i="9"/>
  <c r="B98" i="9"/>
  <c r="A98" i="9"/>
  <c r="T97" i="9"/>
  <c r="S97" i="9"/>
  <c r="R97" i="9"/>
  <c r="Q97" i="9"/>
  <c r="P97" i="9"/>
  <c r="O97" i="9"/>
  <c r="N97" i="9"/>
  <c r="M97" i="9"/>
  <c r="L97" i="9"/>
  <c r="K97" i="9"/>
  <c r="J97" i="9"/>
  <c r="I97" i="9"/>
  <c r="H97" i="9"/>
  <c r="G97" i="9"/>
  <c r="F97" i="9"/>
  <c r="E97" i="9"/>
  <c r="D97" i="9"/>
  <c r="C97" i="9"/>
  <c r="B97" i="9"/>
  <c r="A97" i="9"/>
  <c r="T96" i="9"/>
  <c r="S96" i="9"/>
  <c r="R96" i="9"/>
  <c r="Q96" i="9"/>
  <c r="P96" i="9"/>
  <c r="O96" i="9"/>
  <c r="N96" i="9"/>
  <c r="M96" i="9"/>
  <c r="L96" i="9"/>
  <c r="K96" i="9"/>
  <c r="J96" i="9"/>
  <c r="I96" i="9"/>
  <c r="H96" i="9"/>
  <c r="G96" i="9"/>
  <c r="F96" i="9"/>
  <c r="E96" i="9"/>
  <c r="D96" i="9"/>
  <c r="C96" i="9"/>
  <c r="B96" i="9"/>
  <c r="A96" i="9"/>
  <c r="T95" i="9"/>
  <c r="S95" i="9"/>
  <c r="R95" i="9"/>
  <c r="Q95" i="9"/>
  <c r="P95" i="9"/>
  <c r="O95" i="9"/>
  <c r="N95" i="9"/>
  <c r="M95" i="9"/>
  <c r="L95" i="9"/>
  <c r="K95" i="9"/>
  <c r="J95" i="9"/>
  <c r="I95" i="9"/>
  <c r="H95" i="9"/>
  <c r="G95" i="9"/>
  <c r="F95" i="9"/>
  <c r="E95" i="9"/>
  <c r="D95" i="9"/>
  <c r="C95" i="9"/>
  <c r="B95" i="9"/>
  <c r="A95" i="9"/>
  <c r="T94" i="9"/>
  <c r="S94" i="9"/>
  <c r="R94" i="9"/>
  <c r="Q94" i="9"/>
  <c r="P94" i="9"/>
  <c r="O94" i="9"/>
  <c r="N94" i="9"/>
  <c r="M94" i="9"/>
  <c r="L94" i="9"/>
  <c r="K94" i="9"/>
  <c r="J94" i="9"/>
  <c r="I94" i="9"/>
  <c r="H94" i="9"/>
  <c r="G94" i="9"/>
  <c r="F94" i="9"/>
  <c r="E94" i="9"/>
  <c r="D94" i="9"/>
  <c r="C94" i="9"/>
  <c r="B94" i="9"/>
  <c r="A94" i="9"/>
  <c r="T93" i="9"/>
  <c r="S93" i="9"/>
  <c r="R93" i="9"/>
  <c r="Q93" i="9"/>
  <c r="P93" i="9"/>
  <c r="O93" i="9"/>
  <c r="N93" i="9"/>
  <c r="M93" i="9"/>
  <c r="L93" i="9"/>
  <c r="K93" i="9"/>
  <c r="J93" i="9"/>
  <c r="I93" i="9"/>
  <c r="H93" i="9"/>
  <c r="G93" i="9"/>
  <c r="F93" i="9"/>
  <c r="E93" i="9"/>
  <c r="D93" i="9"/>
  <c r="C93" i="9"/>
  <c r="B93" i="9"/>
  <c r="A93" i="9"/>
  <c r="T92" i="9"/>
  <c r="S92" i="9"/>
  <c r="R92" i="9"/>
  <c r="Q92" i="9"/>
  <c r="P92" i="9"/>
  <c r="O92" i="9"/>
  <c r="N92" i="9"/>
  <c r="M92" i="9"/>
  <c r="L92" i="9"/>
  <c r="K92" i="9"/>
  <c r="J92" i="9"/>
  <c r="I92" i="9"/>
  <c r="H92" i="9"/>
  <c r="G92" i="9"/>
  <c r="F92" i="9"/>
  <c r="E92" i="9"/>
  <c r="D92" i="9"/>
  <c r="C92" i="9"/>
  <c r="B92" i="9"/>
  <c r="A92" i="9"/>
  <c r="T91" i="9"/>
  <c r="S91" i="9"/>
  <c r="R91" i="9"/>
  <c r="Q91" i="9"/>
  <c r="P91" i="9"/>
  <c r="O91" i="9"/>
  <c r="N91" i="9"/>
  <c r="M91" i="9"/>
  <c r="L91" i="9"/>
  <c r="K91" i="9"/>
  <c r="J91" i="9"/>
  <c r="I91" i="9"/>
  <c r="H91" i="9"/>
  <c r="G91" i="9"/>
  <c r="F91" i="9"/>
  <c r="E91" i="9"/>
  <c r="D91" i="9"/>
  <c r="C91" i="9"/>
  <c r="B91" i="9"/>
  <c r="A91" i="9"/>
  <c r="T90" i="9"/>
  <c r="S90" i="9"/>
  <c r="R90" i="9"/>
  <c r="Q90" i="9"/>
  <c r="P90" i="9"/>
  <c r="O90" i="9"/>
  <c r="N90" i="9"/>
  <c r="M90" i="9"/>
  <c r="L90" i="9"/>
  <c r="K90" i="9"/>
  <c r="J90" i="9"/>
  <c r="I90" i="9"/>
  <c r="H90" i="9"/>
  <c r="G90" i="9"/>
  <c r="F90" i="9"/>
  <c r="E90" i="9"/>
  <c r="D90" i="9"/>
  <c r="C90" i="9"/>
  <c r="B90" i="9"/>
  <c r="A90" i="9"/>
  <c r="T89" i="9"/>
  <c r="S89" i="9"/>
  <c r="R89" i="9"/>
  <c r="Q89" i="9"/>
  <c r="P89" i="9"/>
  <c r="O89" i="9"/>
  <c r="N89" i="9"/>
  <c r="M89" i="9"/>
  <c r="L89" i="9"/>
  <c r="K89" i="9"/>
  <c r="J89" i="9"/>
  <c r="I89" i="9"/>
  <c r="H89" i="9"/>
  <c r="G89" i="9"/>
  <c r="F89" i="9"/>
  <c r="E89" i="9"/>
  <c r="D89" i="9"/>
  <c r="C89" i="9"/>
  <c r="B89" i="9"/>
  <c r="A89" i="9"/>
  <c r="T88" i="9"/>
  <c r="S88" i="9"/>
  <c r="R88" i="9"/>
  <c r="Q88" i="9"/>
  <c r="P88" i="9"/>
  <c r="O88" i="9"/>
  <c r="N88" i="9"/>
  <c r="M88" i="9"/>
  <c r="L88" i="9"/>
  <c r="K88" i="9"/>
  <c r="J88" i="9"/>
  <c r="I88" i="9"/>
  <c r="H88" i="9"/>
  <c r="G88" i="9"/>
  <c r="F88" i="9"/>
  <c r="E88" i="9"/>
  <c r="D88" i="9"/>
  <c r="C88" i="9"/>
  <c r="B88" i="9"/>
  <c r="A88" i="9"/>
  <c r="T87" i="9"/>
  <c r="S87" i="9"/>
  <c r="R87" i="9"/>
  <c r="Q87" i="9"/>
  <c r="P87" i="9"/>
  <c r="O87" i="9"/>
  <c r="N87" i="9"/>
  <c r="M87" i="9"/>
  <c r="L87" i="9"/>
  <c r="K87" i="9"/>
  <c r="J87" i="9"/>
  <c r="I87" i="9"/>
  <c r="H87" i="9"/>
  <c r="G87" i="9"/>
  <c r="F87" i="9"/>
  <c r="E87" i="9"/>
  <c r="D87" i="9"/>
  <c r="C87" i="9"/>
  <c r="B87" i="9"/>
  <c r="A87" i="9"/>
  <c r="T86" i="9"/>
  <c r="S86" i="9"/>
  <c r="R86" i="9"/>
  <c r="Q86" i="9"/>
  <c r="P86" i="9"/>
  <c r="O86" i="9"/>
  <c r="N86" i="9"/>
  <c r="M86" i="9"/>
  <c r="L86" i="9"/>
  <c r="K86" i="9"/>
  <c r="J86" i="9"/>
  <c r="I86" i="9"/>
  <c r="H86" i="9"/>
  <c r="G86" i="9"/>
  <c r="F86" i="9"/>
  <c r="E86" i="9"/>
  <c r="D86" i="9"/>
  <c r="C86" i="9"/>
  <c r="B86" i="9"/>
  <c r="A86" i="9"/>
  <c r="T85" i="9"/>
  <c r="S85" i="9"/>
  <c r="R85" i="9"/>
  <c r="Q85" i="9"/>
  <c r="P85" i="9"/>
  <c r="O85" i="9"/>
  <c r="N85" i="9"/>
  <c r="M85" i="9"/>
  <c r="L85" i="9"/>
  <c r="K85" i="9"/>
  <c r="J85" i="9"/>
  <c r="I85" i="9"/>
  <c r="H85" i="9"/>
  <c r="G85" i="9"/>
  <c r="F85" i="9"/>
  <c r="E85" i="9"/>
  <c r="D85" i="9"/>
  <c r="C85" i="9"/>
  <c r="B85" i="9"/>
  <c r="A85" i="9"/>
  <c r="T84" i="9"/>
  <c r="S84" i="9"/>
  <c r="R84" i="9"/>
  <c r="Q84" i="9"/>
  <c r="P84" i="9"/>
  <c r="O84" i="9"/>
  <c r="N84" i="9"/>
  <c r="M84" i="9"/>
  <c r="L84" i="9"/>
  <c r="K84" i="9"/>
  <c r="J84" i="9"/>
  <c r="I84" i="9"/>
  <c r="H84" i="9"/>
  <c r="G84" i="9"/>
  <c r="F84" i="9"/>
  <c r="E84" i="9"/>
  <c r="D84" i="9"/>
  <c r="C84" i="9"/>
  <c r="B84" i="9"/>
  <c r="A84" i="9"/>
  <c r="T83" i="9"/>
  <c r="S83" i="9"/>
  <c r="R83" i="9"/>
  <c r="Q83" i="9"/>
  <c r="P83" i="9"/>
  <c r="O83" i="9"/>
  <c r="N83" i="9"/>
  <c r="M83" i="9"/>
  <c r="L83" i="9"/>
  <c r="K83" i="9"/>
  <c r="J83" i="9"/>
  <c r="I83" i="9"/>
  <c r="H83" i="9"/>
  <c r="G83" i="9"/>
  <c r="F83" i="9"/>
  <c r="E83" i="9"/>
  <c r="D83" i="9"/>
  <c r="C83" i="9"/>
  <c r="B83" i="9"/>
  <c r="A83" i="9"/>
  <c r="T82" i="9"/>
  <c r="S82" i="9"/>
  <c r="R82" i="9"/>
  <c r="Q82" i="9"/>
  <c r="P82" i="9"/>
  <c r="O82" i="9"/>
  <c r="N82" i="9"/>
  <c r="M82" i="9"/>
  <c r="L82" i="9"/>
  <c r="K82" i="9"/>
  <c r="J82" i="9"/>
  <c r="I82" i="9"/>
  <c r="H82" i="9"/>
  <c r="G82" i="9"/>
  <c r="F82" i="9"/>
  <c r="E82" i="9"/>
  <c r="D82" i="9"/>
  <c r="C82" i="9"/>
  <c r="B82" i="9"/>
  <c r="A82" i="9"/>
  <c r="T81" i="9"/>
  <c r="S81" i="9"/>
  <c r="R81" i="9"/>
  <c r="Q81" i="9"/>
  <c r="P81" i="9"/>
  <c r="O81" i="9"/>
  <c r="N81" i="9"/>
  <c r="M81" i="9"/>
  <c r="L81" i="9"/>
  <c r="K81" i="9"/>
  <c r="J81" i="9"/>
  <c r="I81" i="9"/>
  <c r="H81" i="9"/>
  <c r="G81" i="9"/>
  <c r="F81" i="9"/>
  <c r="E81" i="9"/>
  <c r="D81" i="9"/>
  <c r="C81" i="9"/>
  <c r="B81" i="9"/>
  <c r="A81" i="9"/>
  <c r="T80" i="9"/>
  <c r="S80" i="9"/>
  <c r="R80" i="9"/>
  <c r="Q80" i="9"/>
  <c r="P80" i="9"/>
  <c r="O80" i="9"/>
  <c r="N80" i="9"/>
  <c r="M80" i="9"/>
  <c r="L80" i="9"/>
  <c r="K80" i="9"/>
  <c r="J80" i="9"/>
  <c r="I80" i="9"/>
  <c r="H80" i="9"/>
  <c r="G80" i="9"/>
  <c r="F80" i="9"/>
  <c r="E80" i="9"/>
  <c r="D80" i="9"/>
  <c r="C80" i="9"/>
  <c r="B80" i="9"/>
  <c r="A80" i="9"/>
  <c r="T79" i="9"/>
  <c r="S79" i="9"/>
  <c r="R79" i="9"/>
  <c r="Q79" i="9"/>
  <c r="P79" i="9"/>
  <c r="O79" i="9"/>
  <c r="N79" i="9"/>
  <c r="M79" i="9"/>
  <c r="L79" i="9"/>
  <c r="K79" i="9"/>
  <c r="J79" i="9"/>
  <c r="I79" i="9"/>
  <c r="H79" i="9"/>
  <c r="G79" i="9"/>
  <c r="F79" i="9"/>
  <c r="E79" i="9"/>
  <c r="D79" i="9"/>
  <c r="C79" i="9"/>
  <c r="B79" i="9"/>
  <c r="A79" i="9"/>
  <c r="T78" i="9"/>
  <c r="S78" i="9"/>
  <c r="R78" i="9"/>
  <c r="Q78" i="9"/>
  <c r="P78" i="9"/>
  <c r="O78" i="9"/>
  <c r="N78" i="9"/>
  <c r="M78" i="9"/>
  <c r="L78" i="9"/>
  <c r="K78" i="9"/>
  <c r="J78" i="9"/>
  <c r="I78" i="9"/>
  <c r="H78" i="9"/>
  <c r="G78" i="9"/>
  <c r="F78" i="9"/>
  <c r="E78" i="9"/>
  <c r="D78" i="9"/>
  <c r="C78" i="9"/>
  <c r="B78" i="9"/>
  <c r="A78" i="9"/>
  <c r="T77" i="9"/>
  <c r="S77" i="9"/>
  <c r="R77" i="9"/>
  <c r="Q77" i="9"/>
  <c r="P77" i="9"/>
  <c r="O77" i="9"/>
  <c r="N77" i="9"/>
  <c r="M77" i="9"/>
  <c r="L77" i="9"/>
  <c r="K77" i="9"/>
  <c r="J77" i="9"/>
  <c r="I77" i="9"/>
  <c r="H77" i="9"/>
  <c r="G77" i="9"/>
  <c r="F77" i="9"/>
  <c r="E77" i="9"/>
  <c r="D77" i="9"/>
  <c r="C77" i="9"/>
  <c r="B77" i="9"/>
  <c r="A77" i="9"/>
  <c r="T76" i="9"/>
  <c r="S76" i="9"/>
  <c r="R76" i="9"/>
  <c r="Q76" i="9"/>
  <c r="P76" i="9"/>
  <c r="O76" i="9"/>
  <c r="N76" i="9"/>
  <c r="M76" i="9"/>
  <c r="L76" i="9"/>
  <c r="K76" i="9"/>
  <c r="J76" i="9"/>
  <c r="I76" i="9"/>
  <c r="H76" i="9"/>
  <c r="G76" i="9"/>
  <c r="F76" i="9"/>
  <c r="E76" i="9"/>
  <c r="D76" i="9"/>
  <c r="C76" i="9"/>
  <c r="B76" i="9"/>
  <c r="A76" i="9"/>
  <c r="T75" i="9"/>
  <c r="S75" i="9"/>
  <c r="R75" i="9"/>
  <c r="Q75" i="9"/>
  <c r="P75" i="9"/>
  <c r="O75" i="9"/>
  <c r="N75" i="9"/>
  <c r="M75" i="9"/>
  <c r="L75" i="9"/>
  <c r="K75" i="9"/>
  <c r="J75" i="9"/>
  <c r="I75" i="9"/>
  <c r="H75" i="9"/>
  <c r="G75" i="9"/>
  <c r="F75" i="9"/>
  <c r="E75" i="9"/>
  <c r="D75" i="9"/>
  <c r="C75" i="9"/>
  <c r="B75" i="9"/>
  <c r="A75" i="9"/>
  <c r="T74" i="9"/>
  <c r="S74" i="9"/>
  <c r="R74" i="9"/>
  <c r="Q74" i="9"/>
  <c r="P74" i="9"/>
  <c r="O74" i="9"/>
  <c r="N74" i="9"/>
  <c r="M74" i="9"/>
  <c r="L74" i="9"/>
  <c r="K74" i="9"/>
  <c r="J74" i="9"/>
  <c r="I74" i="9"/>
  <c r="H74" i="9"/>
  <c r="G74" i="9"/>
  <c r="F74" i="9"/>
  <c r="E74" i="9"/>
  <c r="D74" i="9"/>
  <c r="C74" i="9"/>
  <c r="B74" i="9"/>
  <c r="A74" i="9"/>
  <c r="E73" i="9"/>
  <c r="A73" i="9"/>
  <c r="T72" i="9"/>
  <c r="S72" i="9"/>
  <c r="R72" i="9"/>
  <c r="Q72" i="9"/>
  <c r="P72" i="9"/>
  <c r="O72" i="9"/>
  <c r="N72" i="9"/>
  <c r="M72" i="9"/>
  <c r="L72" i="9"/>
  <c r="K72" i="9"/>
  <c r="J72" i="9"/>
  <c r="I72" i="9"/>
  <c r="H72" i="9"/>
  <c r="G72" i="9"/>
  <c r="F72" i="9"/>
  <c r="E72" i="9"/>
  <c r="D72" i="9"/>
  <c r="C72" i="9"/>
  <c r="B72" i="9"/>
  <c r="A72" i="9"/>
  <c r="T71" i="9"/>
  <c r="S71" i="9"/>
  <c r="R71" i="9"/>
  <c r="Q71" i="9"/>
  <c r="P71" i="9"/>
  <c r="O71" i="9"/>
  <c r="N71" i="9"/>
  <c r="M71" i="9"/>
  <c r="L71" i="9"/>
  <c r="K71" i="9"/>
  <c r="J71" i="9"/>
  <c r="I71" i="9"/>
  <c r="H71" i="9"/>
  <c r="G71" i="9"/>
  <c r="F71" i="9"/>
  <c r="E71" i="9"/>
  <c r="D71" i="9"/>
  <c r="C71" i="9"/>
  <c r="B71" i="9"/>
  <c r="A71" i="9"/>
  <c r="T70" i="9"/>
  <c r="S70" i="9"/>
  <c r="R70" i="9"/>
  <c r="Q70" i="9"/>
  <c r="P70" i="9"/>
  <c r="O70" i="9"/>
  <c r="N70" i="9"/>
  <c r="M70" i="9"/>
  <c r="L70" i="9"/>
  <c r="K70" i="9"/>
  <c r="J70" i="9"/>
  <c r="I70" i="9"/>
  <c r="H70" i="9"/>
  <c r="G70" i="9"/>
  <c r="F70" i="9"/>
  <c r="E70" i="9"/>
  <c r="D70" i="9"/>
  <c r="C70" i="9"/>
  <c r="B70" i="9"/>
  <c r="A70" i="9"/>
  <c r="T69" i="9"/>
  <c r="S69" i="9"/>
  <c r="R69" i="9"/>
  <c r="Q69" i="9"/>
  <c r="P69" i="9"/>
  <c r="O69" i="9"/>
  <c r="N69" i="9"/>
  <c r="M69" i="9"/>
  <c r="L69" i="9"/>
  <c r="K69" i="9"/>
  <c r="J69" i="9"/>
  <c r="I69" i="9"/>
  <c r="H69" i="9"/>
  <c r="G69" i="9"/>
  <c r="F69" i="9"/>
  <c r="E69" i="9"/>
  <c r="D69" i="9"/>
  <c r="C69" i="9"/>
  <c r="B69" i="9"/>
  <c r="A69" i="9"/>
  <c r="T68" i="9"/>
  <c r="S68" i="9"/>
  <c r="R68" i="9"/>
  <c r="Q68" i="9"/>
  <c r="P68" i="9"/>
  <c r="O68" i="9"/>
  <c r="N68" i="9"/>
  <c r="M68" i="9"/>
  <c r="L68" i="9"/>
  <c r="K68" i="9"/>
  <c r="J68" i="9"/>
  <c r="I68" i="9"/>
  <c r="H68" i="9"/>
  <c r="G68" i="9"/>
  <c r="F68" i="9"/>
  <c r="E68" i="9"/>
  <c r="D68" i="9"/>
  <c r="C68" i="9"/>
  <c r="B68" i="9"/>
  <c r="A68" i="9"/>
  <c r="T67" i="9"/>
  <c r="S67" i="9"/>
  <c r="R67" i="9"/>
  <c r="Q67" i="9"/>
  <c r="P67" i="9"/>
  <c r="O67" i="9"/>
  <c r="N67" i="9"/>
  <c r="M67" i="9"/>
  <c r="L67" i="9"/>
  <c r="K67" i="9"/>
  <c r="J67" i="9"/>
  <c r="I67" i="9"/>
  <c r="H67" i="9"/>
  <c r="G67" i="9"/>
  <c r="F67" i="9"/>
  <c r="E67" i="9"/>
  <c r="D67" i="9"/>
  <c r="C67" i="9"/>
  <c r="B67" i="9"/>
  <c r="A67" i="9"/>
  <c r="T66" i="9"/>
  <c r="S66" i="9"/>
  <c r="R66" i="9"/>
  <c r="Q66" i="9"/>
  <c r="P66" i="9"/>
  <c r="O66" i="9"/>
  <c r="N66" i="9"/>
  <c r="M66" i="9"/>
  <c r="L66" i="9"/>
  <c r="K66" i="9"/>
  <c r="J66" i="9"/>
  <c r="I66" i="9"/>
  <c r="H66" i="9"/>
  <c r="G66" i="9"/>
  <c r="F66" i="9"/>
  <c r="E66" i="9"/>
  <c r="D66" i="9"/>
  <c r="C66" i="9"/>
  <c r="B66" i="9"/>
  <c r="A66" i="9"/>
  <c r="T65" i="9"/>
  <c r="S65" i="9"/>
  <c r="R65" i="9"/>
  <c r="Q65" i="9"/>
  <c r="P65" i="9"/>
  <c r="O65" i="9"/>
  <c r="N65" i="9"/>
  <c r="M65" i="9"/>
  <c r="L65" i="9"/>
  <c r="K65" i="9"/>
  <c r="J65" i="9"/>
  <c r="I65" i="9"/>
  <c r="H65" i="9"/>
  <c r="G65" i="9"/>
  <c r="F65" i="9"/>
  <c r="E65" i="9"/>
  <c r="D65" i="9"/>
  <c r="C65" i="9"/>
  <c r="B65" i="9"/>
  <c r="A65" i="9"/>
  <c r="T64" i="9"/>
  <c r="S64" i="9"/>
  <c r="R64" i="9"/>
  <c r="Q64" i="9"/>
  <c r="P64" i="9"/>
  <c r="O64" i="9"/>
  <c r="N64" i="9"/>
  <c r="M64" i="9"/>
  <c r="L64" i="9"/>
  <c r="K64" i="9"/>
  <c r="J64" i="9"/>
  <c r="I64" i="9"/>
  <c r="H64" i="9"/>
  <c r="G64" i="9"/>
  <c r="F64" i="9"/>
  <c r="E64" i="9"/>
  <c r="D64" i="9"/>
  <c r="C64" i="9"/>
  <c r="B64" i="9"/>
  <c r="A64" i="9"/>
  <c r="T63" i="9"/>
  <c r="S63" i="9"/>
  <c r="R63" i="9"/>
  <c r="Q63" i="9"/>
  <c r="P63" i="9"/>
  <c r="O63" i="9"/>
  <c r="N63" i="9"/>
  <c r="M63" i="9"/>
  <c r="L63" i="9"/>
  <c r="K63" i="9"/>
  <c r="J63" i="9"/>
  <c r="I63" i="9"/>
  <c r="H63" i="9"/>
  <c r="G63" i="9"/>
  <c r="F63" i="9"/>
  <c r="E63" i="9"/>
  <c r="D63" i="9"/>
  <c r="C63" i="9"/>
  <c r="B63" i="9"/>
  <c r="A63" i="9"/>
  <c r="T62" i="9"/>
  <c r="S62" i="9"/>
  <c r="R62" i="9"/>
  <c r="Q62" i="9"/>
  <c r="P62" i="9"/>
  <c r="O62" i="9"/>
  <c r="N62" i="9"/>
  <c r="M62" i="9"/>
  <c r="L62" i="9"/>
  <c r="K62" i="9"/>
  <c r="J62" i="9"/>
  <c r="I62" i="9"/>
  <c r="H62" i="9"/>
  <c r="G62" i="9"/>
  <c r="F62" i="9"/>
  <c r="E62" i="9"/>
  <c r="D62" i="9"/>
  <c r="C62" i="9"/>
  <c r="B62" i="9"/>
  <c r="A62" i="9"/>
  <c r="T61" i="9"/>
  <c r="S61" i="9"/>
  <c r="R61" i="9"/>
  <c r="Q61" i="9"/>
  <c r="P61" i="9"/>
  <c r="O61" i="9"/>
  <c r="N61" i="9"/>
  <c r="M61" i="9"/>
  <c r="L61" i="9"/>
  <c r="K61" i="9"/>
  <c r="J61" i="9"/>
  <c r="I61" i="9"/>
  <c r="H61" i="9"/>
  <c r="G61" i="9"/>
  <c r="F61" i="9"/>
  <c r="E61" i="9"/>
  <c r="D61" i="9"/>
  <c r="C61" i="9"/>
  <c r="B61" i="9"/>
  <c r="A61" i="9"/>
  <c r="T60" i="9"/>
  <c r="S60" i="9"/>
  <c r="R60" i="9"/>
  <c r="Q60" i="9"/>
  <c r="P60" i="9"/>
  <c r="O60" i="9"/>
  <c r="N60" i="9"/>
  <c r="M60" i="9"/>
  <c r="L60" i="9"/>
  <c r="K60" i="9"/>
  <c r="J60" i="9"/>
  <c r="I60" i="9"/>
  <c r="H60" i="9"/>
  <c r="G60" i="9"/>
  <c r="F60" i="9"/>
  <c r="E60" i="9"/>
  <c r="D60" i="9"/>
  <c r="C60" i="9"/>
  <c r="B60" i="9"/>
  <c r="A60" i="9"/>
  <c r="T59" i="9"/>
  <c r="S59" i="9"/>
  <c r="R59" i="9"/>
  <c r="Q59" i="9"/>
  <c r="P59" i="9"/>
  <c r="O59" i="9"/>
  <c r="N59" i="9"/>
  <c r="M59" i="9"/>
  <c r="L59" i="9"/>
  <c r="K59" i="9"/>
  <c r="J59" i="9"/>
  <c r="I59" i="9"/>
  <c r="H59" i="9"/>
  <c r="G59" i="9"/>
  <c r="F59" i="9"/>
  <c r="E59" i="9"/>
  <c r="D59" i="9"/>
  <c r="C59" i="9"/>
  <c r="B59" i="9"/>
  <c r="A59" i="9"/>
  <c r="T58" i="9"/>
  <c r="S58" i="9"/>
  <c r="R58" i="9"/>
  <c r="Q58" i="9"/>
  <c r="P58" i="9"/>
  <c r="O58" i="9"/>
  <c r="N58" i="9"/>
  <c r="M58" i="9"/>
  <c r="L58" i="9"/>
  <c r="K58" i="9"/>
  <c r="J58" i="9"/>
  <c r="I58" i="9"/>
  <c r="H58" i="9"/>
  <c r="G58" i="9"/>
  <c r="F58" i="9"/>
  <c r="E58" i="9"/>
  <c r="D58" i="9"/>
  <c r="C58" i="9"/>
  <c r="B58" i="9"/>
  <c r="A58" i="9"/>
  <c r="T57" i="9"/>
  <c r="R57" i="9"/>
  <c r="Q57" i="9"/>
  <c r="P57" i="9"/>
  <c r="O57" i="9"/>
  <c r="N57" i="9"/>
  <c r="M57" i="9"/>
  <c r="L57" i="9"/>
  <c r="K57" i="9"/>
  <c r="J57" i="9"/>
  <c r="I57" i="9"/>
  <c r="H57" i="9"/>
  <c r="G57" i="9"/>
  <c r="F57" i="9"/>
  <c r="E57" i="9"/>
  <c r="D57" i="9"/>
  <c r="C57" i="9"/>
  <c r="B57" i="9"/>
  <c r="A57" i="9"/>
  <c r="T56" i="9"/>
  <c r="S56" i="9"/>
  <c r="R56" i="9"/>
  <c r="Q56" i="9"/>
  <c r="P56" i="9"/>
  <c r="O56" i="9"/>
  <c r="N56" i="9"/>
  <c r="M56" i="9"/>
  <c r="L56" i="9"/>
  <c r="K56" i="9"/>
  <c r="J56" i="9"/>
  <c r="I56" i="9"/>
  <c r="H56" i="9"/>
  <c r="G56" i="9"/>
  <c r="F56" i="9"/>
  <c r="E56" i="9"/>
  <c r="D56" i="9"/>
  <c r="C56" i="9"/>
  <c r="B56" i="9"/>
  <c r="A56" i="9"/>
  <c r="T55" i="9"/>
  <c r="S55" i="9"/>
  <c r="R55" i="9"/>
  <c r="Q55" i="9"/>
  <c r="P55" i="9"/>
  <c r="O55" i="9"/>
  <c r="N55" i="9"/>
  <c r="M55" i="9"/>
  <c r="L55" i="9"/>
  <c r="K55" i="9"/>
  <c r="J55" i="9"/>
  <c r="I55" i="9"/>
  <c r="H55" i="9"/>
  <c r="G55" i="9"/>
  <c r="F55" i="9"/>
  <c r="E55" i="9"/>
  <c r="D55" i="9"/>
  <c r="C55" i="9"/>
  <c r="B55" i="9"/>
  <c r="A55" i="9"/>
  <c r="T54" i="9"/>
  <c r="S54" i="9"/>
  <c r="R54" i="9"/>
  <c r="Q54" i="9"/>
  <c r="P54" i="9"/>
  <c r="O54" i="9"/>
  <c r="N54" i="9"/>
  <c r="M54" i="9"/>
  <c r="L54" i="9"/>
  <c r="K54" i="9"/>
  <c r="J54" i="9"/>
  <c r="I54" i="9"/>
  <c r="H54" i="9"/>
  <c r="G54" i="9"/>
  <c r="F54" i="9"/>
  <c r="E54" i="9"/>
  <c r="D54" i="9"/>
  <c r="C54" i="9"/>
  <c r="B54" i="9"/>
  <c r="A54" i="9"/>
  <c r="T53" i="9"/>
  <c r="S53" i="9"/>
  <c r="R53" i="9"/>
  <c r="Q53" i="9"/>
  <c r="P53" i="9"/>
  <c r="O53" i="9"/>
  <c r="N53" i="9"/>
  <c r="M53" i="9"/>
  <c r="L53" i="9"/>
  <c r="K53" i="9"/>
  <c r="J53" i="9"/>
  <c r="I53" i="9"/>
  <c r="H53" i="9"/>
  <c r="G53" i="9"/>
  <c r="F53" i="9"/>
  <c r="E53" i="9"/>
  <c r="D53" i="9"/>
  <c r="C53" i="9"/>
  <c r="B53" i="9"/>
  <c r="A53" i="9"/>
  <c r="T52" i="9"/>
  <c r="S52" i="9"/>
  <c r="R52" i="9"/>
  <c r="Q52" i="9"/>
  <c r="P52" i="9"/>
  <c r="O52" i="9"/>
  <c r="N52" i="9"/>
  <c r="M52" i="9"/>
  <c r="L52" i="9"/>
  <c r="K52" i="9"/>
  <c r="J52" i="9"/>
  <c r="I52" i="9"/>
  <c r="H52" i="9"/>
  <c r="G52" i="9"/>
  <c r="F52" i="9"/>
  <c r="E52" i="9"/>
  <c r="D52" i="9"/>
  <c r="C52" i="9"/>
  <c r="B52" i="9"/>
  <c r="A52" i="9"/>
  <c r="T51" i="9"/>
  <c r="S51" i="9"/>
  <c r="R51" i="9"/>
  <c r="Q51" i="9"/>
  <c r="P51" i="9"/>
  <c r="O51" i="9"/>
  <c r="N51" i="9"/>
  <c r="M51" i="9"/>
  <c r="L51" i="9"/>
  <c r="K51" i="9"/>
  <c r="J51" i="9"/>
  <c r="I51" i="9"/>
  <c r="H51" i="9"/>
  <c r="G51" i="9"/>
  <c r="F51" i="9"/>
  <c r="E51" i="9"/>
  <c r="D51" i="9"/>
  <c r="C51" i="9"/>
  <c r="B51" i="9"/>
  <c r="A51" i="9"/>
  <c r="T50" i="9"/>
  <c r="S50" i="9"/>
  <c r="R50" i="9"/>
  <c r="Q50" i="9"/>
  <c r="P50" i="9"/>
  <c r="O50" i="9"/>
  <c r="N50" i="9"/>
  <c r="M50" i="9"/>
  <c r="L50" i="9"/>
  <c r="K50" i="9"/>
  <c r="J50" i="9"/>
  <c r="I50" i="9"/>
  <c r="H50" i="9"/>
  <c r="G50" i="9"/>
  <c r="F50" i="9"/>
  <c r="E50" i="9"/>
  <c r="D50" i="9"/>
  <c r="C50" i="9"/>
  <c r="B50" i="9"/>
  <c r="A50" i="9"/>
  <c r="T49" i="9"/>
  <c r="S49" i="9"/>
  <c r="R49" i="9"/>
  <c r="Q49" i="9"/>
  <c r="P49" i="9"/>
  <c r="O49" i="9"/>
  <c r="N49" i="9"/>
  <c r="M49" i="9"/>
  <c r="L49" i="9"/>
  <c r="K49" i="9"/>
  <c r="J49" i="9"/>
  <c r="I49" i="9"/>
  <c r="H49" i="9"/>
  <c r="G49" i="9"/>
  <c r="F49" i="9"/>
  <c r="E49" i="9"/>
  <c r="D49" i="9"/>
  <c r="C49" i="9"/>
  <c r="B49" i="9"/>
  <c r="A49" i="9"/>
  <c r="T48" i="9"/>
  <c r="S48" i="9"/>
  <c r="R48" i="9"/>
  <c r="Q48" i="9"/>
  <c r="P48" i="9"/>
  <c r="O48" i="9"/>
  <c r="N48" i="9"/>
  <c r="M48" i="9"/>
  <c r="L48" i="9"/>
  <c r="K48" i="9"/>
  <c r="J48" i="9"/>
  <c r="I48" i="9"/>
  <c r="H48" i="9"/>
  <c r="G48" i="9"/>
  <c r="F48" i="9"/>
  <c r="E48" i="9"/>
  <c r="D48" i="9"/>
  <c r="C48" i="9"/>
  <c r="B48" i="9"/>
  <c r="A48" i="9"/>
  <c r="T47" i="9"/>
  <c r="S47" i="9"/>
  <c r="R47" i="9"/>
  <c r="Q47" i="9"/>
  <c r="P47" i="9"/>
  <c r="O47" i="9"/>
  <c r="N47" i="9"/>
  <c r="M47" i="9"/>
  <c r="L47" i="9"/>
  <c r="K47" i="9"/>
  <c r="J47" i="9"/>
  <c r="I47" i="9"/>
  <c r="H47" i="9"/>
  <c r="G47" i="9"/>
  <c r="F47" i="9"/>
  <c r="E47" i="9"/>
  <c r="D47" i="9"/>
  <c r="C47" i="9"/>
  <c r="B47" i="9"/>
  <c r="A47" i="9"/>
  <c r="T46" i="9"/>
  <c r="S46" i="9"/>
  <c r="R46" i="9"/>
  <c r="Q46" i="9"/>
  <c r="P46" i="9"/>
  <c r="O46" i="9"/>
  <c r="N46" i="9"/>
  <c r="M46" i="9"/>
  <c r="L46" i="9"/>
  <c r="K46" i="9"/>
  <c r="J46" i="9"/>
  <c r="I46" i="9"/>
  <c r="H46" i="9"/>
  <c r="G46" i="9"/>
  <c r="F46" i="9"/>
  <c r="E46" i="9"/>
  <c r="D46" i="9"/>
  <c r="C46" i="9"/>
  <c r="B46" i="9"/>
  <c r="A46" i="9"/>
  <c r="T45" i="9"/>
  <c r="S45" i="9"/>
  <c r="R45" i="9"/>
  <c r="Q45" i="9"/>
  <c r="P45" i="9"/>
  <c r="O45" i="9"/>
  <c r="N45" i="9"/>
  <c r="M45" i="9"/>
  <c r="L45" i="9"/>
  <c r="K45" i="9"/>
  <c r="J45" i="9"/>
  <c r="I45" i="9"/>
  <c r="H45" i="9"/>
  <c r="G45" i="9"/>
  <c r="F45" i="9"/>
  <c r="E45" i="9"/>
  <c r="D45" i="9"/>
  <c r="C45" i="9"/>
  <c r="B45" i="9"/>
  <c r="A45" i="9"/>
  <c r="T44" i="9"/>
  <c r="S44" i="9"/>
  <c r="R44" i="9"/>
  <c r="Q44" i="9"/>
  <c r="P44" i="9"/>
  <c r="O44" i="9"/>
  <c r="N44" i="9"/>
  <c r="M44" i="9"/>
  <c r="L44" i="9"/>
  <c r="K44" i="9"/>
  <c r="J44" i="9"/>
  <c r="I44" i="9"/>
  <c r="H44" i="9"/>
  <c r="G44" i="9"/>
  <c r="F44" i="9"/>
  <c r="E44" i="9"/>
  <c r="D44" i="9"/>
  <c r="C44" i="9"/>
  <c r="B44" i="9"/>
  <c r="A44" i="9"/>
  <c r="T43" i="9"/>
  <c r="S43" i="9"/>
  <c r="R43" i="9"/>
  <c r="Q43" i="9"/>
  <c r="P43" i="9"/>
  <c r="O43" i="9"/>
  <c r="N43" i="9"/>
  <c r="M43" i="9"/>
  <c r="L43" i="9"/>
  <c r="K43" i="9"/>
  <c r="J43" i="9"/>
  <c r="I43" i="9"/>
  <c r="H43" i="9"/>
  <c r="G43" i="9"/>
  <c r="F43" i="9"/>
  <c r="E43" i="9"/>
  <c r="D43" i="9"/>
  <c r="C43" i="9"/>
  <c r="B43" i="9"/>
  <c r="A43" i="9"/>
  <c r="T42" i="9"/>
  <c r="S42" i="9"/>
  <c r="R42" i="9"/>
  <c r="Q42" i="9"/>
  <c r="P42" i="9"/>
  <c r="O42" i="9"/>
  <c r="N42" i="9"/>
  <c r="M42" i="9"/>
  <c r="L42" i="9"/>
  <c r="K42" i="9"/>
  <c r="J42" i="9"/>
  <c r="I42" i="9"/>
  <c r="H42" i="9"/>
  <c r="G42" i="9"/>
  <c r="F42" i="9"/>
  <c r="E42" i="9"/>
  <c r="D42" i="9"/>
  <c r="C42" i="9"/>
  <c r="B42" i="9"/>
  <c r="A42" i="9"/>
  <c r="T41" i="9"/>
  <c r="S41" i="9"/>
  <c r="R41" i="9"/>
  <c r="Q41" i="9"/>
  <c r="P41" i="9"/>
  <c r="O41" i="9"/>
  <c r="N41" i="9"/>
  <c r="M41" i="9"/>
  <c r="L41" i="9"/>
  <c r="K41" i="9"/>
  <c r="J41" i="9"/>
  <c r="I41" i="9"/>
  <c r="H41" i="9"/>
  <c r="G41" i="9"/>
  <c r="F41" i="9"/>
  <c r="E41" i="9"/>
  <c r="D41" i="9"/>
  <c r="C41" i="9"/>
  <c r="B41" i="9"/>
  <c r="A41" i="9"/>
  <c r="T40" i="9"/>
  <c r="S40" i="9"/>
  <c r="R40" i="9"/>
  <c r="Q40" i="9"/>
  <c r="P40" i="9"/>
  <c r="O40" i="9"/>
  <c r="N40" i="9"/>
  <c r="M40" i="9"/>
  <c r="L40" i="9"/>
  <c r="K40" i="9"/>
  <c r="J40" i="9"/>
  <c r="I40" i="9"/>
  <c r="H40" i="9"/>
  <c r="G40" i="9"/>
  <c r="F40" i="9"/>
  <c r="E40" i="9"/>
  <c r="D40" i="9"/>
  <c r="C40" i="9"/>
  <c r="B40" i="9"/>
  <c r="A40" i="9"/>
  <c r="T39" i="9"/>
  <c r="S39" i="9"/>
  <c r="R39" i="9"/>
  <c r="Q39" i="9"/>
  <c r="P39" i="9"/>
  <c r="O39" i="9"/>
  <c r="N39" i="9"/>
  <c r="M39" i="9"/>
  <c r="L39" i="9"/>
  <c r="K39" i="9"/>
  <c r="J39" i="9"/>
  <c r="I39" i="9"/>
  <c r="H39" i="9"/>
  <c r="G39" i="9"/>
  <c r="F39" i="9"/>
  <c r="E39" i="9"/>
  <c r="D39" i="9"/>
  <c r="C39" i="9"/>
  <c r="B39" i="9"/>
  <c r="A39" i="9"/>
  <c r="T38" i="9"/>
  <c r="S38" i="9"/>
  <c r="R38" i="9"/>
  <c r="Q38" i="9"/>
  <c r="P38" i="9"/>
  <c r="O38" i="9"/>
  <c r="N38" i="9"/>
  <c r="M38" i="9"/>
  <c r="L38" i="9"/>
  <c r="K38" i="9"/>
  <c r="J38" i="9"/>
  <c r="I38" i="9"/>
  <c r="H38" i="9"/>
  <c r="G38" i="9"/>
  <c r="F38" i="9"/>
  <c r="E38" i="9"/>
  <c r="D38" i="9"/>
  <c r="C38" i="9"/>
  <c r="B38" i="9"/>
  <c r="A38" i="9"/>
  <c r="T37" i="9"/>
  <c r="S37" i="9"/>
  <c r="R37" i="9"/>
  <c r="Q37" i="9"/>
  <c r="P37" i="9"/>
  <c r="O37" i="9"/>
  <c r="N37" i="9"/>
  <c r="M37" i="9"/>
  <c r="L37" i="9"/>
  <c r="K37" i="9"/>
  <c r="J37" i="9"/>
  <c r="I37" i="9"/>
  <c r="H37" i="9"/>
  <c r="G37" i="9"/>
  <c r="F37" i="9"/>
  <c r="E37" i="9"/>
  <c r="D37" i="9"/>
  <c r="C37" i="9"/>
  <c r="B37" i="9"/>
  <c r="A37" i="9"/>
  <c r="T36" i="9"/>
  <c r="S36" i="9"/>
  <c r="R36" i="9"/>
  <c r="Q36" i="9"/>
  <c r="P36" i="9"/>
  <c r="O36" i="9"/>
  <c r="N36" i="9"/>
  <c r="M36" i="9"/>
  <c r="L36" i="9"/>
  <c r="K36" i="9"/>
  <c r="J36" i="9"/>
  <c r="I36" i="9"/>
  <c r="H36" i="9"/>
  <c r="G36" i="9"/>
  <c r="F36" i="9"/>
  <c r="E36" i="9"/>
  <c r="D36" i="9"/>
  <c r="C36" i="9"/>
  <c r="B36" i="9"/>
  <c r="A36" i="9"/>
  <c r="T35" i="9"/>
  <c r="S35" i="9"/>
  <c r="R35" i="9"/>
  <c r="Q35" i="9"/>
  <c r="P35" i="9"/>
  <c r="O35" i="9"/>
  <c r="N35" i="9"/>
  <c r="M35" i="9"/>
  <c r="L35" i="9"/>
  <c r="K35" i="9"/>
  <c r="J35" i="9"/>
  <c r="I35" i="9"/>
  <c r="H35" i="9"/>
  <c r="G35" i="9"/>
  <c r="F35" i="9"/>
  <c r="E35" i="9"/>
  <c r="D35" i="9"/>
  <c r="C35" i="9"/>
  <c r="B35" i="9"/>
  <c r="A35" i="9"/>
  <c r="T34" i="9"/>
  <c r="S34" i="9"/>
  <c r="R34" i="9"/>
  <c r="Q34" i="9"/>
  <c r="P34" i="9"/>
  <c r="O34" i="9"/>
  <c r="N34" i="9"/>
  <c r="M34" i="9"/>
  <c r="L34" i="9"/>
  <c r="K34" i="9"/>
  <c r="J34" i="9"/>
  <c r="I34" i="9"/>
  <c r="H34" i="9"/>
  <c r="G34" i="9"/>
  <c r="F34" i="9"/>
  <c r="E34" i="9"/>
  <c r="D34" i="9"/>
  <c r="C34" i="9"/>
  <c r="B34" i="9"/>
  <c r="A34" i="9"/>
  <c r="T33" i="9"/>
  <c r="S33" i="9"/>
  <c r="R33" i="9"/>
  <c r="Q33" i="9"/>
  <c r="P33" i="9"/>
  <c r="O33" i="9"/>
  <c r="N33" i="9"/>
  <c r="M33" i="9"/>
  <c r="L33" i="9"/>
  <c r="K33" i="9"/>
  <c r="J33" i="9"/>
  <c r="I33" i="9"/>
  <c r="H33" i="9"/>
  <c r="G33" i="9"/>
  <c r="F33" i="9"/>
  <c r="E33" i="9"/>
  <c r="D33" i="9"/>
  <c r="C33" i="9"/>
  <c r="B33" i="9"/>
  <c r="A33" i="9"/>
  <c r="T32" i="9"/>
  <c r="S32" i="9"/>
  <c r="R32" i="9"/>
  <c r="Q32" i="9"/>
  <c r="P32" i="9"/>
  <c r="O32" i="9"/>
  <c r="N32" i="9"/>
  <c r="M32" i="9"/>
  <c r="L32" i="9"/>
  <c r="K32" i="9"/>
  <c r="J32" i="9"/>
  <c r="I32" i="9"/>
  <c r="H32" i="9"/>
  <c r="G32" i="9"/>
  <c r="F32" i="9"/>
  <c r="E32" i="9"/>
  <c r="D32" i="9"/>
  <c r="C32" i="9"/>
  <c r="B32" i="9"/>
  <c r="A32" i="9"/>
  <c r="T31" i="9"/>
  <c r="S31" i="9"/>
  <c r="R31" i="9"/>
  <c r="Q31" i="9"/>
  <c r="P31" i="9"/>
  <c r="O31" i="9"/>
  <c r="N31" i="9"/>
  <c r="M31" i="9"/>
  <c r="L31" i="9"/>
  <c r="K31" i="9"/>
  <c r="J31" i="9"/>
  <c r="I31" i="9"/>
  <c r="H31" i="9"/>
  <c r="G31" i="9"/>
  <c r="F31" i="9"/>
  <c r="E31" i="9"/>
  <c r="D31" i="9"/>
  <c r="C31" i="9"/>
  <c r="B31" i="9"/>
  <c r="A31" i="9"/>
  <c r="T30" i="9"/>
  <c r="S30" i="9"/>
  <c r="R30" i="9"/>
  <c r="Q30" i="9"/>
  <c r="P30" i="9"/>
  <c r="O30" i="9"/>
  <c r="N30" i="9"/>
  <c r="M30" i="9"/>
  <c r="L30" i="9"/>
  <c r="K30" i="9"/>
  <c r="J30" i="9"/>
  <c r="I30" i="9"/>
  <c r="H30" i="9"/>
  <c r="G30" i="9"/>
  <c r="F30" i="9"/>
  <c r="E30" i="9"/>
  <c r="D30" i="9"/>
  <c r="C30" i="9"/>
  <c r="B30" i="9"/>
  <c r="A30" i="9"/>
  <c r="T29" i="9"/>
  <c r="S29" i="9"/>
  <c r="R29" i="9"/>
  <c r="Q29" i="9"/>
  <c r="P29" i="9"/>
  <c r="O29" i="9"/>
  <c r="N29" i="9"/>
  <c r="M29" i="9"/>
  <c r="L29" i="9"/>
  <c r="K29" i="9"/>
  <c r="J29" i="9"/>
  <c r="I29" i="9"/>
  <c r="H29" i="9"/>
  <c r="G29" i="9"/>
  <c r="F29" i="9"/>
  <c r="E29" i="9"/>
  <c r="D29" i="9"/>
  <c r="C29" i="9"/>
  <c r="B29" i="9"/>
  <c r="A29" i="9"/>
  <c r="T28" i="9"/>
  <c r="S28" i="9"/>
  <c r="R28" i="9"/>
  <c r="Q28" i="9"/>
  <c r="P28" i="9"/>
  <c r="O28" i="9"/>
  <c r="N28" i="9"/>
  <c r="M28" i="9"/>
  <c r="L28" i="9"/>
  <c r="K28" i="9"/>
  <c r="J28" i="9"/>
  <c r="I28" i="9"/>
  <c r="H28" i="9"/>
  <c r="G28" i="9"/>
  <c r="F28" i="9"/>
  <c r="E28" i="9"/>
  <c r="D28" i="9"/>
  <c r="C28" i="9"/>
  <c r="B28" i="9"/>
  <c r="A28" i="9"/>
  <c r="T27" i="9"/>
  <c r="S27" i="9"/>
  <c r="R27" i="9"/>
  <c r="Q27" i="9"/>
  <c r="P27" i="9"/>
  <c r="O27" i="9"/>
  <c r="N27" i="9"/>
  <c r="M27" i="9"/>
  <c r="L27" i="9"/>
  <c r="K27" i="9"/>
  <c r="J27" i="9"/>
  <c r="I27" i="9"/>
  <c r="H27" i="9"/>
  <c r="G27" i="9"/>
  <c r="F27" i="9"/>
  <c r="E27" i="9"/>
  <c r="D27" i="9"/>
  <c r="C27" i="9"/>
  <c r="B27" i="9"/>
  <c r="A27" i="9"/>
  <c r="T26" i="9"/>
  <c r="S26" i="9"/>
  <c r="R26" i="9"/>
  <c r="Q26" i="9"/>
  <c r="P26" i="9"/>
  <c r="O26" i="9"/>
  <c r="N26" i="9"/>
  <c r="M26" i="9"/>
  <c r="L26" i="9"/>
  <c r="K26" i="9"/>
  <c r="J26" i="9"/>
  <c r="I26" i="9"/>
  <c r="H26" i="9"/>
  <c r="G26" i="9"/>
  <c r="F26" i="9"/>
  <c r="E26" i="9"/>
  <c r="D26" i="9"/>
  <c r="C26" i="9"/>
  <c r="B26" i="9"/>
  <c r="A26" i="9"/>
  <c r="T25" i="9"/>
  <c r="S25" i="9"/>
  <c r="R25" i="9"/>
  <c r="Q25" i="9"/>
  <c r="P25" i="9"/>
  <c r="O25" i="9"/>
  <c r="N25" i="9"/>
  <c r="M25" i="9"/>
  <c r="L25" i="9"/>
  <c r="K25" i="9"/>
  <c r="J25" i="9"/>
  <c r="I25" i="9"/>
  <c r="H25" i="9"/>
  <c r="G25" i="9"/>
  <c r="F25" i="9"/>
  <c r="E25" i="9"/>
  <c r="D25" i="9"/>
  <c r="C25" i="9"/>
  <c r="B25" i="9"/>
  <c r="A25" i="9"/>
  <c r="T24" i="9"/>
  <c r="S24" i="9"/>
  <c r="R24" i="9"/>
  <c r="Q24" i="9"/>
  <c r="P24" i="9"/>
  <c r="O24" i="9"/>
  <c r="N24" i="9"/>
  <c r="M24" i="9"/>
  <c r="L24" i="9"/>
  <c r="K24" i="9"/>
  <c r="J24" i="9"/>
  <c r="I24" i="9"/>
  <c r="H24" i="9"/>
  <c r="G24" i="9"/>
  <c r="F24" i="9"/>
  <c r="E24" i="9"/>
  <c r="D24" i="9"/>
  <c r="C24" i="9"/>
  <c r="B24" i="9"/>
  <c r="A24" i="9"/>
  <c r="T23" i="9"/>
  <c r="S23" i="9"/>
  <c r="R23" i="9"/>
  <c r="Q23" i="9"/>
  <c r="P23" i="9"/>
  <c r="O23" i="9"/>
  <c r="N23" i="9"/>
  <c r="M23" i="9"/>
  <c r="L23" i="9"/>
  <c r="K23" i="9"/>
  <c r="J23" i="9"/>
  <c r="I23" i="9"/>
  <c r="H23" i="9"/>
  <c r="G23" i="9"/>
  <c r="F23" i="9"/>
  <c r="E23" i="9"/>
  <c r="D23" i="9"/>
  <c r="C23" i="9"/>
  <c r="B23" i="9"/>
  <c r="A23" i="9"/>
  <c r="T22" i="9"/>
  <c r="S22" i="9"/>
  <c r="R22" i="9"/>
  <c r="Q22" i="9"/>
  <c r="P22" i="9"/>
  <c r="O22" i="9"/>
  <c r="N22" i="9"/>
  <c r="M22" i="9"/>
  <c r="L22" i="9"/>
  <c r="K22" i="9"/>
  <c r="J22" i="9"/>
  <c r="I22" i="9"/>
  <c r="H22" i="9"/>
  <c r="G22" i="9"/>
  <c r="F22" i="9"/>
  <c r="E22" i="9"/>
  <c r="D22" i="9"/>
  <c r="C22" i="9"/>
  <c r="B22" i="9"/>
  <c r="A22" i="9"/>
  <c r="T21" i="9"/>
  <c r="S21" i="9"/>
  <c r="R21" i="9"/>
  <c r="Q21" i="9"/>
  <c r="P21" i="9"/>
  <c r="O21" i="9"/>
  <c r="N21" i="9"/>
  <c r="M21" i="9"/>
  <c r="L21" i="9"/>
  <c r="K21" i="9"/>
  <c r="J21" i="9"/>
  <c r="I21" i="9"/>
  <c r="H21" i="9"/>
  <c r="G21" i="9"/>
  <c r="F21" i="9"/>
  <c r="E21" i="9"/>
  <c r="D21" i="9"/>
  <c r="C21" i="9"/>
  <c r="B21" i="9"/>
  <c r="A21" i="9"/>
  <c r="T20" i="9"/>
  <c r="S20" i="9"/>
  <c r="R20" i="9"/>
  <c r="Q20" i="9"/>
  <c r="P20" i="9"/>
  <c r="O20" i="9"/>
  <c r="N20" i="9"/>
  <c r="M20" i="9"/>
  <c r="L20" i="9"/>
  <c r="K20" i="9"/>
  <c r="J20" i="9"/>
  <c r="I20" i="9"/>
  <c r="H20" i="9"/>
  <c r="G20" i="9"/>
  <c r="F20" i="9"/>
  <c r="E20" i="9"/>
  <c r="D20" i="9"/>
  <c r="C20" i="9"/>
  <c r="B20" i="9"/>
  <c r="A20" i="9"/>
  <c r="T19" i="9"/>
  <c r="S19" i="9"/>
  <c r="R19" i="9"/>
  <c r="Q19" i="9"/>
  <c r="P19" i="9"/>
  <c r="O19" i="9"/>
  <c r="N19" i="9"/>
  <c r="M19" i="9"/>
  <c r="L19" i="9"/>
  <c r="K19" i="9"/>
  <c r="J19" i="9"/>
  <c r="I19" i="9"/>
  <c r="H19" i="9"/>
  <c r="G19" i="9"/>
  <c r="F19" i="9"/>
  <c r="E19" i="9"/>
  <c r="D19" i="9"/>
  <c r="C19" i="9"/>
  <c r="B19" i="9"/>
  <c r="A19" i="9"/>
  <c r="T18" i="9"/>
  <c r="S18" i="9"/>
  <c r="R18" i="9"/>
  <c r="Q18" i="9"/>
  <c r="P18" i="9"/>
  <c r="O18" i="9"/>
  <c r="N18" i="9"/>
  <c r="M18" i="9"/>
  <c r="L18" i="9"/>
  <c r="K18" i="9"/>
  <c r="J18" i="9"/>
  <c r="I18" i="9"/>
  <c r="H18" i="9"/>
  <c r="G18" i="9"/>
  <c r="F18" i="9"/>
  <c r="E18" i="9"/>
  <c r="D18" i="9"/>
  <c r="C18" i="9"/>
  <c r="B18" i="9"/>
  <c r="A18" i="9"/>
  <c r="T17" i="9"/>
  <c r="S17" i="9"/>
  <c r="R17" i="9"/>
  <c r="Q17" i="9"/>
  <c r="P17" i="9"/>
  <c r="O17" i="9"/>
  <c r="N17" i="9"/>
  <c r="M17" i="9"/>
  <c r="L17" i="9"/>
  <c r="K17" i="9"/>
  <c r="J17" i="9"/>
  <c r="I17" i="9"/>
  <c r="H17" i="9"/>
  <c r="G17" i="9"/>
  <c r="F17" i="9"/>
  <c r="E17" i="9"/>
  <c r="D17" i="9"/>
  <c r="C17" i="9"/>
  <c r="B17" i="9"/>
  <c r="A17" i="9"/>
  <c r="T16" i="9"/>
  <c r="S16" i="9"/>
  <c r="R16" i="9"/>
  <c r="Q16" i="9"/>
  <c r="P16" i="9"/>
  <c r="O16" i="9"/>
  <c r="N16" i="9"/>
  <c r="M16" i="9"/>
  <c r="L16" i="9"/>
  <c r="K16" i="9"/>
  <c r="J16" i="9"/>
  <c r="I16" i="9"/>
  <c r="H16" i="9"/>
  <c r="G16" i="9"/>
  <c r="F16" i="9"/>
  <c r="E16" i="9"/>
  <c r="D16" i="9"/>
  <c r="C16" i="9"/>
  <c r="B16" i="9"/>
  <c r="A16" i="9"/>
  <c r="T15" i="9"/>
  <c r="S15" i="9"/>
  <c r="R15" i="9"/>
  <c r="Q15" i="9"/>
  <c r="P15" i="9"/>
  <c r="O15" i="9"/>
  <c r="N15" i="9"/>
  <c r="M15" i="9"/>
  <c r="L15" i="9"/>
  <c r="K15" i="9"/>
  <c r="J15" i="9"/>
  <c r="I15" i="9"/>
  <c r="H15" i="9"/>
  <c r="G15" i="9"/>
  <c r="F15" i="9"/>
  <c r="E15" i="9"/>
  <c r="D15" i="9"/>
  <c r="C15" i="9"/>
  <c r="B15" i="9"/>
  <c r="A15" i="9"/>
  <c r="T14" i="9"/>
  <c r="S14" i="9"/>
  <c r="R14" i="9"/>
  <c r="Q14" i="9"/>
  <c r="P14" i="9"/>
  <c r="O14" i="9"/>
  <c r="N14" i="9"/>
  <c r="M14" i="9"/>
  <c r="L14" i="9"/>
  <c r="K14" i="9"/>
  <c r="J14" i="9"/>
  <c r="I14" i="9"/>
  <c r="H14" i="9"/>
  <c r="G14" i="9"/>
  <c r="F14" i="9"/>
  <c r="E14" i="9"/>
  <c r="D14" i="9"/>
  <c r="C14" i="9"/>
  <c r="B14" i="9"/>
  <c r="A14" i="9"/>
  <c r="T13" i="9"/>
  <c r="S13" i="9"/>
  <c r="R13" i="9"/>
  <c r="Q13" i="9"/>
  <c r="P13" i="9"/>
  <c r="O13" i="9"/>
  <c r="N13" i="9"/>
  <c r="M13" i="9"/>
  <c r="L13" i="9"/>
  <c r="K13" i="9"/>
  <c r="J13" i="9"/>
  <c r="I13" i="9"/>
  <c r="H13" i="9"/>
  <c r="G13" i="9"/>
  <c r="F13" i="9"/>
  <c r="E13" i="9"/>
  <c r="D13" i="9"/>
  <c r="C13" i="9"/>
  <c r="B13" i="9"/>
  <c r="A13" i="9"/>
  <c r="T12" i="9"/>
  <c r="S12" i="9"/>
  <c r="R12" i="9"/>
  <c r="Q12" i="9"/>
  <c r="P12" i="9"/>
  <c r="O12" i="9"/>
  <c r="N12" i="9"/>
  <c r="M12" i="9"/>
  <c r="L12" i="9"/>
  <c r="K12" i="9"/>
  <c r="J12" i="9"/>
  <c r="I12" i="9"/>
  <c r="H12" i="9"/>
  <c r="G12" i="9"/>
  <c r="F12" i="9"/>
  <c r="E12" i="9"/>
  <c r="D12" i="9"/>
  <c r="C12" i="9"/>
  <c r="B12" i="9"/>
  <c r="A12" i="9"/>
  <c r="T11" i="9"/>
  <c r="S11" i="9"/>
  <c r="R11" i="9"/>
  <c r="Q11" i="9"/>
  <c r="P11" i="9"/>
  <c r="O11" i="9"/>
  <c r="N11" i="9"/>
  <c r="M11" i="9"/>
  <c r="L11" i="9"/>
  <c r="K11" i="9"/>
  <c r="J11" i="9"/>
  <c r="I11" i="9"/>
  <c r="H11" i="9"/>
  <c r="G11" i="9"/>
  <c r="F11" i="9"/>
  <c r="E11" i="9"/>
  <c r="D11" i="9"/>
  <c r="C11" i="9"/>
  <c r="B11" i="9"/>
  <c r="A11" i="9"/>
  <c r="T10" i="9"/>
  <c r="S10" i="9"/>
  <c r="R10" i="9"/>
  <c r="Q10" i="9"/>
  <c r="P10" i="9"/>
  <c r="O10" i="9"/>
  <c r="N10" i="9"/>
  <c r="M10" i="9"/>
  <c r="L10" i="9"/>
  <c r="K10" i="9"/>
  <c r="J10" i="9"/>
  <c r="I10" i="9"/>
  <c r="H10" i="9"/>
  <c r="G10" i="9"/>
  <c r="F10" i="9"/>
  <c r="E10" i="9"/>
  <c r="D10" i="9"/>
  <c r="C10" i="9"/>
  <c r="B10" i="9"/>
  <c r="A10" i="9"/>
  <c r="T9" i="9"/>
  <c r="S9" i="9"/>
  <c r="R9" i="9"/>
  <c r="Q9" i="9"/>
  <c r="P9" i="9"/>
  <c r="O9" i="9"/>
  <c r="N9" i="9"/>
  <c r="M9" i="9"/>
  <c r="L9" i="9"/>
  <c r="K9" i="9"/>
  <c r="J9" i="9"/>
  <c r="I9" i="9"/>
  <c r="H9" i="9"/>
  <c r="G9" i="9"/>
  <c r="F9" i="9"/>
  <c r="E9" i="9"/>
  <c r="D9" i="9"/>
  <c r="C9" i="9"/>
  <c r="B9" i="9"/>
  <c r="A9" i="9"/>
  <c r="T8" i="9"/>
  <c r="S8" i="9"/>
  <c r="R8" i="9"/>
  <c r="Q8" i="9"/>
  <c r="P8" i="9"/>
  <c r="O8" i="9"/>
  <c r="N8" i="9"/>
  <c r="M8" i="9"/>
  <c r="L8" i="9"/>
  <c r="K8" i="9"/>
  <c r="J8" i="9"/>
  <c r="I8" i="9"/>
  <c r="H8" i="9"/>
  <c r="G8" i="9"/>
  <c r="F8" i="9"/>
  <c r="E8" i="9"/>
  <c r="D8" i="9"/>
  <c r="C8" i="9"/>
  <c r="B8" i="9"/>
  <c r="A8" i="9"/>
  <c r="T7" i="9"/>
  <c r="S7" i="9"/>
  <c r="R7" i="9"/>
  <c r="Q7" i="9"/>
  <c r="P7" i="9"/>
  <c r="O7" i="9"/>
  <c r="N7" i="9"/>
  <c r="M7" i="9"/>
  <c r="L7" i="9"/>
  <c r="K7" i="9"/>
  <c r="J7" i="9"/>
  <c r="I7" i="9"/>
  <c r="H7" i="9"/>
  <c r="G7" i="9"/>
  <c r="F7" i="9"/>
  <c r="E7" i="9"/>
  <c r="D7" i="9"/>
  <c r="C7" i="9"/>
  <c r="B7" i="9"/>
  <c r="A7" i="9"/>
  <c r="H6" i="9"/>
  <c r="G6" i="9"/>
  <c r="C6" i="9"/>
  <c r="T5" i="9"/>
  <c r="S5" i="9"/>
  <c r="R5" i="9"/>
  <c r="Q5" i="9"/>
  <c r="P5" i="9"/>
  <c r="O5" i="9"/>
  <c r="N5" i="9"/>
  <c r="M5" i="9"/>
  <c r="L5" i="9"/>
  <c r="K5" i="9"/>
  <c r="J5" i="9"/>
  <c r="I5" i="9"/>
  <c r="H5" i="9"/>
  <c r="G5" i="9"/>
  <c r="F5" i="9"/>
  <c r="E5" i="9"/>
  <c r="D5" i="9"/>
  <c r="C5" i="9"/>
  <c r="B5" i="9"/>
  <c r="A5" i="9"/>
  <c r="T4" i="9"/>
  <c r="S4" i="9"/>
  <c r="R4" i="9"/>
  <c r="Q4" i="9"/>
  <c r="P4" i="9"/>
  <c r="O4" i="9"/>
  <c r="N4" i="9"/>
  <c r="M4" i="9"/>
  <c r="L4" i="9"/>
  <c r="K4" i="9"/>
  <c r="J4" i="9"/>
  <c r="I4" i="9"/>
  <c r="H4" i="9"/>
  <c r="G4" i="9"/>
  <c r="F4" i="9"/>
  <c r="E4" i="9"/>
  <c r="D4" i="9"/>
  <c r="C4" i="9"/>
  <c r="B4" i="9"/>
  <c r="A4" i="9"/>
  <c r="T3" i="9"/>
  <c r="S3" i="9"/>
  <c r="R3" i="9"/>
  <c r="Q3" i="9"/>
  <c r="P3" i="9"/>
  <c r="O3" i="9"/>
  <c r="N3" i="9"/>
  <c r="M3" i="9"/>
  <c r="L3" i="9"/>
  <c r="K3" i="9"/>
  <c r="J3" i="9"/>
  <c r="I3" i="9"/>
  <c r="H3" i="9"/>
  <c r="G3" i="9"/>
  <c r="F3" i="9"/>
  <c r="E3" i="9"/>
  <c r="D3" i="9"/>
  <c r="C3" i="9"/>
  <c r="B3" i="9"/>
  <c r="A3" i="9"/>
  <c r="T2" i="9"/>
  <c r="S2" i="9"/>
  <c r="R2" i="9"/>
  <c r="Q2" i="9"/>
  <c r="P2" i="9"/>
  <c r="O2" i="9"/>
  <c r="N2" i="9"/>
  <c r="M2" i="9"/>
  <c r="L2" i="9"/>
  <c r="K2" i="9"/>
  <c r="J2" i="9"/>
  <c r="I2" i="9"/>
  <c r="H2" i="9"/>
  <c r="G2" i="9"/>
  <c r="F2" i="9"/>
  <c r="E2" i="9"/>
  <c r="D2" i="9"/>
  <c r="C2" i="9"/>
  <c r="B2" i="9"/>
  <c r="A2" i="9"/>
  <c r="T1" i="9"/>
  <c r="S1" i="9"/>
  <c r="R1" i="9"/>
  <c r="Q1" i="9"/>
  <c r="P1" i="9"/>
  <c r="O1" i="9"/>
  <c r="N1" i="9"/>
  <c r="M1" i="9"/>
  <c r="L1" i="9"/>
  <c r="K1" i="9"/>
  <c r="J1" i="9"/>
  <c r="I1" i="9"/>
  <c r="H1" i="9"/>
  <c r="G1" i="9"/>
  <c r="F1" i="9"/>
  <c r="E1" i="9"/>
  <c r="D1" i="9"/>
  <c r="C1" i="9"/>
  <c r="B1" i="9"/>
  <c r="A1" i="9"/>
  <c r="N6" i="4" a="1"/>
  <c r="N6" i="4" s="1"/>
  <c r="M6" i="4" a="1"/>
  <c r="M6" i="4" s="1"/>
  <c r="N4" i="4" a="1"/>
  <c r="N4" i="4" s="1"/>
  <c r="M4" i="4" a="1"/>
  <c r="M4" i="4" s="1"/>
  <c r="AO8" i="2" a="1"/>
  <c r="AO8" i="2" s="1"/>
  <c r="AI8" i="2" a="1"/>
  <c r="AI8" i="2" s="1"/>
  <c r="AH8" i="2" a="1"/>
  <c r="AH8" i="2" s="1"/>
  <c r="AE8" i="2" a="1"/>
  <c r="AE8" i="2" s="1"/>
  <c r="AD8" i="2" a="1"/>
  <c r="AD8" i="2" s="1"/>
  <c r="AB8" i="2" a="1"/>
  <c r="AB8" i="2" s="1"/>
  <c r="AA8" i="2" a="1"/>
  <c r="AA8" i="2" s="1"/>
  <c r="Z8" i="2" a="1"/>
  <c r="Z8" i="2" s="1"/>
  <c r="Y8" i="2" a="1"/>
  <c r="Y8" i="2" s="1"/>
  <c r="V8" i="2" a="1"/>
  <c r="V8" i="2" s="1"/>
  <c r="AO7" i="2" a="1"/>
  <c r="AO7" i="2" s="1"/>
  <c r="AK7" i="2"/>
  <c r="AI7" i="2" a="1"/>
  <c r="AI7" i="2" s="1"/>
  <c r="AH7" i="2" a="1"/>
  <c r="AH7" i="2" s="1"/>
  <c r="AE7" i="2" a="1"/>
  <c r="AE7" i="2" s="1"/>
  <c r="AD7" i="2" a="1"/>
  <c r="AD7" i="2" s="1"/>
  <c r="AB7" i="2" a="1"/>
  <c r="AB7" i="2" s="1"/>
  <c r="AA7" i="2" a="1"/>
  <c r="AA7" i="2" s="1"/>
  <c r="Z7" i="2" a="1"/>
  <c r="Z7" i="2" s="1"/>
  <c r="Y7" i="2" a="1"/>
  <c r="Y7" i="2" s="1"/>
  <c r="V7" i="2" a="1"/>
  <c r="V7" i="2" s="1"/>
  <c r="AO6" i="2" a="1"/>
  <c r="AO6" i="2" s="1"/>
  <c r="AI6" i="2" a="1"/>
  <c r="AI6" i="2" s="1"/>
  <c r="AH6" i="2" a="1"/>
  <c r="AH6" i="2" s="1"/>
  <c r="AE6" i="2" a="1"/>
  <c r="AE6" i="2" s="1"/>
  <c r="AD6" i="2" a="1"/>
  <c r="AD6" i="2" s="1"/>
  <c r="AB6" i="2" a="1"/>
  <c r="AB6" i="2" s="1"/>
  <c r="AA6" i="2" a="1"/>
  <c r="AA6" i="2" s="1"/>
  <c r="Z6" i="2" a="1"/>
  <c r="Z6" i="2" s="1"/>
  <c r="Y6" i="2" a="1"/>
  <c r="Y6" i="2" s="1"/>
  <c r="V6" i="2" a="1"/>
  <c r="V6" i="2" s="1"/>
  <c r="AO5" i="2" a="1"/>
  <c r="AO5" i="2" s="1"/>
  <c r="AK5" i="2"/>
  <c r="AI5" i="2" a="1"/>
  <c r="AI5" i="2" s="1"/>
  <c r="AH5" i="2" a="1"/>
  <c r="AH5" i="2" s="1"/>
  <c r="AE5" i="2" a="1"/>
  <c r="AE5" i="2" s="1"/>
  <c r="AD5" i="2" a="1"/>
  <c r="AD5" i="2" s="1"/>
  <c r="AB5" i="2" a="1"/>
  <c r="AB5" i="2" s="1"/>
  <c r="AA5" i="2" a="1"/>
  <c r="AA5" i="2" s="1"/>
  <c r="Z5" i="2" a="1"/>
  <c r="Z5" i="2" s="1"/>
  <c r="Y5" i="2" a="1"/>
  <c r="Y5" i="2" s="1"/>
  <c r="V5" i="2" a="1"/>
  <c r="V5" i="2" s="1"/>
  <c r="AO4" i="2" a="1"/>
  <c r="AO4" i="2" s="1"/>
  <c r="AK4" i="2"/>
  <c r="AI4" i="2" a="1"/>
  <c r="AI4" i="2" s="1"/>
  <c r="AH4" i="2" a="1"/>
  <c r="AH4" i="2" s="1"/>
  <c r="AE4" i="2" a="1"/>
  <c r="AE4" i="2" s="1"/>
  <c r="AD4" i="2" a="1"/>
  <c r="AD4" i="2" s="1"/>
  <c r="AB4" i="2" a="1"/>
  <c r="AB4" i="2" s="1"/>
  <c r="AA4" i="2" a="1"/>
  <c r="AA4" i="2" s="1"/>
  <c r="Z4" i="2" a="1"/>
  <c r="Z4" i="2" s="1"/>
  <c r="Y4" i="2" a="1"/>
  <c r="Y4" i="2" s="1"/>
  <c r="V4" i="2" a="1"/>
  <c r="V4" i="2" s="1"/>
  <c r="AO3" i="2" a="1"/>
  <c r="AO3" i="2" s="1"/>
  <c r="AI3" i="2" a="1"/>
  <c r="AI3" i="2" s="1"/>
  <c r="AH3" i="2" a="1"/>
  <c r="AH3" i="2" s="1"/>
  <c r="AE3" i="2" a="1"/>
  <c r="AE3" i="2" s="1"/>
  <c r="AD3" i="2" a="1"/>
  <c r="AD3" i="2" s="1"/>
  <c r="AB3" i="2" a="1"/>
  <c r="AB3" i="2" s="1"/>
  <c r="AA3" i="2" a="1"/>
  <c r="AA3" i="2" s="1"/>
  <c r="Z3" i="2" a="1"/>
  <c r="Z3" i="2" s="1"/>
  <c r="Y3" i="2" a="1"/>
  <c r="Y3" i="2" s="1"/>
  <c r="V3" i="2" a="1"/>
  <c r="V3" i="2" s="1"/>
  <c r="AO2" i="2" a="1"/>
  <c r="AO2" i="2" s="1"/>
  <c r="AI2" i="2" a="1"/>
  <c r="AI2" i="2" s="1"/>
  <c r="AH2" i="2" a="1"/>
  <c r="AH2" i="2" s="1"/>
  <c r="AE2" i="2" a="1"/>
  <c r="AE2" i="2" s="1"/>
  <c r="AD2" i="2" a="1"/>
  <c r="AD2" i="2" s="1"/>
  <c r="AB2" i="2" a="1"/>
  <c r="AB2" i="2" s="1"/>
  <c r="AA2" i="2" a="1"/>
  <c r="AA2" i="2" s="1"/>
  <c r="Z2" i="2" a="1"/>
  <c r="Z2" i="2" s="1"/>
  <c r="Y2" i="2" a="1"/>
  <c r="Y2" i="2" s="1"/>
  <c r="AI8" i="1" a="1"/>
  <c r="AI8" i="1" s="1"/>
  <c r="AH8" i="1" a="1"/>
  <c r="AH8" i="1" s="1"/>
  <c r="AE8" i="1" a="1"/>
  <c r="AE8" i="1" s="1"/>
  <c r="AD8" i="1" a="1"/>
  <c r="AD8" i="1" s="1"/>
  <c r="AB8" i="1" a="1"/>
  <c r="AB8" i="1" s="1"/>
  <c r="AA8" i="1" a="1"/>
  <c r="AA8" i="1" s="1"/>
  <c r="Z8" i="1" a="1"/>
  <c r="Z8" i="1" s="1"/>
  <c r="Y8" i="1" a="1"/>
  <c r="Y8" i="1" s="1"/>
  <c r="X8" i="1" a="1"/>
  <c r="X8" i="1" s="1"/>
  <c r="W8" i="1" a="1"/>
  <c r="W8" i="1" s="1"/>
  <c r="V8" i="1" a="1"/>
  <c r="V8" i="1" s="1"/>
  <c r="AI7" i="1" a="1"/>
  <c r="AI7" i="1" s="1"/>
  <c r="AH7" i="1" a="1"/>
  <c r="AH7" i="1" s="1"/>
  <c r="AE7" i="1" a="1"/>
  <c r="AE7" i="1" s="1"/>
  <c r="AD7" i="1" a="1"/>
  <c r="AD7" i="1" s="1"/>
  <c r="AB7" i="1" a="1"/>
  <c r="AB7" i="1" s="1"/>
  <c r="AA7" i="1" a="1"/>
  <c r="AA7" i="1" s="1"/>
  <c r="Z7" i="1" a="1"/>
  <c r="Z7" i="1" s="1"/>
  <c r="Y7" i="1" a="1"/>
  <c r="Y7" i="1" s="1"/>
  <c r="X7" i="1" a="1"/>
  <c r="X7" i="1" s="1"/>
  <c r="W7" i="1" a="1"/>
  <c r="W7" i="1" s="1"/>
  <c r="V7" i="1" a="1"/>
  <c r="V7" i="1" s="1"/>
  <c r="AI6" i="1" a="1"/>
  <c r="AI6" i="1" s="1"/>
  <c r="AH6" i="1" a="1"/>
  <c r="AH6" i="1" s="1"/>
  <c r="AE6" i="1" a="1"/>
  <c r="AE6" i="1" s="1"/>
  <c r="AD6" i="1" a="1"/>
  <c r="AD6" i="1" s="1"/>
  <c r="AB6" i="1" a="1"/>
  <c r="AB6" i="1" s="1"/>
  <c r="AA6" i="1" a="1"/>
  <c r="AA6" i="1" s="1"/>
  <c r="Z6" i="1" a="1"/>
  <c r="Z6" i="1" s="1"/>
  <c r="Y6" i="1" a="1"/>
  <c r="Y6" i="1" s="1"/>
  <c r="X6" i="1" a="1"/>
  <c r="X6" i="1" s="1"/>
  <c r="W6" i="1" a="1"/>
  <c r="W6" i="1" s="1"/>
  <c r="V6" i="1" a="1"/>
  <c r="V6" i="1" s="1"/>
  <c r="AI5" i="1" a="1"/>
  <c r="AI5" i="1" s="1"/>
  <c r="AH5" i="1" a="1"/>
  <c r="AH5" i="1" s="1"/>
  <c r="AF5" i="1" a="1"/>
  <c r="AF5" i="1" s="1"/>
  <c r="AE5" i="1" a="1"/>
  <c r="AE5" i="1" s="1"/>
  <c r="AD5" i="1" a="1"/>
  <c r="AD5" i="1" s="1"/>
  <c r="AB5" i="1" a="1"/>
  <c r="AB5" i="1" s="1"/>
  <c r="AA5" i="1" a="1"/>
  <c r="AA5" i="1" s="1"/>
  <c r="Z5" i="1" a="1"/>
  <c r="Z5" i="1" s="1"/>
  <c r="Y5" i="1" a="1"/>
  <c r="Y5" i="1" s="1"/>
  <c r="X5" i="1" a="1"/>
  <c r="X5" i="1" s="1"/>
  <c r="W5" i="1" a="1"/>
  <c r="W5" i="1" s="1"/>
  <c r="V5" i="1" a="1"/>
  <c r="V5" i="1" s="1"/>
  <c r="AI4" i="1" a="1"/>
  <c r="AI4" i="1" s="1"/>
  <c r="AH4" i="1" a="1"/>
  <c r="AH4" i="1" s="1"/>
  <c r="AF4" i="1" a="1"/>
  <c r="AF4" i="1" s="1"/>
  <c r="AE4" i="1" a="1"/>
  <c r="AE4" i="1" s="1"/>
  <c r="AD4" i="1" a="1"/>
  <c r="AD4" i="1" s="1"/>
  <c r="AB4" i="1" a="1"/>
  <c r="AB4" i="1" s="1"/>
  <c r="AA4" i="1" a="1"/>
  <c r="AA4" i="1" s="1"/>
  <c r="Z4" i="1" a="1"/>
  <c r="Z4" i="1" s="1"/>
  <c r="Y4" i="1" a="1"/>
  <c r="Y4" i="1" s="1"/>
  <c r="X4" i="1" a="1"/>
  <c r="X4" i="1" s="1"/>
  <c r="W4" i="1" a="1"/>
  <c r="W4" i="1" s="1"/>
  <c r="V4" i="1" a="1"/>
  <c r="V4" i="1" s="1"/>
  <c r="AI3" i="1" a="1"/>
  <c r="AI3" i="1" s="1"/>
  <c r="AH3" i="1" a="1"/>
  <c r="AH3" i="1" s="1"/>
  <c r="AF3" i="1" a="1"/>
  <c r="AF3" i="1" s="1"/>
  <c r="AE3" i="1" a="1"/>
  <c r="AE3" i="1" s="1"/>
  <c r="AD3" i="1" a="1"/>
  <c r="AD3" i="1" s="1"/>
  <c r="AB3" i="1" a="1"/>
  <c r="AB3" i="1" s="1"/>
  <c r="AA3" i="1" a="1"/>
  <c r="AA3" i="1" s="1"/>
  <c r="Z3" i="1" a="1"/>
  <c r="Z3" i="1" s="1"/>
  <c r="Y3" i="1" a="1"/>
  <c r="Y3" i="1" s="1"/>
  <c r="X3" i="1" a="1"/>
  <c r="X3" i="1" s="1"/>
  <c r="W3" i="1" a="1"/>
  <c r="W3" i="1" s="1"/>
  <c r="V3" i="1" a="1"/>
  <c r="V3" i="1" s="1"/>
  <c r="AI2" i="1" a="1"/>
  <c r="AI2" i="1" s="1"/>
  <c r="AH2" i="1" a="1"/>
  <c r="AH2" i="1" s="1"/>
  <c r="AE2" i="1" a="1"/>
  <c r="AE2" i="1" s="1"/>
  <c r="AD2" i="1" a="1"/>
  <c r="AD2" i="1" s="1"/>
  <c r="AB2" i="1" a="1"/>
  <c r="AB2" i="1" s="1"/>
  <c r="AA2" i="1" a="1"/>
  <c r="AA2" i="1" s="1"/>
  <c r="Z2" i="1" a="1"/>
  <c r="Z2" i="1" s="1"/>
  <c r="Y2" i="1" a="1"/>
  <c r="Y2" i="1" s="1"/>
  <c r="X2" i="1" a="1"/>
  <c r="X2" i="1" s="1"/>
  <c r="W2" i="1" a="1"/>
  <c r="W2" i="1" s="1"/>
  <c r="V2" i="1" a="1"/>
  <c r="V2" i="1" s="1"/>
</calcChain>
</file>

<file path=xl/sharedStrings.xml><?xml version="1.0" encoding="utf-8"?>
<sst xmlns="http://schemas.openxmlformats.org/spreadsheetml/2006/main" count="982" uniqueCount="681">
  <si>
    <t>FiscalYear</t>
  </si>
  <si>
    <t>StartPublishYear</t>
  </si>
  <si>
    <t>StartMonthCode</t>
  </si>
  <si>
    <t>DOI</t>
  </si>
  <si>
    <t>ISSN</t>
  </si>
  <si>
    <t>SourceName</t>
  </si>
  <si>
    <t>Volume</t>
  </si>
  <si>
    <t>Issue</t>
  </si>
  <si>
    <t>StartPage</t>
  </si>
  <si>
    <t>EndPage</t>
  </si>
  <si>
    <t>PublishID (STG_Publication)</t>
  </si>
  <si>
    <t>Output_ENTH</t>
  </si>
  <si>
    <t>AbstractEN</t>
  </si>
  <si>
    <t>PublishClass</t>
  </si>
  <si>
    <t>seq</t>
  </si>
  <si>
    <t>ResearcherCode</t>
  </si>
  <si>
    <t xml:space="preserve">  StaffName</t>
  </si>
  <si>
    <t>Department</t>
  </si>
  <si>
    <t>FacultyID (STG_Faculty)</t>
  </si>
  <si>
    <t>SectionID</t>
  </si>
  <si>
    <t>SectionName</t>
  </si>
  <si>
    <t>ShortName</t>
  </si>
  <si>
    <t>ThName</t>
  </si>
  <si>
    <t>ThSurName</t>
  </si>
  <si>
    <t>FirstNameEng</t>
  </si>
  <si>
    <t>SurNameEng</t>
  </si>
  <si>
    <t>Q_SJR 2022</t>
  </si>
  <si>
    <t>Q_SJR SNA</t>
  </si>
  <si>
    <t>SectionName.VET</t>
  </si>
  <si>
    <t>Impacfactor</t>
  </si>
  <si>
    <t>Species</t>
  </si>
  <si>
    <t>Position</t>
  </si>
  <si>
    <t>Department_VETKU</t>
  </si>
  <si>
    <t>Scopus</t>
  </si>
  <si>
    <t>Country</t>
  </si>
  <si>
    <t>Journal</t>
  </si>
  <si>
    <t>Name</t>
  </si>
  <si>
    <t>Level Inter</t>
  </si>
  <si>
    <t>Level Nation</t>
  </si>
  <si>
    <t>-</t>
  </si>
  <si>
    <t>Asian-Australasian Journal of Animal Sciences</t>
  </si>
  <si>
    <t>Genetic diversity and population structure in native chicken populations from Myanmar, Thailand and Laos by using 102 indels markers</t>
  </si>
  <si>
    <t>The genetic diversity of native chicken populations from Myanmar, Thailand, and Laos was examined by using 102 insertion and/or deletion (indels) markers. Most of the indels loci were polymorphic (71% to 96%), and the genetic variability was similar in all populations. The average observed heterozygosities (HO) and expected heterozygosities (HE) ranged from 0.205 to 0.263 and 0.239 to 0.381, respectively. The coefficients of genetic differentiation ( Gst) for all cumulated populations was 0.125, and the Thai native chickens showed higher Gst (0.088) than Myanmar (0.041) and Laotian (0.024) populations. The pairwise Fst distances ranged from 0.144 to 0.308 among populations. A neighbor-joining (NJ) tree, using Nei's genetic distance, revealed that Thai and Laotian native chicken populations were genetically close, while Myanmar native chickens were distant from the others. The native chickens from these three countries were thought to be descended from three different origins ( K = 3) from STRUCTURE analysis.</t>
  </si>
  <si>
    <t>International</t>
  </si>
  <si>
    <t>Maw, A.A.</t>
  </si>
  <si>
    <t>ภาควิชากายวิภาคศาสตร์</t>
  </si>
  <si>
    <t>คณะสัตวแพทยศาสตร์</t>
  </si>
  <si>
    <t>Okamoto, S.</t>
  </si>
  <si>
    <t>10.1186/s12917-015-0321-0</t>
  </si>
  <si>
    <t>BMC Veterinary Research</t>
  </si>
  <si>
    <t>Stability of 3-bromotyrosine in serum and serum 3-bromotyrosine concentrations in dogs with gastrointestinal diseases</t>
  </si>
  <si>
    <t>Background
 3-Bromotyrosine (3-BrY) is a stable product of eosinophil peroxidase and may serve as a marker of eosinophil activation. A gas chromatography/mass spectrometry method to measure 3-BrY concentrations in serum from dogs has recently been established and analytically validated. The aims of this study were to determine the stability of 3-BrY in serum, to determine the association between peripheral eosinophil counts and the presence of an eosinophilic infiltrate in the gastrointestinal tract, and to compare serum 3-BrY concentrations in healthy dogs (n?=?52) and dogs with eosinophilic gastroenteritis (EGE; n?=?27), lymphocytic-plasmacytic enteritis (LPE; n?=?25), exocrine pancreatic insufficiency (EPI; n?=?26), or pancreatitis (n?=?27).
 Results
 Serum 3-BrY concentrations were stable for up to 8, 30, and 180 days at 4?C, ?20?C, and ?80?C, respectively. There was no significant association between peripheral eosinophil count and the presence of eosinophils in the GI tissues (P?=?0.1733). Serum 3-BrY con</t>
  </si>
  <si>
    <t>รศ.ดร.พันพิชา สัตถาสาธุชนะ</t>
  </si>
  <si>
    <t>คณะสัตวแพทยศาสตร์ บางเขน ภาควิชาเวชศาสตร์คลินิกสัตว์เลี้ยง</t>
  </si>
  <si>
    <t>ภาควิชาเวชศาสตร์คลีนิคสัตว์เลี้ยง</t>
  </si>
  <si>
    <t>Viruses</t>
  </si>
  <si>
    <t>Cell penetrable human scFv specific to middle domain of matrix protein-1 protects mice from lethal influenza</t>
  </si>
  <si>
    <t>A new anti-influenza remedy that can tolerate the virus antigenic variation is needed. Influenza virus matrix protein-1 (M1) is highly conserved and pivotal for the virus replication cycle: virus uncoating, assembly and budding. An agent that blocks the M1 functions should be an effective anti-influenza agent. In this study, human scFv that bound to recombinant M1 middle domain (MD) and native M1 of A/H5N1 was produced. Phage mimotope search and computerized molecular docking revealed that the scFv bound to the MD conformational epitope formed by juxtaposed helices 7 and 9 of the M1. The scFv was linked molecularly to a cell penetrable peptide, penetratin (PEN). The PEN-scFv (transbody), when used to treat the cells pre-infected with the heterologous clade/subclade A/H5N1 reduced the viral mRNA intracellularly and in the cell culture fluids. The transbody mitigated symptom severity and lung histopathology of the H5N1 infected mice and caused reduction of virus antigen in the tissues as well as extricated the</t>
  </si>
  <si>
    <t>ภาควิชาเวชศาสตร์และทรัพยากรการผลิตสัตว์</t>
  </si>
  <si>
    <t>ผศ.ดร.ปรีดา เลิศวัชระสารกุล</t>
  </si>
  <si>
    <t>"-"</t>
  </si>
  <si>
    <t>Thai Journal of Veterinary Medicine</t>
  </si>
  <si>
    <t>Effects of immunization against gonadotropin releasing hormone on reproductive functions in male rusa deer (Rusa timorensis)</t>
  </si>
  <si>
    <t>We performed an evaluation of the effect of gonadotropin releasing hormone (GnRH) vaccine on male rusa deer reproductive function. Mature male rusa deer (Rusa timorensis) were divided into two groups: untreated group (n=3) and treated group (n=7). The treated rusa deer were administered with two ml of the GnRH-protein conjugate vaccine (Improvac?; 200 ?g/ml). The vaccine was injected subcutaneously into the treated group three times at four- week intervals (April, May and June) and an additional single dose booster was given after a decrease in GnRH antibody levels was detected (October). Blood testosterone concentrations and GnRH antibody titer were determined before the vaccination. Following that, a series of blood collection and evaluation was done for one year. In addition, we conducted a series of semen collection and evaluation, testicular size measurement and antler development recording in all deer for one year. Our results indicated that the level of GnRH antibody significantly increased (p&lt;0.05) co</t>
  </si>
  <si>
    <t>รศ.ดร.นิกร ทองทิพย์</t>
  </si>
  <si>
    <t>คณะสัตวแพทยศาสตร์ บางเขน ภาควิชาเวชศาสตร์คลีนิคสัตว์ใหญ่และสัตว์ป่า</t>
  </si>
  <si>
    <t>ภาควิชาเวชศาสตร์คลีนิคสัตว์ใหญ่และสัตว์ป่า</t>
  </si>
  <si>
    <t>Bangkok Medical Journal</t>
  </si>
  <si>
    <t>'-"</t>
  </si>
  <si>
    <t>วารสารสัตวแพทย์</t>
  </si>
  <si>
    <t>KKU Veterinary Journal</t>
  </si>
  <si>
    <t>10.1111/jvp.12145</t>
  </si>
  <si>
    <t>Journal of Veterinary Pharmacology and Therapeutics</t>
  </si>
  <si>
    <t>Toxicokinetics and absolute oral bioavailability of melamine in broiler chickens</t>
  </si>
  <si>
    <t>The objective of this study was to investigate the toxicokinetic characteristics of melamine in broilers due to the limited information available for livestock. Melamine was then administered to broiler chickens at an intravenous (i.v.) or oral (p.o.) dosage of 5.5mg/kg of body weight, and plasma samples were collected up to 48h. The concentration of melamine in each plasma sample was analyzed using liquid chromatography-tandem mass spectrometry (LC-MS/MS). Melamine was measurable up to 24h after i.v. and p.o. administration. A one-compartment model was developed to describe the toxicokinetics of melamine in broilers. Following i.v. administration, the values for the elimination half-life (t(1/2)), the volume of distribution (V-d), and the clearance (CL) were 4.42 +/- 1.02h, 00.52 +/- 0.18L/kg, and 0.08 +/- 0.01L/h/kg, respectively. The absolute oral bioavailability (F) was 95.63 +/- 3.54%. The results suggest that most of the administered melamine is favorably absorbed from the alimentary tract and rapidly c</t>
  </si>
  <si>
    <t>รศ.ดร.ศรัญญา พัวพลเทพ</t>
  </si>
  <si>
    <t>คณะสัตวแพทยศาสตร์ บางเขน ภาควิชาเภสัชวิทยา</t>
  </si>
  <si>
    <t>ภาควิชาเภสัชวิทยา</t>
  </si>
  <si>
    <t>JOURNAL OF VETERINARY PHARMACOLOGY AND THERAPEUTICS</t>
  </si>
  <si>
    <t>คณะเทคนิคการสัตวแพทย์ ภาควิชาเทคนิคการสัตวแพทย์</t>
  </si>
  <si>
    <t>รศ.ดร.อำนาจ พัวพลเทพ</t>
  </si>
  <si>
    <t>วารสารอายุรศาสตร์เขตร้อนและปาราสิตวิทยา</t>
  </si>
  <si>
    <t>Molecular cloning and expression of the ferritingene from midgut and salivary glands ofbrown dog ticks (Rhipicephalus sanguineus) in Thailand</t>
  </si>
  <si>
    <t>อ.ดร.ศราวรรณ แก้วมงคล(ธนศิลป์)</t>
  </si>
  <si>
    <t>ภาควิชาการพยาบาลทางสัตวแพทย์</t>
  </si>
  <si>
    <t>รศ.ดร.สถาพร จิตตปาลพงศ์</t>
  </si>
  <si>
    <t>คณะสัตวแพทยศาสตร์ บางเขน ภาควิชาปรสิตวิทยา</t>
  </si>
  <si>
    <t>สำนักงานเลขานุการ</t>
  </si>
  <si>
    <t>doi:10.1016/j.toxrep.2014.12.011</t>
  </si>
  <si>
    <t>Toxicology Reports</t>
  </si>
  <si>
    <t>Dispositions and tissue residue of zearalenone and its metabolites ?-zearalenol and ?-zearalenol in broilers</t>
  </si>
  <si>
    <t>Zearalenone (ZEA), is a secondary fungal metabolite produced mainly by a Fusarium graminearum. To clarify the toxicokinetics, and residues of ZEA and its major metabolites ?-zearalenol (?-ZOL) and ?-zearalenol (?-ZOL) in chickens, ZEA was then administered intravenously (iv) or orally (po) to broiler chickens at a dosage of 1.2 mg/kg body weight. The concentrations of ZEA, ?-ZOL and ?-ZOL in the plasma and various tissues were quantified using LC-MS/MS. The plasma concentrations of ZEA were measurable up to 2 h after iv and po administration, and the concentrations of ?-ZOL and ?-ZOL were detected up to 4 h after both types of administration. A two-compartment model was developed to describe the toxicokinetic of ZEA in broilers. The values of t1/2? and Vd were 1.36 ? 0.29 h and 6.40 ? 0.89 l/kg, respectively. The absolute oral bioavailability was 29.66 ? 5.6%. ZEA, ?-ZOL and ?-ZOL were measurable in the vital organs after po administration. These results suggest that ZEA is absorbed from the gastrointestina</t>
  </si>
  <si>
    <t>กวินนาถ บูรณตระกูล</t>
  </si>
  <si>
    <t>นิสิตปริญญาโท</t>
  </si>
  <si>
    <t>10.1111/jsap.12248</t>
  </si>
  <si>
    <t>Journal of Small Animal Practice</t>
  </si>
  <si>
    <t>Extended proximal trochleoplasty for the correction of bidirectional patellar luxation in seven Pomeranian dogs</t>
  </si>
  <si>
    <t>Seven Pomeranians with bidirectional patellar luxation (BPL) were prospectively studied regarding aetiology and results of a new surgical technique. Radiographic evaluation of the ratio between patellar ligament length and patellar bone length revealed no differences between Pomeranians with bidirectional patellar luxation and healthy stifle joints. Functional rather than anatomic patella alta might be associated with bidirectional patellar luxation in Pomeranians. The surgical outcome of extended proximal trochleoplasty was good-to-excellent in 875% of the stifles and all dogs achieved functional recovery. There was only minimal radiographic progression of osteophyte formation at 48 weeks after surgery. To the authors' knowledge, this is the first report on bidirectional patellar luxation in small breed dogs and its successful surgical treatment.</t>
  </si>
  <si>
    <t>Wangdee, C.</t>
  </si>
  <si>
    <t>JOURNAL OF SMALL ANIMAL PRACTICE</t>
  </si>
  <si>
    <t>สัตวแพทย์มหานคร</t>
  </si>
  <si>
    <t>Detection of Methicillin-resistant Coagulase-positive Staphylococcus (MRCPS) Isolated from Dogs Hospitalized to Kasetsart Veterinary Teaching Hospital by Duplex PCR</t>
  </si>
  <si>
    <t>10.1111/vaa.12185</t>
  </si>
  <si>
    <t>Veterinary Anaesthesia and Analgesia</t>
  </si>
  <si>
    <t>Effects of continuous intravenous infusion of morphine and morphine-tramadol on the minimum alveolar concentration of sevoflurane and electroencephalographic entropy indices in dogs</t>
  </si>
  <si>
    <t>Objective To compare the effects of continuous rate infusions (CRIs) of intravenous (IV) morphine and morphine-tramadol on the minimum alveolar con- centration (MAC) of sevoflurane, and on electroen- cephalographic entropy indices in dogs.
 Design Prospective study.
 Animals Eight young, healthy German shepherds,
 weighing 26.3 ` 3.1 kg (mean ` SD).
 Methods Anaesthesia was induced and maintained with sevoflurane. A standard tail-clamp technique was used for MAC determination. Within one anaesthetic period, MAC was first determined during sevoflurane anaesthesia alone (MACB); then during morphine infusion (MACM), (loading dose 0.5 mg kg_x0003_1IM; CRI, 0.2 mg kg_x0003_1 hour_x0003_1) then finally during morphine-tramadol infusion (tramadol load- ing dose 1.5 mg kg_x0003_1IV; CRI, 2.6 mg kg_x0003_1 hour_x0003_1) (MACMT). At each change, periods of 45 minutes were allowed for equilibration. Stated entropy (SE), response entropy (RE), and RE-SE differences were measured five minutes prior to and during tail clamping.
 Results The MACB was 2.1 ` 0.3vol%</t>
  </si>
  <si>
    <t>Mahidol, C.</t>
  </si>
  <si>
    <t>Department of Companion Animal Clinical Sciences, Faculty of Veterinary Medicine, Kasetsart University, Kamphaeng Saen Campus</t>
  </si>
  <si>
    <t>ศ.ดร.อภินันท์ สุประเสริฐ</t>
  </si>
  <si>
    <t>คณะสัตวแพทยศาสตร์ บางเขน ภาควิชากายวิภาคศาสตร์</t>
  </si>
  <si>
    <t>1976555x</t>
  </si>
  <si>
    <t>Journal of Veterinary Science</t>
  </si>
  <si>
    <t>Normal Clinical Electroretinography Parameters for Poodle, Labrador Retriever, Thai Ridgeback, and Thai Bangkaew</t>
  </si>
  <si>
    <t>The purpose of the present study was to establish normal electroretinogram (ERG) parameters using 56 normal eyes of four dog breeds common in Thailand: poodle, Labrador retriever, Thai ridgeback, and Thai Bangkaew. Standard ERG findings were bilaterally recorded using a handheld multi-species ERG unit with an ERG-jet lens electrode for 28 dogs under preanesthesia with diazepam, anesthesia with propofol, and anesthesia maintenance with isoflurane. There were significant differences in the mean values of ERG amplitudes and implicit times among the four dog breeds (p&lt; 0.05) except for the b-wave implicit time of the photopic 30 Hz flicker response with 3 cd.s/m2 (p = 0.610). Out of the four breeds, Thai Bangkaew had the longest implicit time (p &lt; 0.001) of scotopic low intensity responses, b-wave of scotopic standard intensity responses (3 cd.s/m2 ), a-wave of the higher intensity response (10 cd.s/m2 ), and a-wave of the photopic single flash response (3 cd.s/m2 ). For the b/a ratio, only the ratio of the Cone</t>
  </si>
  <si>
    <t>เมทิตา สัสดี</t>
  </si>
  <si>
    <t>คณะสัตวแพทยศาสตร์ มเกษตรศาสตร์ บางเขน</t>
  </si>
  <si>
    <t>10.1007/s10493-015-9897-0</t>
  </si>
  <si>
    <t>Experimental and Applied Acarology</t>
  </si>
  <si>
    <t>Variation among Bm86 sequences in Rhipicephalus(Boophilus) microplus ticks collected from cattle across Thailand</t>
  </si>
  <si>
    <t>Anti-tick vaccines based on recombinant homologues Bm86 and Bm95 have
 become a more cost-effective and sustainable alternative to chemical pesticides commonly
 used to control the cattle tick, Rhipicephalus (Boophilus) microplus. However, Bm86
 polymorphism among geographically separate ticks is reportedly associated with reduced
 effectiveness of these vaccines. The purpose of this study was to investigate the variation
 of Bm86 among cattle ticks collected from Northern, Northeastern, Central and Southern
 areas across Thailand. Bm86 cDNA and deduced amino acid sequences representing 29
 female tick midgut samples were 95.6–97.0 and 91.5–93.5 % identical to the nucleotide
 and amino acid reference sequences, respectively, of the Australian Yeerongpilly vaccine strain. Multiple sequence analyses of these Bm86 variants indicated geographical relationships
 and polymorphism among Thai cattle ticks. Two larger groups of cattle tick
 strains were discernable based on this phylogenetic analysis of Bm86, a Thai group and a</t>
  </si>
  <si>
    <t>Southeast Asian Journal of Tropical Medicine and Public Health</t>
  </si>
  <si>
    <t>เชียงใหม่สัตวแพทยสาร</t>
  </si>
  <si>
    <t>10.1186/s12985-015-0289-1</t>
  </si>
  <si>
    <t>1743422x</t>
  </si>
  <si>
    <t>Virology Journal</t>
  </si>
  <si>
    <t>Diversity of coronavirus in bats from Eastern Thailand</t>
  </si>
  <si>
    <t>Abstract
 Background
 Bats are reservoirs for a diverse range of coronaviruses (CoVs), including those closely
 related to human pathogens such as Severe Acute Respiratory Syndrome (SARS) CoV and
 Middle East Respiratory Syndrome CoV. There are approximately 139 bat species reported to
 date in Thailand, of which two are endemic species. Due to the zoonotic potential of CoVs,
 standardized surveillance efforts to characterize viral diversity in wildlife are imperative.
 Findings
 A total of 626 bats from 19 different bat species were individually sampled from 5 provinces
 in Eastern Thailand between 2008 and 2013 (84 fecal and 542 rectal swabs). Samples
 collected (either fresh feces or rectal swabs) were placed directly into RNA stabilization
 reagent, transported on ice within 24 hours and preserved at ?80?C until further analysis.
 CoV RNA was detected in 47 specimens (7.6%), from 13 different bat species, using broadly 
 eactive consensus PCR primers targeting the RNA-Dependent RNA Polymerase gene
 design</t>
  </si>
  <si>
    <t>Supaporn Wacharapluesadee</t>
  </si>
  <si>
    <t>Faculty of Medicine,Chulalongkorn University</t>
  </si>
  <si>
    <t>Andrologia</t>
  </si>
  <si>
    <t>Journal of Equine Veterinary Science</t>
  </si>
  <si>
    <t>Poultry Science</t>
  </si>
  <si>
    <t>Veterinary Microbiology</t>
  </si>
  <si>
    <t>Parasites and Vectors</t>
  </si>
  <si>
    <t>Preventive Veterinary Medicine</t>
  </si>
  <si>
    <t>Genetics and Molecular Research</t>
  </si>
  <si>
    <t>Environmental Toxicology and Pharmacology</t>
  </si>
  <si>
    <t>วารสารสัตวศาสตร์แห่งประเทศไทย (Thai Journal of Animal Science)</t>
  </si>
  <si>
    <t>BioMed Research International</t>
  </si>
  <si>
    <t>รศ.ดร.เกษริน ขำยิ่งเกิด</t>
  </si>
  <si>
    <t>โรงพยาบาลสัตว์ มหาวิทยาลัยเกษตรศาสตร์ หนองโพ</t>
  </si>
  <si>
    <t>Czech Journal of Animal Science</t>
  </si>
  <si>
    <t>American Journal of Veterinary Research</t>
  </si>
  <si>
    <t>International Journal of Developmental Biology</t>
  </si>
  <si>
    <t>Archives of Pharmacal Research</t>
  </si>
  <si>
    <t>Japanese Journal of Veterinary Research</t>
  </si>
  <si>
    <t>Comparative Clinical Pathology</t>
  </si>
  <si>
    <t>วารสารวิทยาศาสตร์ลาดกระบัง (JOURNAL OF SCIENCE LADKRABANG)</t>
  </si>
  <si>
    <t>สัตวแพทย์มหานครสาร</t>
  </si>
  <si>
    <t xml:space="preserve"> สัตวแพทย์มหานครสาร</t>
  </si>
  <si>
    <t>Drug Testing and Analysis</t>
  </si>
  <si>
    <t>Environmental Science and Pollution Research</t>
  </si>
  <si>
    <t>Macromolecular Symposia</t>
  </si>
  <si>
    <t>Journal of Infection and Chemotherapy</t>
  </si>
  <si>
    <t>Evidence-Based Complememtary and Alternative Medicine</t>
  </si>
  <si>
    <t>Acta Parasitologica</t>
  </si>
  <si>
    <t>Journal of Molecular and Cellular Cardiology</t>
  </si>
  <si>
    <t>Turkish Journal of Veterinary and Animal Sciences</t>
  </si>
  <si>
    <t>Biocontrol Science</t>
  </si>
  <si>
    <t>Tropical Medicine and International Health</t>
  </si>
  <si>
    <t>Journal of Veterinary Medical Science</t>
  </si>
  <si>
    <t>ภาควิชากีฏวิทยา</t>
  </si>
  <si>
    <t>Bioscience, Biotechnology and Biochemistry</t>
  </si>
  <si>
    <t>Italian Journal of Animal Science</t>
  </si>
  <si>
    <t>Journal of Kasetsart Veterinarians</t>
  </si>
  <si>
    <t>วารสารการประมง</t>
  </si>
  <si>
    <t>วารสารสัตวแพทย์ (Journal of Kasetsart Veterinarians)</t>
  </si>
  <si>
    <t>ว.วิทย. มข.</t>
  </si>
  <si>
    <t>Vaccine</t>
  </si>
  <si>
    <t>Veterinary Pathology</t>
  </si>
  <si>
    <t>Journal of Tissue Engineering</t>
  </si>
  <si>
    <t>Livestock Science</t>
  </si>
  <si>
    <t>Environmental Toxicology and Chemistry</t>
  </si>
  <si>
    <t>Research in Veterinary Science</t>
  </si>
  <si>
    <t>Kasetsart Journal - Natural Science</t>
  </si>
  <si>
    <t>แก่นเกษตร</t>
  </si>
  <si>
    <t>PLOS neglected tropical diseases</t>
  </si>
  <si>
    <t>Heart</t>
  </si>
  <si>
    <t>Asian Journal of Plant Science &amp; Research</t>
  </si>
  <si>
    <t>Ecotoxicology and Environmental Safety</t>
  </si>
  <si>
    <t>Modern Applied Science</t>
  </si>
  <si>
    <t>Veterinary Medicine International</t>
  </si>
  <si>
    <t>One Health</t>
  </si>
  <si>
    <t>Journal of Pharmaceutical and Biomedical Analysis</t>
  </si>
  <si>
    <t>Journal of Mahanakorn Veterinary Medicine</t>
  </si>
  <si>
    <t>Mitochondrial DNA</t>
  </si>
  <si>
    <t>Journal of Veterinary Internal Medicine</t>
  </si>
  <si>
    <t>Pakistan Veterinary Journal</t>
  </si>
  <si>
    <t>Neuroscience Letters</t>
  </si>
  <si>
    <t>Journal of Applied Animal Science</t>
  </si>
  <si>
    <t>พุทธชินราชเวชสาร</t>
  </si>
  <si>
    <t>Journal of Science and Technology</t>
  </si>
  <si>
    <t>Agriculture and Natural Resources</t>
  </si>
  <si>
    <t>Transboundary and Emerging Diseases</t>
  </si>
  <si>
    <t>Journal of Dairy Science</t>
  </si>
  <si>
    <t>Veterinary Journal</t>
  </si>
  <si>
    <t>Toxicon</t>
  </si>
  <si>
    <t>Stem cells translational medicine</t>
  </si>
  <si>
    <t>Israel Journal of Veterinary Medicine</t>
  </si>
  <si>
    <t>Journal of Virology</t>
  </si>
  <si>
    <t>Journal of Economic Entomology</t>
  </si>
  <si>
    <t>Molecular Ecology</t>
  </si>
  <si>
    <t>Q1</t>
  </si>
  <si>
    <t>Molecules</t>
  </si>
  <si>
    <t>ACS Biomaterials Science and Engineering</t>
  </si>
  <si>
    <t>Environmental Monitoring and Assessment</t>
  </si>
  <si>
    <t>Methods in Cell Biology</t>
  </si>
  <si>
    <t>Maejo International Journal of Science and Technology</t>
  </si>
  <si>
    <t>Conservation Physiology</t>
  </si>
  <si>
    <t>Experimental Parasitology</t>
  </si>
  <si>
    <t>Infection, Genetics and Evolution</t>
  </si>
  <si>
    <t>Reproduction in Domestic Animals</t>
  </si>
  <si>
    <t>วิทยาศาสตร์และเทคโนโลยี</t>
  </si>
  <si>
    <t>Acta Tropica</t>
  </si>
  <si>
    <t>Veterinary Clinical Pathology</t>
  </si>
  <si>
    <t>Journal of Food Protection</t>
  </si>
  <si>
    <t>Journal of Toxicologic Pathology</t>
  </si>
  <si>
    <t>Veterinary Ophthalmology</t>
  </si>
  <si>
    <t>Songklanakarin Journal of Science and Technology</t>
  </si>
  <si>
    <t>ข่าวสารเทคโนโลยีชีวภาพเกาตร</t>
  </si>
  <si>
    <t>The Prostate</t>
  </si>
  <si>
    <t>Endangered Species Research</t>
  </si>
  <si>
    <t>Korean Journal of Parasitology</t>
  </si>
  <si>
    <t>Veterinary Sciences</t>
  </si>
  <si>
    <t>Tropical Biomedicine</t>
  </si>
  <si>
    <t>Neuroendocrinology</t>
  </si>
  <si>
    <t>บัณฑิตวิทยาลัย</t>
  </si>
  <si>
    <t>Environmental Pollution</t>
  </si>
  <si>
    <t>Neurochemistry International</t>
  </si>
  <si>
    <t>Comparative Biochemistry and Physiology Part - C: Toxicology and Pharmacology</t>
  </si>
  <si>
    <t>เวชชสารสัตวแพทย์</t>
  </si>
  <si>
    <t>International Journal of Infectious Diseases</t>
  </si>
  <si>
    <t>Canadian Journal of Veterinary Research</t>
  </si>
  <si>
    <t>Archives of Virology</t>
  </si>
  <si>
    <t>วารสารสาธารณสุขศาสตร์</t>
  </si>
  <si>
    <t>International Journal of Environmental Research and Public Health</t>
  </si>
  <si>
    <t>Journal of science and technology Mahasarakham University</t>
  </si>
  <si>
    <t>Neurobiology of Aging</t>
  </si>
  <si>
    <t>Journal of Zoo and Wildlife Medicine</t>
  </si>
  <si>
    <t>Zoologischer Anzeiger</t>
  </si>
  <si>
    <t>Journal of Kasetsart Veterinarians (Thailand)</t>
  </si>
  <si>
    <t>Meat Science</t>
  </si>
  <si>
    <t>Primates</t>
  </si>
  <si>
    <t>Parasitology International</t>
  </si>
  <si>
    <t>Polish Journal of Veterinary Sciences</t>
  </si>
  <si>
    <t>World Mycotoxin Journal</t>
  </si>
  <si>
    <t>Asian Journal of Animal and Veterinary Advances</t>
  </si>
  <si>
    <t>Medical Mycology Case Reports</t>
  </si>
  <si>
    <t>Theriogenology</t>
  </si>
  <si>
    <t>Avicenna Journal of Phytomedicine</t>
  </si>
  <si>
    <t>Science of the Total Environment</t>
  </si>
  <si>
    <t>Current Topics in Salmonella and Salmonellosis</t>
  </si>
  <si>
    <t>Journal of Fish diseases</t>
  </si>
  <si>
    <t>Diseases of Aquatic Organisms</t>
  </si>
  <si>
    <t>Journal of medical microbiology</t>
  </si>
  <si>
    <t>วารสารวิทยาศาสตร์เกษตร (ฉบับพิเศษ)</t>
  </si>
  <si>
    <t>วารสารวิทยาศาสตร์เกษตร</t>
  </si>
  <si>
    <t>รศ.ดร.นริศ เต็งชัยศรี</t>
  </si>
  <si>
    <t>Journal of the Science of Food and Agriculture</t>
  </si>
  <si>
    <t>Emerging Infectious Diseases</t>
  </si>
  <si>
    <t>Toxins</t>
  </si>
  <si>
    <t>Mitochondrial DNA Part A: DNA Mapping, Sequencing, and Analysis</t>
  </si>
  <si>
    <t>วารสารสัตวแพทย์ผู้ประกอบการบำบัดโรคสัตว์แห่งประเทศไทย</t>
  </si>
  <si>
    <t>BMC Evolutionary Biology</t>
  </si>
  <si>
    <t>Journal of Healthcare Engineering</t>
  </si>
  <si>
    <t>PLoS ONE</t>
  </si>
  <si>
    <t>American Journal of Physiology - Endocrinology and Metabolism</t>
  </si>
  <si>
    <t>Journal of Anatomy</t>
  </si>
  <si>
    <t>Journal of Asia-Pacific Entomology</t>
  </si>
  <si>
    <t>American Journal of Animal and Veterinary Sciences</t>
  </si>
  <si>
    <t>Neural Regeneration Research</t>
  </si>
  <si>
    <t>Chemosphere</t>
  </si>
  <si>
    <t>Tropical Animal Health and Production</t>
  </si>
  <si>
    <t>Microbial Drug Resistance</t>
  </si>
  <si>
    <t>Journal of Microbiological Methods</t>
  </si>
  <si>
    <t>Livestock Research for Rural Development</t>
  </si>
  <si>
    <t>Animal Science Journal</t>
  </si>
  <si>
    <t>Scientific Reports</t>
  </si>
  <si>
    <t>Journal of Wildlife in Thailand</t>
  </si>
  <si>
    <t>International Journal of Molecular Sciences</t>
  </si>
  <si>
    <t>คณะเกษตร</t>
  </si>
  <si>
    <t>Bulgarian Journal of Veterinary Medicine</t>
  </si>
  <si>
    <t>วารสารวิทยาศาสตร์ มข. (KKU Sci. J)</t>
  </si>
  <si>
    <t>American Journal of Tropical Medicine and Hygiene</t>
  </si>
  <si>
    <t>Aquaculture</t>
  </si>
  <si>
    <t>Biochimica et Biophysica Acta - Biomembranes</t>
  </si>
  <si>
    <t>RSC Advances</t>
  </si>
  <si>
    <t>Veterinary and Comparative Orthopaedics and Traumatology</t>
  </si>
  <si>
    <t>Proceedings of the National Academy of Sciences of the United States of America</t>
  </si>
  <si>
    <t>British Poultry Science</t>
  </si>
  <si>
    <t>Acta Scientiae Veterinariae</t>
  </si>
  <si>
    <t>Parasitology</t>
  </si>
  <si>
    <t>International Journal of Pharma Medicine and Biological Sciences</t>
  </si>
  <si>
    <t>วารสารวิจัยระบบสาธารณสุข</t>
  </si>
  <si>
    <t>วารสารวิจัยและส่งเสริมวิชาการเกษตร</t>
  </si>
  <si>
    <t>Advances in Parasitology</t>
  </si>
  <si>
    <t>Kasetsart Educational Review</t>
  </si>
  <si>
    <t>Animal</t>
  </si>
  <si>
    <t>วารสารวิจัยและส่งเสริมวิชากาเกษตร</t>
  </si>
  <si>
    <t>Veterinary World</t>
  </si>
  <si>
    <t>Animal Genetics</t>
  </si>
  <si>
    <t>The Journal of Tropical Medicine and Parasitology</t>
  </si>
  <si>
    <t>International Journal of Analytical Chemistry</t>
  </si>
  <si>
    <t>Veterinary Integrative Science</t>
  </si>
  <si>
    <t>Journal of Agricultural and Food Chemistry</t>
  </si>
  <si>
    <t>Veterinary Dermatology</t>
  </si>
  <si>
    <t>Veterinary Practitioner</t>
  </si>
  <si>
    <t>GSC Biological and Pharmaceutical Sciences</t>
  </si>
  <si>
    <t>Southeast Asian J Trop Med Public Health</t>
  </si>
  <si>
    <t>Journal of Kasetsart Veterinarian</t>
  </si>
  <si>
    <t>Biological Trace Element Research</t>
  </si>
  <si>
    <t>Veterinary Parasitology: Regional Studies and Reports</t>
  </si>
  <si>
    <t>OnLine Journal of Biological Sciences</t>
  </si>
  <si>
    <t>Siriraj Medical Journal</t>
  </si>
  <si>
    <t>Veterinary Integrative Sciences</t>
  </si>
  <si>
    <t>Res. J. Vet. Pract.</t>
  </si>
  <si>
    <t>Open Veterinary Journal</t>
  </si>
  <si>
    <t>วารสารวิทยาศาตร์ มข.</t>
  </si>
  <si>
    <t>Journal of Visualized Experiments</t>
  </si>
  <si>
    <t>Veterinary immunology and immunopathology</t>
  </si>
  <si>
    <t>Journal of Advanced Veterinary and Animal Research</t>
  </si>
  <si>
    <t>Asian Fisheries Science</t>
  </si>
  <si>
    <t>PeerJ</t>
  </si>
  <si>
    <t>JOURNAL OF FOOD AND DRUG ANALYSIS</t>
  </si>
  <si>
    <t>Journal of Veterinary Medicine Series C: Anatomia Histologia Embryologia</t>
  </si>
  <si>
    <t>Drug and Chemical Toxicology</t>
  </si>
  <si>
    <t>วารสารสัตวแพทยศาสตร์ มข.</t>
  </si>
  <si>
    <t>วาสารสัตวแพทย์</t>
  </si>
  <si>
    <t>Journal of Insects as Food and Feed</t>
  </si>
  <si>
    <t>Aquacultural Engineering</t>
  </si>
  <si>
    <t>Methods in Molecular Biology</t>
  </si>
  <si>
    <t>International Journal of Poultry Science</t>
  </si>
  <si>
    <t>Journal of Applied Animal Research</t>
  </si>
  <si>
    <t>Genome</t>
  </si>
  <si>
    <t>Frontiers in Veterinary Science</t>
  </si>
  <si>
    <t>U.S. Department of Agriculture, UF/IFAS Extension Service, University of Florida</t>
  </si>
  <si>
    <t>Animals</t>
  </si>
  <si>
    <t>JOURNAL OF ENVIRONMENTAL CHEMICAL ENGINEERING</t>
  </si>
  <si>
    <t>Journal of Veterinary Diagnostic Investigation</t>
  </si>
  <si>
    <t>Indian Journal Of Animal Research</t>
  </si>
  <si>
    <t>International Journal for Parasitology: Parasites and Wildlife</t>
  </si>
  <si>
    <t>FOOD CHEMISTRY</t>
  </si>
  <si>
    <t>Frontiers in Microbiology</t>
  </si>
  <si>
    <t>Birding ASIA</t>
  </si>
  <si>
    <t>Parasitology Research</t>
  </si>
  <si>
    <t>Antimicrobial Agents and Chemotherapy</t>
  </si>
  <si>
    <t>Microbiology Resource Announcements</t>
  </si>
  <si>
    <t>3 Biotech</t>
  </si>
  <si>
    <t>วารสารเกษตร</t>
  </si>
  <si>
    <t>Journal of Global Antimicrobial Resistance</t>
  </si>
  <si>
    <t>IRANIAN JOURNAL OF APPLIED ANIMAL SCIENCE</t>
  </si>
  <si>
    <t>FOODBORNE PATHOGENS AND DISEASE</t>
  </si>
  <si>
    <t>Cardiology and Cardiovascular Research</t>
  </si>
  <si>
    <t>Malaysian Journal of Nutrition</t>
  </si>
  <si>
    <t>Journal of Metals, Materials and Minerals</t>
  </si>
  <si>
    <t>Globalization and Health</t>
  </si>
  <si>
    <t>วารสารศิลปศาสตร์ มหาวิทยาลัยแม่โจ้</t>
  </si>
  <si>
    <t>วิทยาศาสตร์เกษตรและการจัดการ</t>
  </si>
  <si>
    <t>Antiviral Research</t>
  </si>
  <si>
    <t>Microbial Pathogenesis</t>
  </si>
  <si>
    <t>High Blood Pressure and Cardiovascular Prevention</t>
  </si>
  <si>
    <t>BMC Research Notes</t>
  </si>
  <si>
    <t>Fish and Shellfish Immunology</t>
  </si>
  <si>
    <t>Pathogens</t>
  </si>
  <si>
    <t>Translational Animal Science</t>
  </si>
  <si>
    <t>Australian Veterinary Journal</t>
  </si>
  <si>
    <t>Veterinary Parasitology</t>
  </si>
  <si>
    <t>PROSTATE</t>
  </si>
  <si>
    <t>Zoological Science</t>
  </si>
  <si>
    <t>Human Vaccines and Immunotherapeutics</t>
  </si>
  <si>
    <t>BMC genomics</t>
  </si>
  <si>
    <t>International Journal of Agricultural Technology</t>
  </si>
  <si>
    <t>Heliyon</t>
  </si>
  <si>
    <t>Applied Sciences</t>
  </si>
  <si>
    <t>International Journal of Food Properties</t>
  </si>
  <si>
    <t>JOURNAL OF RADIATION RESEARCH AND APPLIED SCIENCES</t>
  </si>
  <si>
    <t>Equine veterinary journal</t>
  </si>
  <si>
    <t>Journal of Applied Pharmaceutical Science</t>
  </si>
  <si>
    <t>Innovative Food Science and Emerging Technologies</t>
  </si>
  <si>
    <t>Vaccines</t>
  </si>
  <si>
    <t>Animal Frontiers</t>
  </si>
  <si>
    <t>Bulletin of the European Association of Fish Pathologists</t>
  </si>
  <si>
    <t>Scholars Journal of Agriculture and Veterinary Sciences</t>
  </si>
  <si>
    <t>Chemical Biology and Drug Design</t>
  </si>
  <si>
    <t>Journal of Environmental Management</t>
  </si>
  <si>
    <t>Journal of applied animal welfare science</t>
  </si>
  <si>
    <t>World's Veterinary Journal</t>
  </si>
  <si>
    <t>Informatics in Medicine Unlocked</t>
  </si>
  <si>
    <t>Energy for health</t>
  </si>
  <si>
    <t>วารสารวิทยาศาสตร์ มข.</t>
  </si>
  <si>
    <t>Journal of Animal Physiology and Animal Nutrition</t>
  </si>
  <si>
    <t>Developmental and Comparative Immunology</t>
  </si>
  <si>
    <t>Food and Waterborne Parasitology</t>
  </si>
  <si>
    <t>Drug Design, Development and Therapy</t>
  </si>
  <si>
    <t>International Journal of Computer Applications in Technology</t>
  </si>
  <si>
    <t>Tropical Medicine and Infectious Disease</t>
  </si>
  <si>
    <t>JOURNAL DE MYCOLOGIE MEDICALE</t>
  </si>
  <si>
    <t>Advances in Animal and Veterinary Sciences</t>
  </si>
  <si>
    <t>Human and Ecological Risk Assessment (HERA)</t>
  </si>
  <si>
    <t>Journal of Fungi</t>
  </si>
  <si>
    <t>Entomological Science</t>
  </si>
  <si>
    <t>Journal of Equine Science</t>
  </si>
  <si>
    <t>Entomologia Experimentalis et Applicata</t>
  </si>
  <si>
    <t>Journal of Inflammation Research</t>
  </si>
  <si>
    <t>International Journal of One Health</t>
  </si>
  <si>
    <t>Insects</t>
  </si>
  <si>
    <t>Frontiers in Immunology</t>
  </si>
  <si>
    <t>Sains Malaysiana</t>
  </si>
  <si>
    <t>VPN</t>
  </si>
  <si>
    <t>Foods</t>
  </si>
  <si>
    <t>Veterinary and Animal Science</t>
  </si>
  <si>
    <t>Microorganisms</t>
  </si>
  <si>
    <t>Folia Parasitologica</t>
  </si>
  <si>
    <t>Frontiers in Sustainable Food Systems</t>
  </si>
  <si>
    <t>Veterinary Medicine and Science</t>
  </si>
  <si>
    <t>Emerging Contaminants</t>
  </si>
  <si>
    <t>Journal of the American Veterinary Medical Association</t>
  </si>
  <si>
    <t>VETERINARY RECORD CASE REPORTS</t>
  </si>
  <si>
    <t>EnvironmentAsia</t>
  </si>
  <si>
    <t>International Journal of Aquatic Science</t>
  </si>
  <si>
    <t>Current Research in Pharmacology and Drug Discovery</t>
  </si>
  <si>
    <t>วารสารสัตวแพทย์ผู้ประกอบการบำบัดโรคสัตว์</t>
  </si>
  <si>
    <t>Comparative Immunology, Microbiology and Infectious Diseases</t>
  </si>
  <si>
    <t>Biodiversitas</t>
  </si>
  <si>
    <t>Journal of Environmental and Public Health</t>
  </si>
  <si>
    <t>Environmental Geochemistry and Health</t>
  </si>
  <si>
    <t>Case Reports in Veterinary Medicine</t>
  </si>
  <si>
    <t>Animal Bioscience</t>
  </si>
  <si>
    <t>JMIR Formative Research</t>
  </si>
  <si>
    <t>Parasitologia</t>
  </si>
  <si>
    <t>Zoonotic diseases</t>
  </si>
  <si>
    <t>Tropical Animal Science Journal</t>
  </si>
  <si>
    <t>New Zealand Veterinary Journal</t>
  </si>
  <si>
    <t>Frontiers in Cardiovascular Medicine</t>
  </si>
  <si>
    <t>ScienceAsia</t>
  </si>
  <si>
    <t>Biopreservation and Biobanking</t>
  </si>
  <si>
    <t>Journal of Veterinary Medical Education</t>
  </si>
  <si>
    <t>Forensic Imaging</t>
  </si>
  <si>
    <t>antibiotics</t>
  </si>
  <si>
    <t>Parasite</t>
  </si>
  <si>
    <t>Diversity</t>
  </si>
  <si>
    <t>Applied Engineering in Agriculture</t>
  </si>
  <si>
    <t>Ecology and Evolution</t>
  </si>
  <si>
    <t>Toxics</t>
  </si>
  <si>
    <t>BMC Public Health</t>
  </si>
  <si>
    <t>Animal Welfare</t>
  </si>
  <si>
    <t>International Journal of Veterinary Science</t>
  </si>
  <si>
    <t>Gene</t>
  </si>
  <si>
    <t>Reviews in Aquaculture</t>
  </si>
  <si>
    <t>TrAC - Trends in Analytical Chemistry</t>
  </si>
  <si>
    <t>Biology</t>
  </si>
  <si>
    <t>Sensors</t>
  </si>
  <si>
    <t>Experimental Animals</t>
  </si>
  <si>
    <t>A Serosurvey of Japanese Encephalitis Virus in Monkeys and Humans Living in Proximity in Thailand</t>
  </si>
  <si>
    <t>f1000Research</t>
  </si>
  <si>
    <t>A Novel Simian Adenovirus Associating with Human Adeno-virus Species G Isolated from Long-Tailed Macaque Feces</t>
  </si>
  <si>
    <t>Fishes</t>
  </si>
  <si>
    <t>วารสารเกษตรพระวรุณ</t>
  </si>
  <si>
    <t>Frontiers in Cellular and Infection Microbiology</t>
  </si>
  <si>
    <t>A case report of hemodialysis management of acute kidney injury in a Russell’s viper-envenomed dog</t>
  </si>
  <si>
    <t>A retrospective study of structural brain lesions identified by magnetic resonance imaging in 114 cats with neurological signs</t>
  </si>
  <si>
    <t>Microbiology Spectrum</t>
  </si>
  <si>
    <t>Q2</t>
  </si>
  <si>
    <t>Ecologies</t>
  </si>
  <si>
    <t>Journal of General Virology</t>
  </si>
  <si>
    <t>Buffalo Bulletin</t>
  </si>
  <si>
    <t>Veterinary Quarterly</t>
  </si>
  <si>
    <t>Biomedicines</t>
  </si>
  <si>
    <t>A New Benzaldehyde Derivative Exhibits Antiaflatoxigenic Activity against Aspergillus flavus</t>
  </si>
  <si>
    <t>Genes and Genomics</t>
  </si>
  <si>
    <t>Future Foods</t>
  </si>
  <si>
    <t>Vaccine: X</t>
  </si>
  <si>
    <t>Biosafety and Health</t>
  </si>
  <si>
    <t>Journal of Food Quality</t>
  </si>
  <si>
    <t>Frontiers in Pharmacology</t>
  </si>
  <si>
    <t>Resources</t>
  </si>
  <si>
    <t>Veterinary Research Communications</t>
  </si>
  <si>
    <t>Journal of Exotic Pet Medicine</t>
  </si>
  <si>
    <t>Asia-Pacific Journal of Science and Technology</t>
  </si>
  <si>
    <t>Journal of Aquatic Animal Health</t>
  </si>
  <si>
    <t>Journal of Feline Medicine and Surgery</t>
  </si>
  <si>
    <t>Veterinary Surgery</t>
  </si>
  <si>
    <t xml:space="preserve">Veterinary Surgery        </t>
  </si>
  <si>
    <t>Global Ecology and Conservation</t>
  </si>
  <si>
    <t>The Biological Journal of the Linnean Society</t>
  </si>
  <si>
    <t>Virulence</t>
  </si>
  <si>
    <t>Animal Diseases</t>
  </si>
  <si>
    <t>StaffName</t>
  </si>
  <si>
    <t>Cluster</t>
  </si>
  <si>
    <t>Group</t>
  </si>
  <si>
    <t>สิริรัตน์</t>
  </si>
  <si>
    <t>นิยม</t>
  </si>
  <si>
    <t>ชัยกร</t>
  </si>
  <si>
    <t>ฐิติญาณพร</t>
  </si>
  <si>
    <t>อภินันท์</t>
  </si>
  <si>
    <t>สุประเสริฐ</t>
  </si>
  <si>
    <t>นริศ</t>
  </si>
  <si>
    <t>เต็งชัยศรี</t>
  </si>
  <si>
    <t>พันพิชา</t>
  </si>
  <si>
    <t>สัตถาสาธุชนะ</t>
  </si>
  <si>
    <t>ศรัญญา</t>
  </si>
  <si>
    <t>พัวพลเทพ</t>
  </si>
  <si>
    <t>สถาพร</t>
  </si>
  <si>
    <t>จิตตปาลพงศ์</t>
  </si>
  <si>
    <t>อักษร</t>
  </si>
  <si>
    <t>แสงเทียนชัย</t>
  </si>
  <si>
    <t>อดิศร</t>
  </si>
  <si>
    <t>ยะวงศา</t>
  </si>
  <si>
    <t>อลงกต</t>
  </si>
  <si>
    <t>บุญสูงเนิน</t>
  </si>
  <si>
    <t>ผศ.สพ.ญ.ดร.กรรณิการ์ ศิริภัทรประวัติ</t>
  </si>
  <si>
    <t>ผศ.น.สพ.ดร.ชัยกร ฐิติญาณพร</t>
  </si>
  <si>
    <t>ผศ.น.สพ.ดร.ไชยยันต์ เกษรดอกบัว</t>
  </si>
  <si>
    <t>รศ.สพ.ญ.ดร.ทัศนีย์ เจริญทรง</t>
  </si>
  <si>
    <t>อ.สพ.ญ.ดร.ม.ล.นฤดี เกษมสันต์</t>
  </si>
  <si>
    <t>รศ.น.สพ.ดร.ธีระ รักความสุข</t>
  </si>
  <si>
    <t>รศ.น.สพ.ดร.พิษณุ ตุลยกุล</t>
  </si>
  <si>
    <t>รศ.น.สพ.ดร.วิน สุรเชษฐพงษ์</t>
  </si>
  <si>
    <t>รศ.สพ.ญ.ดร.สุนทรี เพ็ชรดี</t>
  </si>
  <si>
    <t>ผศ.น.สพ.ดร.อาสูตร สงวนเกียรติ</t>
  </si>
  <si>
    <t>ผศ.สพ.ญ.ดร.กานต์สุดา ลีฬหาพงศธร</t>
  </si>
  <si>
    <t>ผศ.สพ.ญ.ดร.วราพร พิมพ์ประไพ</t>
  </si>
  <si>
    <t>ผศ.สพ.ญ.ดร.ไกรสิริ ขีดขั้น</t>
  </si>
  <si>
    <t>รศ.สพ.ญ.ดร.ปารียา อุดมกุศลศรี</t>
  </si>
  <si>
    <t>ผศ.สพ.ญ.ดร.ชมพูเนกข์ ยุรญาติ</t>
  </si>
  <si>
    <t>รศ.น.สพ.ดร.ณัฐสิทธิ์ ตันสกุล</t>
  </si>
  <si>
    <t>ผศ.สพ.ญ.ดร.อุไร พงศ์ชัยฤกษ์</t>
  </si>
  <si>
    <t>ผศ.น.สพ.ดร.เกรียงไกร วิฑูรย์เสถียร</t>
  </si>
  <si>
    <t>ผศ.น.สพ.ดร.พรชัย สัญฐิติเสรี</t>
  </si>
  <si>
    <t>ผศ.สพ.ญ.ดร.มนชนก วิจารสรณ์</t>
  </si>
  <si>
    <t>รศ.น.สพ.ดร.กัญจน์ แก้วมงคล</t>
  </si>
  <si>
    <t>ผศ.น.สพ.ดร.วรกิจ เชิดชูธรรม</t>
  </si>
  <si>
    <t>รศ.น.สพ.ดร.มานะกร สุขมาก</t>
  </si>
  <si>
    <t>ผศ.สพ.ญ.ดร.สุภาเพ็ญ ศรีพิบูลย์</t>
  </si>
  <si>
    <t>รศ.น.สพ.ดร.เมธา จันดา</t>
  </si>
  <si>
    <t>รศ.สพ.ญ.ดร.อุสุมา เจิมนาค</t>
  </si>
  <si>
    <t>เอกชัย</t>
  </si>
  <si>
    <t>สร้อยน้ำ</t>
  </si>
  <si>
    <t>ชาติ</t>
  </si>
  <si>
    <t>0264410X</t>
  </si>
  <si>
    <t>อ.สิริรัตน์ นิยม</t>
  </si>
  <si>
    <t>ผศ.</t>
  </si>
  <si>
    <t>อ.ชัยกร ฐิติญาณพร</t>
  </si>
  <si>
    <t>ศ.</t>
  </si>
  <si>
    <t>รศ.</t>
  </si>
  <si>
    <t>null</t>
  </si>
  <si>
    <t>Agricola</t>
  </si>
  <si>
    <t>BIOSIS</t>
  </si>
  <si>
    <t>IEEE</t>
  </si>
  <si>
    <t>MEDLINE</t>
  </si>
  <si>
    <t>Pubmed</t>
  </si>
  <si>
    <t>SCI</t>
  </si>
  <si>
    <t>ScienceDirect</t>
  </si>
  <si>
    <t>SciFinder</t>
  </si>
  <si>
    <t>Social Science Research Network</t>
  </si>
  <si>
    <t>Section Name</t>
  </si>
  <si>
    <t>ResearcherCode (STG_Researcher)</t>
  </si>
  <si>
    <t>IDCode</t>
  </si>
  <si>
    <t>OfPosName</t>
  </si>
  <si>
    <t>EnName</t>
  </si>
  <si>
    <t>EnSurName</t>
  </si>
  <si>
    <t>Sex</t>
  </si>
  <si>
    <t>PositionName</t>
  </si>
  <si>
    <t>รองศาสตราจารย์</t>
  </si>
  <si>
    <t>Adisorn</t>
  </si>
  <si>
    <t>Yawongsa</t>
  </si>
  <si>
    <t>M</t>
  </si>
  <si>
    <t>รศ.น.สพ.</t>
  </si>
  <si>
    <t>นักวิทยาศาสตร์ ชำนาญการพิเศษ</t>
  </si>
  <si>
    <t>Aggachai</t>
  </si>
  <si>
    <t>Sroynum</t>
  </si>
  <si>
    <t>ผู้ช่วยศาสตราจารย์</t>
  </si>
  <si>
    <t>AKSORN</t>
  </si>
  <si>
    <t>SAENGTIENCHAI</t>
  </si>
  <si>
    <t>F</t>
  </si>
  <si>
    <t>ผศ.สพ.ญ.ดร.</t>
  </si>
  <si>
    <t>Alongkot</t>
  </si>
  <si>
    <t>Boonsoongnern</t>
  </si>
  <si>
    <t>ผศ.น.สพ.ดร.</t>
  </si>
  <si>
    <t>FacultyName</t>
  </si>
  <si>
    <t>SectionID (STG_Section)</t>
  </si>
  <si>
    <t>ภาควิชาคหกรรมศาสตร์</t>
  </si>
  <si>
    <t>NO</t>
  </si>
  <si>
    <t>PubblisYear</t>
  </si>
  <si>
    <t>5.การศึกษาวิจัยทางคลินิก (CLINICAL RESEARCH)</t>
  </si>
  <si>
    <t>2.งานวิจัยเพื่อความปลอดภัยต่อสุขภาพและสิ่งแวดล้อม (Research for human and environmental safety)</t>
  </si>
  <si>
    <t>Sourceid</t>
  </si>
  <si>
    <t>Title</t>
  </si>
  <si>
    <t>Type</t>
  </si>
  <si>
    <t>Issn</t>
  </si>
  <si>
    <t>SJR</t>
  </si>
  <si>
    <t>SJR Quartile</t>
  </si>
  <si>
    <t>H index</t>
  </si>
  <si>
    <t>Total Docs. (2022)</t>
  </si>
  <si>
    <t>Total Docs. (3years)</t>
  </si>
  <si>
    <t>Total Refs.</t>
  </si>
  <si>
    <t>Total Cites (3years)</t>
  </si>
  <si>
    <t>Citable Docs. (3years)</t>
  </si>
  <si>
    <t>Cites / Doc. (2years)</t>
  </si>
  <si>
    <t>Ref. / Doc.</t>
  </si>
  <si>
    <t>Region</t>
  </si>
  <si>
    <t>Publisher</t>
  </si>
  <si>
    <t>Coverage</t>
  </si>
  <si>
    <t>Categories.1</t>
  </si>
  <si>
    <t>Categories.2</t>
  </si>
  <si>
    <t>Categories.3</t>
  </si>
  <si>
    <t>Areas</t>
  </si>
  <si>
    <t>SJR Vet Quartile</t>
  </si>
  <si>
    <t>Issn.1</t>
  </si>
  <si>
    <t>Annual Review of Animal Biosciences</t>
  </si>
  <si>
    <t>journal</t>
  </si>
  <si>
    <t>21658110, 21658102</t>
  </si>
  <si>
    <t>United States</t>
  </si>
  <si>
    <t>Northern America</t>
  </si>
  <si>
    <t>Annual Reviews Inc.</t>
  </si>
  <si>
    <t>2013-2022</t>
  </si>
  <si>
    <t>Veterinary</t>
  </si>
  <si>
    <t>(miscellaneous)</t>
  </si>
  <si>
    <t>(Q1)</t>
  </si>
  <si>
    <t>Agricultural and Biological Sciences; Biochemistry, Genetics and Molecular Biology; Veterinary</t>
  </si>
  <si>
    <t>GeroScience</t>
  </si>
  <si>
    <t>25092715, 25092723</t>
  </si>
  <si>
    <t>Switzerland</t>
  </si>
  <si>
    <t>Western Europe</t>
  </si>
  <si>
    <t>Springer International Publishing AG</t>
  </si>
  <si>
    <t>2017-2022</t>
  </si>
  <si>
    <t>Biochemistry, Genetics and Molecular Biology; Medicine; Veterinary</t>
  </si>
  <si>
    <t>United Kingdom</t>
  </si>
  <si>
    <t>Elsevier Ltd.</t>
  </si>
  <si>
    <t>2019-2022</t>
  </si>
  <si>
    <t>Biochemistry, Genetics and Molecular Biology; Immunology and Microbiology; Medicine; Veterinary</t>
  </si>
  <si>
    <t>0264410X, 18732518</t>
  </si>
  <si>
    <t>Netherlands</t>
  </si>
  <si>
    <t>Elsevier BV</t>
  </si>
  <si>
    <t>1983-2022</t>
  </si>
  <si>
    <t>Medicine; Veterinary</t>
  </si>
  <si>
    <t>01652176, 18755941</t>
  </si>
  <si>
    <t>Taylor and Francis Ltd.</t>
  </si>
  <si>
    <t>Germany</t>
  </si>
  <si>
    <t>Q3</t>
  </si>
  <si>
    <t>2017-2023</t>
  </si>
  <si>
    <t>Rank</t>
  </si>
  <si>
    <t>Total Docs. (2023)</t>
  </si>
  <si>
    <t>%Female</t>
  </si>
  <si>
    <t>Overton</t>
  </si>
  <si>
    <t>SDG</t>
  </si>
  <si>
    <t>Categories</t>
  </si>
  <si>
    <t>2013-2023</t>
  </si>
  <si>
    <t>Animal Science and Zoology (Q1); Biotechnology (Q1); Genetics (Q1); Veterinary (miscellaneous) (Q1)</t>
  </si>
  <si>
    <t>Springer Science and Business Media Deutschland GmbH</t>
  </si>
  <si>
    <t>Aging (Q1); Cardiology and Cardiovascular Medicine (Q1); Complementary and Alternative Medicine (Q1); Geriatrics and Gerontology (Q1); Veterinary (miscellaneous) (Q1)</t>
  </si>
  <si>
    <t>Elsevier B.V.</t>
  </si>
  <si>
    <t>1983-2023</t>
  </si>
  <si>
    <t>Immunology and Microbiology (miscellaneous) (Q1); Infectious Diseases (Q1); Molecular Medicine (Q1); Public Health, Environmental and Occupational Health (Q1); Veterinary (miscellaneous) (Q1)</t>
  </si>
  <si>
    <t>1979, 1982-2007, 2011-2023</t>
  </si>
  <si>
    <t>Medicine (miscellaneous) (Q1); Veterinary (miscellaneous) (Q1)</t>
  </si>
  <si>
    <t>CostID</t>
  </si>
  <si>
    <t>CostType</t>
  </si>
  <si>
    <t>นานาชาติ</t>
  </si>
  <si>
    <t>เลือกข้อมูล</t>
  </si>
  <si>
    <t>Background
3-Bromotyrosine (3-BrY) is a stable product of eosinophil peroxidase and may serve as a marker of eosinophil activation. A gas chromatography/mass spectrometry method to measure 3-BrY concentrations in serum from dogs has recently been established and analytically validated. The aims of this study were to determine the stability of 3-BrY in serum, to determine the association between peripheral eosinophil counts and the presence of an eosinophilic infiltrate in the gastrointestinal tract, and to compare serum 3-BrY concentrations in healthy dogs (n?=?52) and dogs with eosinophilic gastroenteritis (EGE; n?=?27), lymphocytic-plasmacytic enteritis (LPE; n?=?25), exocrine pancreatic insufficiency (EPI; n?=?26), or pancreatitis (n?=?27).
Results
Serum 3-BrY concentrations were stable for up to 8, 30, and 180 days at 4?C, ?20?C, and ?80?C, respectively. There was no significant association between peripheral eosinophil count and the presence of eosinophils in the GI tissues (P?=?0.1733). Serum 3-BrY con</t>
  </si>
  <si>
    <t>Anti-tick vaccine has become an alternative for the control of ticks. However, a monovalent antitick
vaccine is of particular interest for its efficacy in different geographical areas. An RNAi
experiment showed an inhibition effect on the ferritin gene expressed in Ixodes spp. as a potential candidate
antigen for anti-tick vaccines. The aim of the current study was to investigate and characterize a novel
antigen, ferritin (FER) from the midgut and salivary glands of the brown dog tick, Rhipicephalus sanguineus,
in Thailand. In this study, the complete ferritin gene was first amplified and expressed as a recombinant
ferritin (rFerritin) protein using the Pichia pastoris expression system. The Pichia recombinant, KM71H
MutS was expressed in BMMY medium and induced using methanol. Secreted expression proteins in the
supernatant were characterized using SDS-PAGE and Western blot analysis. The polyclonal antibodies to
ferritin used for Western blot analysis were previously prepared from sera of rabbits exposed to</t>
  </si>
  <si>
    <t>Zearalenone (ZEA), is a secondary fungal metabolite produced mainly by a Fusarium graminearum. To clarify the toxicokinetics, and residues of ZEA and its major metabolites ?-zearalenol (?-ZOL) and ?-zearalenol (?-ZOL) in chickens, ZEA was then administered intravenously (iv) or orally (po) to broiler chickens at a dosage of 1.2 mg/kg body weight.  The concentrations of ZEA, ?-ZOL and ?-ZOL in the plasma and various tissues were quantified using LC-MS/MS.  The plasma concentrations of ZEA were measurable up to 2 h after iv and po administration, and the concentrations of ?-ZOL and ?-ZOL were detected up to 4 h after both types of administration. A two-compartment model was developed to describe the toxicokinetic of ZEA in broilers. The values of t1/2? and Vd were 1.36 ? 0.29 h and 6.40 ? 0.89 l/kg, respectively. The absolute oral bioavailability was 29.66 ? 5.6%. ZEA, ?-ZOL and ?-ZOL were measurable in the vital organs after po administration. These results suggest that ZEA is absorbed from the gastrointestina</t>
  </si>
  <si>
    <t>Objective To compare the effects of continuous rate infusions (CRIs) of intravenous (IV) morphine and morphine-tramadol on the minimum alveolar con- centration (MAC) of sevoflurane, and on electroen- cephalographic entropy indices in dogs.
Design Prospective study.
Animals Eight young, healthy German shepherds,
weighing 26.3 ` 3.1 kg (mean ` SD).
Methods Anaesthesia was induced and maintained with sevoflurane. A standard tail-clamp technique was used for MAC determination. Within one anaesthetic period, MAC was first determined during sevoflurane anaesthesia alone (MACB); then during morphine infusion (MACM), (loading dose 0.5 mg kg_x0003_1IM; CRI, 0.2 mg kg_x0003_1 hour_x0003_1) then finally during morphine-tramadol infusion (tramadol load- ing dose 1.5 mg kg_x0003_1IV; CRI, 2.6 mg kg_x0003_1 hour_x0003_1) (MACMT). At each change, periods of 45 minutes were allowed for equilibration. Stated entropy (SE), response entropy (RE), and RE-SE differences were measured five minutes prior to and during tail clamping.
Results The MACB was 2.1 ` 0.3vol%</t>
  </si>
  <si>
    <t>หน่วยงานต้นสังกัด</t>
  </si>
  <si>
    <t>COUNTA of SourceName</t>
  </si>
  <si>
    <t>County</t>
  </si>
  <si>
    <t>SJR Q</t>
  </si>
  <si>
    <t>ไม่พบ</t>
  </si>
  <si>
    <t>Grand Total</t>
  </si>
  <si>
    <t>ลำดับ</t>
  </si>
  <si>
    <t>ปี ค.ศ.</t>
  </si>
  <si>
    <t>รายชื่อ</t>
  </si>
  <si>
    <t>ผลงานวิจัย</t>
  </si>
  <si>
    <t>รายชื่อ อาจารย์ผู้รับผิดชอบหลักสูตร</t>
  </si>
  <si>
    <t>ผศ.น.สพ.ดร.เฉลิมเกียรติ แสงทองพินิจ</t>
  </si>
  <si>
    <t>รศ.ดร.จันทิมา พฤกษากร</t>
  </si>
  <si>
    <t>ผศ.สพ.ญ.ดร.ประภัสสร บุญสูงเนิน</t>
  </si>
  <si>
    <t>COUNTA of รายชื่อ อาจารย์ผู้รับผิดชอบหลักสูตร</t>
  </si>
  <si>
    <t>(blank)</t>
  </si>
  <si>
    <t>Proceeding of the 10th MUT Veterinary Annual Conference 2017 and the 1st MUT International Conference on Veterinary and Animal Sciences 2017. Feb 2nd, RBuilding. Faculty of Veterinary Medicine, Mahanakorn University of Technology, Bangkok, Thailand pp.8-9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</si>
</sst>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0000000000000"/>
  </numFmts>
  <fonts count="24">
    <font>
      <sz val="11"/>
      <color theme="1"/>
      <name val="Tahoma"/>
      <scheme val="minor"/>
    </font>
    <font>
      <b/>
      <sz val="11"/>
      <color theme="1"/>
      <name val="Tahoma"/>
    </font>
    <font>
      <b/>
      <sz val="12"/>
      <color theme="1"/>
      <name val="Tahoma"/>
      <scheme val="minor"/>
    </font>
    <font>
      <b/>
      <sz val="11"/>
      <color rgb="FF1F1F1F"/>
      <name val="Tahoma"/>
      <scheme val="minor"/>
    </font>
    <font>
      <sz val="11"/>
      <color rgb="FF1F1F1F"/>
      <name val="&quot;Google Sans&quot;"/>
    </font>
    <font>
      <b/>
      <sz val="11"/>
      <color theme="1"/>
      <name val="Tahoma"/>
      <scheme val="minor"/>
    </font>
    <font>
      <sz val="11"/>
      <color theme="1"/>
      <name val="&quot;Aptos Narrow&quot;"/>
    </font>
    <font>
      <sz val="11"/>
      <color theme="1"/>
      <name val="Arial"/>
    </font>
    <font>
      <sz val="11"/>
      <color rgb="FF1F1F1F"/>
      <name val="Tahoma"/>
    </font>
    <font>
      <sz val="11"/>
      <color theme="1"/>
      <name val="Tahoma"/>
    </font>
    <font>
      <sz val="9"/>
      <color theme="1"/>
      <name val="Tahoma"/>
    </font>
    <font>
      <sz val="9"/>
      <color theme="1"/>
      <name val="&quot;Google Sans Mono&quot;"/>
    </font>
    <font>
      <sz val="11"/>
      <color theme="1"/>
      <name val="Tahoma"/>
    </font>
    <font>
      <sz val="11"/>
      <color theme="1"/>
      <name val="Calibri"/>
    </font>
    <font>
      <sz val="11"/>
      <color theme="1"/>
      <name val="Tahoma"/>
      <scheme val="minor"/>
    </font>
    <font>
      <sz val="11"/>
      <color rgb="FF000000"/>
      <name val="Calibri"/>
    </font>
    <font>
      <b/>
      <sz val="11"/>
      <color rgb="FF000000"/>
      <name val="Calibri"/>
    </font>
    <font>
      <b/>
      <sz val="12"/>
      <color rgb="FF000000"/>
      <name val="Arial"/>
    </font>
    <font>
      <sz val="14"/>
      <color rgb="FF000000"/>
      <name val="Arial"/>
    </font>
    <font>
      <sz val="14"/>
      <color rgb="FF000000"/>
      <name val="Calibri"/>
    </font>
    <font>
      <b/>
      <sz val="11"/>
      <color rgb="FFFFFFFF"/>
      <name val="Tahoma"/>
    </font>
    <font>
      <sz val="11"/>
      <color rgb="FF000000"/>
      <name val="Tahoma"/>
    </font>
    <font>
      <b/>
      <sz val="11"/>
      <color rgb="FFFFFFFF"/>
      <name val="Calibri"/>
    </font>
    <font>
      <i/>
      <sz val="11"/>
      <color theme="1"/>
      <name val="Tahoma"/>
    </font>
  </fonts>
  <fills count="9">
    <fill>
      <patternFill patternType="none"/>
    </fill>
    <fill>
      <patternFill patternType="gray125"/>
    </fill>
    <fill>
      <patternFill patternType="solid">
        <fgColor rgb="FFFFFFFF"/>
        <bgColor rgb="FFFFFFFF"/>
      </patternFill>
    </fill>
    <fill>
      <patternFill patternType="solid">
        <fgColor rgb="FFEFEFEF"/>
        <bgColor rgb="FFEFEFEF"/>
      </patternFill>
    </fill>
    <fill>
      <patternFill patternType="solid">
        <fgColor rgb="FFE2EFDA"/>
        <bgColor rgb="FFE2EFDA"/>
      </patternFill>
    </fill>
    <fill>
      <patternFill patternType="solid">
        <fgColor rgb="FF70AD47"/>
        <bgColor rgb="FF70AD47"/>
      </patternFill>
    </fill>
    <fill>
      <patternFill patternType="solid">
        <fgColor rgb="FFD8DEE8"/>
        <bgColor rgb="FFD8DEE8"/>
      </patternFill>
    </fill>
    <fill>
      <patternFill patternType="solid">
        <fgColor rgb="FF657BA3"/>
        <bgColor rgb="FF657BA3"/>
      </patternFill>
    </fill>
    <fill>
      <patternFill patternType="solid">
        <fgColor rgb="FFF2F4F7"/>
        <bgColor rgb="FFF2F4F7"/>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A9D08E"/>
      </left>
      <right/>
      <top/>
      <bottom style="thin">
        <color rgb="FFA9D08E"/>
      </bottom>
      <diagonal/>
    </border>
    <border>
      <left/>
      <right/>
      <top style="thin">
        <color rgb="FFA9D08E"/>
      </top>
      <bottom style="thin">
        <color rgb="FFA9D08E"/>
      </bottom>
      <diagonal/>
    </border>
    <border>
      <left style="thin">
        <color rgb="FFA9D08E"/>
      </left>
      <right/>
      <top style="thin">
        <color rgb="FFA9D08E"/>
      </top>
      <bottom style="thin">
        <color rgb="FFA9D08E"/>
      </bottom>
      <diagonal/>
    </border>
    <border>
      <left/>
      <right/>
      <top/>
      <bottom style="thin">
        <color rgb="FFA9D08E"/>
      </bottom>
      <diagonal/>
    </border>
    <border>
      <left/>
      <right style="thin">
        <color rgb="FFA9D08E"/>
      </right>
      <top/>
      <bottom style="thin">
        <color rgb="FFA9D08E"/>
      </bottom>
      <diagonal/>
    </border>
    <border>
      <left/>
      <right style="thin">
        <color rgb="FFA9D08E"/>
      </right>
      <top style="thin">
        <color rgb="FFA9D08E"/>
      </top>
      <bottom style="thin">
        <color rgb="FFA9D08E"/>
      </bottom>
      <diagonal/>
    </border>
    <border>
      <left/>
      <right/>
      <top/>
      <bottom style="thick">
        <color rgb="FF657BA3"/>
      </bottom>
      <diagonal/>
    </border>
    <border>
      <left/>
      <right style="thin">
        <color rgb="FFFFFFFF"/>
      </right>
      <top style="thick">
        <color rgb="FF657BA3"/>
      </top>
      <bottom/>
      <diagonal/>
    </border>
    <border>
      <left style="thin">
        <color rgb="FFFFFFFF"/>
      </left>
      <right/>
      <top style="thick">
        <color rgb="FF657BA3"/>
      </top>
      <bottom/>
      <diagonal/>
    </border>
    <border>
      <left/>
      <right style="thin">
        <color rgb="FFFFFFFF"/>
      </right>
      <top/>
      <bottom/>
      <diagonal/>
    </border>
    <border>
      <left style="thin">
        <color rgb="FFFFFFFF"/>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91">
    <xf numFmtId="0" fontId="0" fillId="0" borderId="0" xfId="0"/>
    <xf numFmtId="0" fontId="1" fillId="0" borderId="0" xfId="0" applyFont="1" applyAlignment="1">
      <alignment vertical="top"/>
    </xf>
    <xf numFmtId="0" fontId="1" fillId="0" borderId="0" xfId="0" applyFont="1" applyAlignment="1">
      <alignment horizontal="right" vertical="top"/>
    </xf>
    <xf numFmtId="0" fontId="1" fillId="0" borderId="0" xfId="0" applyFont="1" applyAlignment="1">
      <alignment horizontal="left" vertical="top"/>
    </xf>
    <xf numFmtId="0" fontId="2" fillId="0" borderId="0" xfId="0" applyFont="1" applyAlignment="1">
      <alignment horizontal="center" vertical="top"/>
    </xf>
    <xf numFmtId="0" fontId="3" fillId="2" borderId="0" xfId="0" applyFont="1" applyFill="1" applyAlignment="1">
      <alignment vertical="center"/>
    </xf>
    <xf numFmtId="0" fontId="1" fillId="0" borderId="0" xfId="0" applyFont="1" applyAlignment="1">
      <alignment horizontal="center" vertical="top"/>
    </xf>
    <xf numFmtId="0" fontId="4" fillId="2" borderId="0" xfId="0" applyFont="1" applyFill="1" applyAlignment="1">
      <alignment horizontal="center"/>
    </xf>
    <xf numFmtId="0" fontId="3" fillId="2" borderId="0" xfId="0" applyFont="1" applyFill="1" applyAlignment="1">
      <alignment horizontal="center" vertical="center"/>
    </xf>
    <xf numFmtId="0" fontId="5" fillId="0" borderId="0" xfId="0" applyFont="1" applyAlignment="1">
      <alignment horizontal="center" vertical="top"/>
    </xf>
    <xf numFmtId="0" fontId="6" fillId="0" borderId="0" xfId="0" applyFont="1" applyAlignment="1">
      <alignment horizontal="right"/>
    </xf>
    <xf numFmtId="0" fontId="6" fillId="0" borderId="0" xfId="0" applyFont="1"/>
    <xf numFmtId="0" fontId="7" fillId="0" borderId="0" xfId="0" applyFont="1"/>
    <xf numFmtId="0" fontId="8" fillId="2" borderId="0" xfId="0" applyFont="1" applyFill="1"/>
    <xf numFmtId="0" fontId="9" fillId="0" borderId="0" xfId="0" applyFont="1"/>
    <xf numFmtId="0" fontId="9" fillId="0" borderId="0" xfId="0" applyFont="1" applyAlignment="1">
      <alignment vertical="top"/>
    </xf>
    <xf numFmtId="0" fontId="10" fillId="2" borderId="0" xfId="0" applyFont="1" applyFill="1"/>
    <xf numFmtId="0" fontId="11" fillId="2" borderId="0" xfId="0" applyFont="1" applyFill="1" applyAlignment="1">
      <alignment horizontal="center"/>
    </xf>
    <xf numFmtId="0" fontId="9" fillId="0" borderId="0" xfId="0" applyFont="1" applyAlignment="1">
      <alignment horizontal="center" vertical="top"/>
    </xf>
    <xf numFmtId="0" fontId="9" fillId="2" borderId="0" xfId="0" applyFont="1" applyFill="1"/>
    <xf numFmtId="0" fontId="9" fillId="0" borderId="0" xfId="0" applyFont="1" applyAlignment="1">
      <alignment horizontal="right" vertical="top"/>
    </xf>
    <xf numFmtId="0" fontId="12" fillId="2" borderId="0" xfId="0" applyFont="1" applyFill="1"/>
    <xf numFmtId="0" fontId="13" fillId="0" borderId="0" xfId="0" applyFont="1" applyAlignment="1">
      <alignment horizontal="center"/>
    </xf>
    <xf numFmtId="0" fontId="7" fillId="0" borderId="0" xfId="0" applyFont="1" applyAlignment="1">
      <alignment horizontal="right"/>
    </xf>
    <xf numFmtId="0" fontId="14" fillId="0" borderId="0" xfId="0" applyFont="1"/>
    <xf numFmtId="0" fontId="1" fillId="0" borderId="0" xfId="0" applyFont="1" applyAlignment="1">
      <alignment vertical="top" wrapText="1"/>
    </xf>
    <xf numFmtId="0" fontId="15" fillId="0" borderId="0" xfId="0" applyFont="1" applyAlignment="1">
      <alignment horizontal="right"/>
    </xf>
    <xf numFmtId="0" fontId="15" fillId="0" borderId="0" xfId="0" applyFont="1" applyAlignment="1">
      <alignment horizontal="left"/>
    </xf>
    <xf numFmtId="0" fontId="15" fillId="0" borderId="0" xfId="0" applyFont="1"/>
    <xf numFmtId="0" fontId="15" fillId="0" borderId="0" xfId="0" applyFont="1" applyAlignment="1">
      <alignment horizontal="left" wrapText="1"/>
    </xf>
    <xf numFmtId="0" fontId="15" fillId="0" borderId="0" xfId="0" quotePrefix="1" applyFont="1" applyAlignment="1">
      <alignment horizontal="left"/>
    </xf>
    <xf numFmtId="0" fontId="15" fillId="0" borderId="0" xfId="0" applyFont="1" applyAlignment="1">
      <alignment wrapText="1"/>
    </xf>
    <xf numFmtId="0" fontId="9" fillId="0" borderId="0" xfId="0" applyFont="1" applyAlignment="1">
      <alignment horizontal="center"/>
    </xf>
    <xf numFmtId="0" fontId="1" fillId="0" borderId="0" xfId="0" applyFont="1"/>
    <xf numFmtId="167" fontId="1" fillId="0" borderId="0" xfId="0" applyNumberFormat="1" applyFont="1"/>
    <xf numFmtId="167" fontId="9" fillId="0" borderId="0" xfId="0" applyNumberFormat="1" applyFont="1"/>
    <xf numFmtId="0" fontId="16" fillId="0" borderId="0" xfId="0" applyFont="1"/>
    <xf numFmtId="0" fontId="17" fillId="3" borderId="1" xfId="0" applyFont="1" applyFill="1" applyBorder="1" applyAlignment="1">
      <alignment horizontal="center"/>
    </xf>
    <xf numFmtId="0" fontId="14" fillId="3" borderId="0" xfId="0" applyFont="1" applyFill="1" applyAlignment="1">
      <alignment horizontal="center"/>
    </xf>
    <xf numFmtId="0" fontId="18" fillId="0" borderId="1" xfId="0" applyFont="1" applyBorder="1" applyAlignment="1">
      <alignment horizontal="center"/>
    </xf>
    <xf numFmtId="0" fontId="19" fillId="0" borderId="1" xfId="0" applyFont="1" applyBorder="1" applyAlignment="1">
      <alignment horizontal="center"/>
    </xf>
    <xf numFmtId="0" fontId="19" fillId="0" borderId="1" xfId="0" applyFont="1" applyBorder="1"/>
    <xf numFmtId="0" fontId="14" fillId="0" borderId="0" xfId="0" applyFont="1" applyAlignment="1">
      <alignment horizontal="center"/>
    </xf>
    <xf numFmtId="0" fontId="13" fillId="4" borderId="2" xfId="0" applyFont="1" applyFill="1" applyBorder="1"/>
    <xf numFmtId="0" fontId="20" fillId="5" borderId="3" xfId="0" applyFont="1" applyFill="1" applyBorder="1"/>
    <xf numFmtId="0" fontId="20" fillId="5" borderId="4" xfId="0" applyFont="1" applyFill="1" applyBorder="1" applyAlignment="1">
      <alignment horizontal="right"/>
    </xf>
    <xf numFmtId="0" fontId="13" fillId="0" borderId="0" xfId="0" applyFont="1"/>
    <xf numFmtId="0" fontId="9" fillId="4" borderId="5" xfId="0" applyFont="1" applyFill="1" applyBorder="1" applyAlignment="1">
      <alignment horizontal="right"/>
    </xf>
    <xf numFmtId="0" fontId="9" fillId="4" borderId="5" xfId="0" applyFont="1" applyFill="1" applyBorder="1"/>
    <xf numFmtId="0" fontId="9" fillId="4" borderId="6" xfId="0" applyFont="1" applyFill="1" applyBorder="1"/>
    <xf numFmtId="0" fontId="21" fillId="4" borderId="4" xfId="0" applyFont="1" applyFill="1" applyBorder="1" applyAlignment="1">
      <alignment horizontal="right"/>
    </xf>
    <xf numFmtId="0" fontId="9" fillId="0" borderId="2" xfId="0" applyFont="1" applyBorder="1" applyAlignment="1">
      <alignment horizontal="right"/>
    </xf>
    <xf numFmtId="0" fontId="9" fillId="0" borderId="5" xfId="0" applyFont="1" applyBorder="1" applyAlignment="1">
      <alignment horizontal="right"/>
    </xf>
    <xf numFmtId="0" fontId="9" fillId="0" borderId="5" xfId="0" applyFont="1" applyBorder="1"/>
    <xf numFmtId="0" fontId="9" fillId="0" borderId="6" xfId="0" applyFont="1" applyBorder="1"/>
    <xf numFmtId="0" fontId="21" fillId="0" borderId="4" xfId="0" applyFont="1" applyBorder="1" applyAlignment="1">
      <alignment horizontal="right"/>
    </xf>
    <xf numFmtId="0" fontId="9" fillId="4" borderId="2" xfId="0" applyFont="1" applyFill="1" applyBorder="1" applyAlignment="1">
      <alignment horizontal="right"/>
    </xf>
    <xf numFmtId="0" fontId="13" fillId="0" borderId="0" xfId="0" applyFont="1" applyAlignment="1">
      <alignment horizontal="right"/>
    </xf>
    <xf numFmtId="14" fontId="14" fillId="0" borderId="0" xfId="0" applyNumberFormat="1" applyFont="1"/>
    <xf numFmtId="0" fontId="22" fillId="5" borderId="4" xfId="0" applyFont="1" applyFill="1" applyBorder="1" applyAlignment="1">
      <alignment horizontal="left"/>
    </xf>
    <xf numFmtId="0" fontId="22" fillId="5" borderId="3" xfId="0" applyFont="1" applyFill="1" applyBorder="1" applyAlignment="1">
      <alignment horizontal="left"/>
    </xf>
    <xf numFmtId="0" fontId="22" fillId="5" borderId="7" xfId="0" applyFont="1" applyFill="1" applyBorder="1" applyAlignment="1">
      <alignment horizontal="left"/>
    </xf>
    <xf numFmtId="0" fontId="15" fillId="4" borderId="4" xfId="0" applyFont="1" applyFill="1" applyBorder="1" applyAlignment="1">
      <alignment horizontal="right"/>
    </xf>
    <xf numFmtId="0" fontId="15" fillId="4" borderId="3" xfId="0" applyFont="1" applyFill="1" applyBorder="1" applyAlignment="1">
      <alignment horizontal="right"/>
    </xf>
    <xf numFmtId="0" fontId="15" fillId="4" borderId="3" xfId="0" applyFont="1" applyFill="1" applyBorder="1" applyAlignment="1">
      <alignment horizontal="left"/>
    </xf>
    <xf numFmtId="0" fontId="15" fillId="4" borderId="7" xfId="0" applyFont="1" applyFill="1" applyBorder="1" applyAlignment="1">
      <alignment horizontal="left"/>
    </xf>
    <xf numFmtId="0" fontId="15" fillId="0" borderId="4" xfId="0" applyFont="1" applyBorder="1" applyAlignment="1">
      <alignment horizontal="right"/>
    </xf>
    <xf numFmtId="0" fontId="15" fillId="0" borderId="3" xfId="0" applyFont="1" applyBorder="1" applyAlignment="1">
      <alignment horizontal="right"/>
    </xf>
    <xf numFmtId="0" fontId="15" fillId="0" borderId="3" xfId="0" applyFont="1" applyBorder="1" applyAlignment="1">
      <alignment horizontal="left"/>
    </xf>
    <xf numFmtId="0" fontId="15" fillId="0" borderId="7" xfId="0" applyFont="1" applyBorder="1" applyAlignment="1">
      <alignment horizontal="left"/>
    </xf>
    <xf numFmtId="0" fontId="9" fillId="0" borderId="0" xfId="0" applyFont="1" applyAlignment="1">
      <alignment wrapText="1"/>
    </xf>
    <xf numFmtId="0" fontId="23" fillId="6" borderId="8" xfId="0" applyFont="1" applyFill="1" applyBorder="1"/>
    <xf numFmtId="0" fontId="20" fillId="7" borderId="8" xfId="0" applyFont="1" applyFill="1" applyBorder="1"/>
    <xf numFmtId="0" fontId="1" fillId="0" borderId="0" xfId="0" applyFont="1" applyAlignment="1">
      <alignment horizontal="center"/>
    </xf>
    <xf numFmtId="0" fontId="9" fillId="8" borderId="9" xfId="0" applyFont="1" applyFill="1" applyBorder="1"/>
    <xf numFmtId="0" fontId="9" fillId="2" borderId="10" xfId="0" applyFont="1" applyFill="1" applyBorder="1" applyAlignment="1">
      <alignment horizontal="right"/>
    </xf>
    <xf numFmtId="0" fontId="9" fillId="0" borderId="0" xfId="0" applyFont="1" applyAlignment="1">
      <alignment horizontal="left"/>
    </xf>
    <xf numFmtId="0" fontId="14" fillId="0" borderId="0" xfId="0" applyFont="1" applyAlignment="1">
      <alignment horizontal="left"/>
    </xf>
    <xf numFmtId="0" fontId="9" fillId="8" borderId="11" xfId="0" applyFont="1" applyFill="1" applyBorder="1"/>
    <xf numFmtId="0" fontId="9" fillId="2" borderId="12" xfId="0" applyFont="1" applyFill="1" applyBorder="1" applyAlignment="1">
      <alignment horizontal="right"/>
    </xf>
    <xf numFmtId="0" fontId="0" fillId="0" borderId="13" xfId="0" pivotButton="1" applyBorder="1"/>
    <xf numFmtId="0" fontId="0" fillId="0" borderId="14" xfId="0" applyBorder="1"/>
    <xf numFmtId="0" fontId="0" fillId="0" borderId="13" xfId="0" applyBorder="1"/>
    <xf numFmtId="0" fontId="0" fillId="0" borderId="14" xfId="0" applyNumberFormat="1" applyBorder="1"/>
    <xf numFmtId="0" fontId="0" fillId="0" borderId="15" xfId="0" applyBorder="1"/>
    <xf numFmtId="0" fontId="0" fillId="0" borderId="16" xfId="0" applyNumberFormat="1" applyBorder="1"/>
    <xf numFmtId="0" fontId="0" fillId="0" borderId="17" xfId="0" applyBorder="1"/>
    <xf numFmtId="0" fontId="0" fillId="0" borderId="18" xfId="0" applyNumberFormat="1" applyBorder="1"/>
    <xf numFmtId="0" fontId="0" fillId="0" borderId="14" xfId="0" pivotButton="1" applyBorder="1"/>
    <xf numFmtId="0" fontId="0" fillId="0" borderId="16" xfId="0" applyBorder="1"/>
    <xf numFmtId="0" fontId="0" fillId="0" borderId="18"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PC-DIAG" refreshedDate="46069.402620486107" refreshedVersion="8" recordCount="1790" xr:uid="{00000000-000A-0000-FFFF-FFFF01000000}">
  <cacheSource type="worksheet">
    <worksheetSource ref="E1:E5" sheet="ผลงานวิจัยอาจารผู้รับผิดชอบหลัก"/>
  </cacheSource>
  <cacheFields count="1">
    <cacheField name="รายชื่อ อาจารย์ผู้รับผิดชอบหลักสูตร" numFmtId="0">
      <sharedItems containsBlank="1" count="33">
        <s v="ผศ.สพ.ญ.ดร.กรรณิการ์ ศิริภัทรประวัติ"/>
        <s v="ผศ.น.สพ.ดร.ชัยกร ฐิติญาณพร"/>
        <s v="ผศ.น.สพ.ดร.ไชยยันต์ เกษรดอกบัว"/>
        <s v="รศ.สพ.ญ.ดร.ทัศนีย์ เจริญทรง"/>
        <s v="อ.สพ.ญ.ดร.ม.ล.นฤดี เกษมสันต์"/>
        <s v="รศ.น.สพ.ดร.ธีระ รักความสุข"/>
        <s v="รศ.น.สพ.ดร.พิษณุ ตุลยกุล"/>
        <s v="รศ.น.สพ.ดร.วิน สุรเชษฐพงษ์"/>
        <s v="รศ.สพ.ญ.ดร.สุนทรี เพ็ชรดี"/>
        <s v="ผศ.น.สพ.ดร.อาสูตร สงวนเกียรติ"/>
        <s v="ผศ.สพ.ญ.ดร.กานต์สุดา ลีฬหาพงศธร"/>
        <s v="รศ.ดร.เกษริน ขำยิ่งเกิด"/>
        <s v="รศ.ดร.จันทิมา พฤกษากร"/>
        <s v="ผศ.สพ.ญ.ดร.วราพร พิมพ์ประไพ"/>
        <s v="ผศ.สพ.ญ.ดร.ไกรสิริ ขีดขั้น"/>
        <s v="รศ.สพ.ญ.ดร.ปารียา อุดมกุศลศรี"/>
        <s v="รศ.ดร.ศรัญญา พัวพลเทพ"/>
        <s v="รศ.ดร.อำนาจ พัวพลเทพ"/>
        <s v="ผศ.สพ.ญ.ดร.ชมพูเนกข์ ยุรญาติ"/>
        <s v="รศ.น.สพ.ดร.ณัฐสิทธิ์ ตันสกุล"/>
        <s v="ผศ.ดร.ปรีดา เลิศวัชระสารกุล"/>
        <s v="ผศ.สพ.ญ.ดร.ประภัสสร บุญสูงเนิน"/>
        <s v="ผศ.สพ.ญ.ดร.อุไร พงศ์ชัยฤกษ์"/>
        <s v="ผศ.น.สพ.ดร.เกรียงไกร วิฑูรย์เสถียร"/>
        <s v="ผศ.น.สพ.ดร.พรชัย สัญฐิติเสรี"/>
        <s v="ผศ.สพ.ญ.ดร.มนชนก วิจารสรณ์"/>
        <s v="รศ.น.สพ.ดร.กัญจน์ แก้วมงคล"/>
        <s v="ผศ.น.สพ.ดร.วรกิจ เชิดชูธรรม"/>
        <s v="รศ.น.สพ.ดร.มานะกร สุขมาก"/>
        <s v="ผศ.สพ.ญ.ดร.สุภาเพ็ญ ศรีพิบูลย์"/>
        <s v="รศ.น.สพ.ดร.เมธา จันดา"/>
        <s v="รศ.สพ.ญ.ดร.อุสุมา เจิมนาค"/>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PC-DIAG" refreshedDate="46069.402620486107" refreshedVersion="8" recordCount="7046" xr:uid="{00000000-000A-0000-FFFF-FFFF00000000}">
  <cacheSource type="worksheet">
    <worksheetSource ref="F1:F8" sheet="ALL"/>
  </cacheSource>
  <cacheFields count="1">
    <cacheField name="SourceName" numFmtId="0">
      <sharedItems count="363">
        <s v="Asian-Australasian Journal of Animal Sciences"/>
        <s v="BMC Veterinary Research"/>
        <s v="Viruses"/>
        <s v="Thai Journal of Veterinary Medicine"/>
        <s v="Bangkok Medical Journal"/>
        <s v="วารสารสัตวแพทย์"/>
        <s v="KKU Veterinary Journal"/>
        <s v="Journal of Veterinary Pharmacology and Therapeutics"/>
        <s v="วารสารอายุรศาสตร์เขตร้อนและปาราสิตวิทยา"/>
        <s v="Toxicology Reports"/>
        <s v="Journal of Small Animal Practice"/>
        <s v="สัตวแพทย์มหานคร"/>
        <s v="Veterinary Anaesthesia and Analgesia"/>
        <s v="Journal of Veterinary Science"/>
        <s v="Experimental and Applied Acarology"/>
        <s v="Southeast Asian Journal of Tropical Medicine and Public Health"/>
        <s v="เชียงใหม่สัตวแพทยสาร"/>
        <s v="Virology Journal"/>
        <s v="Andrologia"/>
        <s v="Journal of Equine Veterinary Science"/>
        <s v="Poultry Science"/>
        <s v="Veterinary Microbiology"/>
        <s v="Parasites and Vectors"/>
        <s v="Preventive Veterinary Medicine"/>
        <s v="Genetics and Molecular Research"/>
        <s v="Environmental Toxicology and Pharmacology"/>
        <s v="วารสารสัตวศาสตร์แห่งประเทศไทย (Thai Journal of Animal Science)"/>
        <s v="BioMed Research International"/>
        <s v="Czech Journal of Animal Science"/>
        <s v="American Journal of Veterinary Research"/>
        <s v="International Journal of Developmental Biology"/>
        <s v="Archives of Pharmacal Research"/>
        <s v="Japanese Journal of Veterinary Research"/>
        <s v="Comparative Clinical Pathology"/>
        <s v="วารสารวิทยาศาสตร์ลาดกระบัง (JOURNAL OF SCIENCE LADKRABANG)"/>
        <s v="สัตวแพทย์มหานครสาร"/>
        <s v="Drug Testing and Analysis"/>
        <s v="Environmental Science and Pollution Research"/>
        <s v="Macromolecular Symposia"/>
        <s v="Journal of Infection and Chemotherapy"/>
        <s v="Evidence-Based Complememtary and Alternative Medicine"/>
        <s v="Acta Parasitologica"/>
        <s v="Journal of Molecular and Cellular Cardiology"/>
        <s v="Turkish Journal of Veterinary and Animal Sciences"/>
        <s v="Biocontrol Science"/>
        <s v="Tropical Medicine and International Health"/>
        <s v="Journal of Veterinary Medical Science"/>
        <s v="Bioscience, Biotechnology and Biochemistry"/>
        <s v="Italian Journal of Animal Science"/>
        <s v="Journal of Kasetsart Veterinarians"/>
        <s v="วารสารการประมง"/>
        <s v="วารสารสัตวแพทย์ (Journal of Kasetsart Veterinarians)"/>
        <s v="ว.วิทย. มข."/>
        <s v="Vaccine"/>
        <s v="Veterinary Pathology"/>
        <s v="Journal of Tissue Engineering"/>
        <s v="Livestock Science"/>
        <s v="Environmental Toxicology and Chemistry"/>
        <s v="Research in Veterinary Science"/>
        <s v="Kasetsart Journal - Natural Science"/>
        <s v="แก่นเกษตร"/>
        <s v="PLOS neglected tropical diseases"/>
        <s v="Heart"/>
        <s v="Asian Journal of Plant Science &amp; Research"/>
        <s v="Ecotoxicology and Environmental Safety"/>
        <s v="Modern Applied Science"/>
        <s v="Veterinary Medicine International"/>
        <s v="One Health"/>
        <s v="Journal of Pharmaceutical and Biomedical Analysis"/>
        <s v="Journal of Mahanakorn Veterinary Medicine"/>
        <s v="Mitochondrial DNA"/>
        <s v="Journal of Veterinary Internal Medicine"/>
        <s v="Pakistan Veterinary Journal"/>
        <s v="Neuroscience Letters"/>
        <s v="Journal of Applied Animal Science"/>
        <s v="พุทธชินราชเวชสาร"/>
        <s v="Journal of Science and Technology"/>
        <s v="Agriculture and Natural Resources"/>
        <s v="Transboundary and Emerging Diseases"/>
        <s v="Journal of Dairy Science"/>
        <s v="Veterinary Journal"/>
        <s v="Toxicon"/>
        <s v="Stem cells translational medicine"/>
        <s v="Israel Journal of Veterinary Medicine"/>
        <s v="Journal of Virology"/>
        <s v="Journal of Economic Entomology"/>
        <s v="Molecular Ecology"/>
        <s v="Molecules"/>
        <s v="ACS Biomaterials Science and Engineering"/>
        <s v="Environmental Monitoring and Assessment"/>
        <s v="Methods in Cell Biology"/>
        <s v="Maejo International Journal of Science and Technology"/>
        <s v="Conservation Physiology"/>
        <s v="Experimental Parasitology"/>
        <s v="Infection, Genetics and Evolution"/>
        <s v="Reproduction in Domestic Animals"/>
        <s v="วิทยาศาสตร์และเทคโนโลยี"/>
        <s v="Acta Tropica"/>
        <s v="Veterinary Clinical Pathology"/>
        <s v="Journal of Food Protection"/>
        <s v="Journal of Toxicologic Pathology"/>
        <s v="Veterinary Ophthalmology"/>
        <s v="Songklanakarin Journal of Science and Technology"/>
        <s v="ข่าวสารเทคโนโลยีชีวภาพเกาตร"/>
        <s v="The Prostate"/>
        <s v="Endangered Species Research"/>
        <s v="Korean Journal of Parasitology"/>
        <s v="Veterinary Sciences"/>
        <s v="Tropical Biomedicine"/>
        <s v="Neuroendocrinology"/>
        <s v="Environmental Pollution"/>
        <s v="Neurochemistry International"/>
        <s v="Comparative Biochemistry and Physiology Part - C: Toxicology and Pharmacology"/>
        <s v="International Journal of Infectious Diseases"/>
        <s v="Canadian Journal of Veterinary Research"/>
        <s v="Archives of Virology"/>
        <s v="วารสารสาธารณสุขศาสตร์"/>
        <s v="International Journal of Environmental Research and Public Health"/>
        <s v="Journal of science and technology Mahasarakham University"/>
        <s v="Neurobiology of Aging"/>
        <s v="Journal of Zoo and Wildlife Medicine"/>
        <s v="Zoologischer Anzeiger"/>
        <s v="Journal of Kasetsart Veterinarians (Thailand)"/>
        <s v="Meat Science"/>
        <s v="Primates"/>
        <s v="Parasitology International"/>
        <s v="Polish Journal of Veterinary Sciences"/>
        <s v="World Mycotoxin Journal"/>
        <s v="Asian Journal of Animal and Veterinary Advances"/>
        <s v="Medical Mycology Case Reports"/>
        <s v="Theriogenology"/>
        <s v="Avicenna Journal of Phytomedicine"/>
        <s v="Science of the Total Environment"/>
        <s v="Current Topics in Salmonella and Salmonellosis"/>
        <s v="Journal of Fish diseases"/>
        <s v="Diseases of Aquatic Organisms"/>
        <s v="Journal of medical microbiology"/>
        <s v="วารสารวิทยาศาสตร์เกษตร (ฉบับพิเศษ)"/>
        <s v="วารสารวิทยาศาสตร์เกษตร"/>
        <s v="Journal of the Science of Food and Agriculture"/>
        <s v="Emerging Infectious Diseases"/>
        <s v="Toxins"/>
        <s v="Mitochondrial DNA Part A: DNA Mapping, Sequencing, and Analysis"/>
        <s v="วารสารสัตวแพทย์ผู้ประกอบการบำบัดโรคสัตว์แห่งประเทศไทย"/>
        <s v="BMC Evolutionary Biology"/>
        <s v="Journal of Healthcare Engineering"/>
        <s v="PLoS ONE"/>
        <s v="American Journal of Physiology - Endocrinology and Metabolism"/>
        <s v="Journal of Anatomy"/>
        <s v="Journal of Asia-Pacific Entomology"/>
        <s v="American Journal of Animal and Veterinary Sciences"/>
        <s v="Neural Regeneration Research"/>
        <s v="Chemosphere"/>
        <s v="Tropical Animal Health and Production"/>
        <s v="Microbial Drug Resistance"/>
        <s v="Journal of Microbiological Methods"/>
        <s v="Livestock Research for Rural Development"/>
        <s v="Animal Science Journal"/>
        <s v="Scientific Reports"/>
        <s v="Journal of Wildlife in Thailand"/>
        <s v="International Journal of Molecular Sciences"/>
        <s v="Bulgarian Journal of Veterinary Medicine"/>
        <s v="Proceeding of the 10th MUT Veterinary Annual Conference 2017 and the 1st MUT International Conference on Veterinary and Animal Sciences 2017. Feb 2nd, RBuilding. Faculty of Veterinary Medicine, Mahanakorn University of Technology, Bangkok, Thailand pp.8-9"/>
        <s v="วารสารวิทยาศาสตร์ มข. (KKU Sci. J)"/>
        <s v="American Journal of Tropical Medicine and Hygiene"/>
        <s v="Aquaculture"/>
        <s v="Biochimica et Biophysica Acta - Biomembranes"/>
        <s v="RSC Advances"/>
        <s v="Veterinary and Comparative Orthopaedics and Traumatology"/>
        <s v="Proceedings of the National Academy of Sciences of the United States of America"/>
        <s v="British Poultry Science"/>
        <s v="Acta Scientiae Veterinariae"/>
        <s v="Parasitology"/>
        <s v="International Journal of Pharma Medicine and Biological Sciences"/>
        <s v="วารสารวิจัยระบบสาธารณสุข"/>
        <s v="วารสารวิจัยและส่งเสริมวิชาการเกษตร"/>
        <s v="Advances in Parasitology"/>
        <s v="Kasetsart Educational Review"/>
        <s v="Animal"/>
        <s v="วารสารวิจัยและส่งเสริมวิชากาเกษตร"/>
        <s v="Veterinary World"/>
        <s v="Animal Genetics"/>
        <s v="The Journal of Tropical Medicine and Parasitology"/>
        <s v="International Journal of Analytical Chemistry"/>
        <s v="Veterinary Integrative Science"/>
        <s v="Journal of Agricultural and Food Chemistry"/>
        <s v="Veterinary Dermatology"/>
        <s v="Veterinary Practitioner"/>
        <s v="GSC Biological and Pharmaceutical Sciences"/>
        <s v="Southeast Asian J Trop Med Public Health"/>
        <s v="Journal of Kasetsart Veterinarian"/>
        <s v="Biological Trace Element Research"/>
        <s v="Veterinary Parasitology: Regional Studies and Reports"/>
        <s v="OnLine Journal of Biological Sciences"/>
        <s v="Siriraj Medical Journal"/>
        <s v="Veterinary Integrative Sciences"/>
        <s v="Res. J. Vet. Pract."/>
        <s v="Open Veterinary Journal"/>
        <s v="วารสารวิทยาศาตร์ มข."/>
        <s v="Journal of Visualized Experiments"/>
        <s v="Veterinary immunology and immunopathology"/>
        <s v="Journal of Advanced Veterinary and Animal Research"/>
        <s v="Asian Fisheries Science"/>
        <s v="PeerJ"/>
        <s v="JOURNAL OF FOOD AND DRUG ANALYSIS"/>
        <s v="Journal of Veterinary Medicine Series C: Anatomia Histologia Embryologia"/>
        <s v="Drug and Chemical Toxicology"/>
        <s v="วารสารสัตวแพทยศาสตร์ มข."/>
        <s v="วาสารสัตวแพทย์"/>
        <s v="Journal of Insects as Food and Feed"/>
        <s v="Aquacultural Engineering"/>
        <s v="Methods in Molecular Biology"/>
        <s v="International Journal of Poultry Science"/>
        <s v="Journal of Applied Animal Research"/>
        <s v="Genome"/>
        <s v="Frontiers in Veterinary Science"/>
        <s v="U.S. Department of Agriculture, UF/IFAS Extension Service, University of Florida"/>
        <s v="Animals"/>
        <s v="JOURNAL OF ENVIRONMENTAL CHEMICAL ENGINEERING"/>
        <s v="Journal of Veterinary Diagnostic Investigation"/>
        <s v="Indian Journal Of Animal Research"/>
        <s v="International Journal for Parasitology: Parasites and Wildlife"/>
        <s v="FOOD CHEMISTRY"/>
        <s v="Frontiers in Microbiology"/>
        <s v="Birding ASIA"/>
        <s v="Parasitology Research"/>
        <s v="Antimicrobial Agents and Chemotherapy"/>
        <s v="Microbiology Resource Announcements"/>
        <s v="3 Biotech"/>
        <s v="วารสารเกษตร"/>
        <s v="Journal of Global Antimicrobial Resistance"/>
        <s v="IRANIAN JOURNAL OF APPLIED ANIMAL SCIENCE"/>
        <s v="FOODBORNE PATHOGENS AND DISEASE"/>
        <s v="Cardiology and Cardiovascular Research"/>
        <s v="Malaysian Journal of Nutrition"/>
        <s v="Journal of Metals, Materials and Minerals"/>
        <s v="Globalization and Health"/>
        <s v="วารสารศิลปศาสตร์ มหาวิทยาลัยแม่โจ้"/>
        <s v="วิทยาศาสตร์เกษตรและการจัดการ"/>
        <s v="Antiviral Research"/>
        <s v="Microbial Pathogenesis"/>
        <s v="High Blood Pressure and Cardiovascular Prevention"/>
        <s v="BMC Research Notes"/>
        <s v="Fish and Shellfish Immunology"/>
        <s v="Pathogens"/>
        <s v="Translational Animal Science"/>
        <s v="Australian Veterinary Journal"/>
        <s v="เวชชสารสัตวแพทย์"/>
        <s v="Veterinary Parasitology"/>
        <s v="PROSTATE"/>
        <s v="Zoological Science"/>
        <s v="Human Vaccines and Immunotherapeutics"/>
        <s v="BMC genomics"/>
        <s v="International Journal of Agricultural Technology"/>
        <s v="Heliyon"/>
        <s v="Applied Sciences"/>
        <s v="International Journal of Food Properties"/>
        <s v="JOURNAL OF RADIATION RESEARCH AND APPLIED SCIENCES"/>
        <s v="Equine veterinary journal"/>
        <s v="Journal of Applied Pharmaceutical Science"/>
        <s v="Innovative Food Science and Emerging Technologies"/>
        <s v="Vaccines"/>
        <s v="Animal Frontiers"/>
        <s v="Bulletin of the European Association of Fish Pathologists"/>
        <s v="Scholars Journal of Agriculture and Veterinary Sciences"/>
        <s v="Chemical Biology and Drug Design"/>
        <s v="Journal of Environmental Management"/>
        <s v="Journal of applied animal welfare science"/>
        <s v="World's Veterinary Journal"/>
        <s v="Informatics in Medicine Unlocked"/>
        <s v="Energy for health"/>
        <s v="วารสารวิทยาศาสตร์ มข."/>
        <s v="Journal of Animal Physiology and Animal Nutrition"/>
        <s v="Developmental and Comparative Immunology"/>
        <s v="Food and Waterborne Parasitology"/>
        <s v="Drug Design, Development and Therapy"/>
        <s v="International Journal of Computer Applications in Technology"/>
        <s v="JOURNAL DE MYCOLOGIE MEDICALE"/>
        <s v="Tropical Medicine and Infectious Disease"/>
        <s v="Human and Ecological Risk Assessment (HERA)"/>
        <s v="Advances in Animal and Veterinary Sciences"/>
        <s v="Journal of Fungi"/>
        <s v="Entomological Science"/>
        <s v="Journal of Equine Science"/>
        <s v="Entomologia Experimentalis et Applicata"/>
        <s v="Journal of Inflammation Research"/>
        <s v="International Journal of One Health"/>
        <s v="Insects"/>
        <s v="Frontiers in Immunology"/>
        <s v="Sains Malaysiana"/>
        <s v="VPN"/>
        <s v="Foods"/>
        <s v="Veterinary and Animal Science"/>
        <s v="Microorganisms"/>
        <s v="Folia Parasitologica"/>
        <s v="Frontiers in Sustainable Food Systems"/>
        <s v="Veterinary Medicine and Science"/>
        <s v="Emerging Contaminants"/>
        <s v="Journal of the American Veterinary Medical Association"/>
        <s v="VETERINARY RECORD CASE REPORTS"/>
        <s v="EnvironmentAsia"/>
        <s v="International Journal of Aquatic Science"/>
        <s v="Current Research in Pharmacology and Drug Discovery"/>
        <s v="วารสารสัตวแพทย์ผู้ประกอบการบำบัดโรคสัตว์"/>
        <s v="Comparative Immunology, Microbiology and Infectious Diseases"/>
        <s v="Biodiversitas"/>
        <s v="Journal of Environmental and Public Health"/>
        <s v="Environmental Geochemistry and Health"/>
        <s v="Case Reports in Veterinary Medicine"/>
        <s v="Animal Bioscience"/>
        <s v="JMIR Formative Research"/>
        <s v="Parasitologia"/>
        <s v="Zoonotic diseases"/>
        <s v="Tropical Animal Science Journal"/>
        <s v="New Zealand Veterinary Journal"/>
        <s v="Frontiers in Cardiovascular Medicine"/>
        <s v="Journal of Veterinary Medical Education"/>
        <s v="ScienceAsia"/>
        <s v="Biopreservation and Biobanking"/>
        <s v="Forensic Imaging"/>
        <s v="antibiotics"/>
        <s v="Parasite"/>
        <s v="Diversity"/>
        <s v="Applied Engineering in Agriculture"/>
        <s v="Ecology and Evolution"/>
        <s v="Toxics"/>
        <s v="BMC Public Health"/>
        <s v="Animal Welfare"/>
        <s v="International Journal of Veterinary Science"/>
        <s v="Gene"/>
        <s v="Reviews in Aquaculture"/>
        <s v="TrAC - Trends in Analytical Chemistry"/>
        <s v="Biology"/>
        <s v="Sensors"/>
        <s v="Experimental Animals"/>
        <s v="f1000Research"/>
        <s v="Fishes"/>
        <s v="วารสารเกษตรพระวรุณ"/>
        <s v="Frontiers in Cellular and Infection Microbiology"/>
        <s v="Microbiology Spectrum"/>
        <s v="Ecologies"/>
        <s v="Journal of General Virology"/>
        <s v="Buffalo Bulletin"/>
        <s v="Veterinary Quarterly"/>
        <s v="Genes and Genomics"/>
        <s v="Biomedicines"/>
        <s v="Biosafety and Health"/>
        <s v="Future Foods"/>
        <s v="Vaccine: X"/>
        <s v="Frontiers in Pharmacology"/>
        <s v="Journal of Exotic Pet Medicine"/>
        <s v="Veterinary Research Communications"/>
        <s v="Asia-Pacific Journal of Science and Technology"/>
        <s v="Journal of Food Quality"/>
        <s v="Journal of Aquatic Animal Health"/>
        <s v="Journal of Feline Medicine and Surgery"/>
        <s v="Veterinary Surgery"/>
        <s v="Veterinary Surgery        "/>
        <s v="Resources"/>
        <s v="Global Ecology and Conservation"/>
        <s v="The Biological Journal of the Linnean Society"/>
        <s v="Virulence"/>
        <s v="Animal Diseas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90">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30"/>
  </r>
  <r>
    <x v="31"/>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r>
    <x v="3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6">
  <r>
    <x v="0"/>
  </r>
  <r>
    <x v="0"/>
  </r>
  <r>
    <x v="0"/>
  </r>
  <r>
    <x v="0"/>
  </r>
  <r>
    <x v="0"/>
  </r>
  <r>
    <x v="0"/>
  </r>
  <r>
    <x v="0"/>
  </r>
  <r>
    <x v="1"/>
  </r>
  <r>
    <x v="1"/>
  </r>
  <r>
    <x v="1"/>
  </r>
  <r>
    <x v="1"/>
  </r>
  <r>
    <x v="1"/>
  </r>
  <r>
    <x v="1"/>
  </r>
  <r>
    <x v="2"/>
  </r>
  <r>
    <x v="2"/>
  </r>
  <r>
    <x v="2"/>
  </r>
  <r>
    <x v="2"/>
  </r>
  <r>
    <x v="2"/>
  </r>
  <r>
    <x v="2"/>
  </r>
  <r>
    <x v="2"/>
  </r>
  <r>
    <x v="2"/>
  </r>
  <r>
    <x v="2"/>
  </r>
  <r>
    <x v="2"/>
  </r>
  <r>
    <x v="3"/>
  </r>
  <r>
    <x v="4"/>
  </r>
  <r>
    <x v="4"/>
  </r>
  <r>
    <x v="4"/>
  </r>
  <r>
    <x v="4"/>
  </r>
  <r>
    <x v="4"/>
  </r>
  <r>
    <x v="5"/>
  </r>
  <r>
    <x v="5"/>
  </r>
  <r>
    <x v="5"/>
  </r>
  <r>
    <x v="5"/>
  </r>
  <r>
    <x v="5"/>
  </r>
  <r>
    <x v="6"/>
  </r>
  <r>
    <x v="6"/>
  </r>
  <r>
    <x v="3"/>
  </r>
  <r>
    <x v="3"/>
  </r>
  <r>
    <x v="3"/>
  </r>
  <r>
    <x v="3"/>
  </r>
  <r>
    <x v="3"/>
  </r>
  <r>
    <x v="7"/>
  </r>
  <r>
    <x v="7"/>
  </r>
  <r>
    <x v="7"/>
  </r>
  <r>
    <x v="7"/>
  </r>
  <r>
    <x v="7"/>
  </r>
  <r>
    <x v="7"/>
  </r>
  <r>
    <x v="7"/>
  </r>
  <r>
    <x v="8"/>
  </r>
  <r>
    <x v="8"/>
  </r>
  <r>
    <x v="8"/>
  </r>
  <r>
    <x v="9"/>
  </r>
  <r>
    <x v="9"/>
  </r>
  <r>
    <x v="9"/>
  </r>
  <r>
    <x v="9"/>
  </r>
  <r>
    <x v="9"/>
  </r>
  <r>
    <x v="9"/>
  </r>
  <r>
    <x v="10"/>
  </r>
  <r>
    <x v="10"/>
  </r>
  <r>
    <x v="10"/>
  </r>
  <r>
    <x v="10"/>
  </r>
  <r>
    <x v="11"/>
  </r>
  <r>
    <x v="11"/>
  </r>
  <r>
    <x v="12"/>
  </r>
  <r>
    <x v="12"/>
  </r>
  <r>
    <x v="12"/>
  </r>
  <r>
    <x v="12"/>
  </r>
  <r>
    <x v="12"/>
  </r>
  <r>
    <x v="13"/>
  </r>
  <r>
    <x v="13"/>
  </r>
  <r>
    <x v="13"/>
  </r>
  <r>
    <x v="13"/>
  </r>
  <r>
    <x v="14"/>
  </r>
  <r>
    <x v="14"/>
  </r>
  <r>
    <x v="14"/>
  </r>
  <r>
    <x v="14"/>
  </r>
  <r>
    <x v="14"/>
  </r>
  <r>
    <x v="14"/>
  </r>
  <r>
    <x v="3"/>
  </r>
  <r>
    <x v="3"/>
  </r>
  <r>
    <x v="3"/>
  </r>
  <r>
    <x v="15"/>
  </r>
  <r>
    <x v="15"/>
  </r>
  <r>
    <x v="15"/>
  </r>
  <r>
    <x v="15"/>
  </r>
  <r>
    <x v="15"/>
  </r>
  <r>
    <x v="3"/>
  </r>
  <r>
    <x v="3"/>
  </r>
  <r>
    <x v="3"/>
  </r>
  <r>
    <x v="3"/>
  </r>
  <r>
    <x v="3"/>
  </r>
  <r>
    <x v="3"/>
  </r>
  <r>
    <x v="3"/>
  </r>
  <r>
    <x v="3"/>
  </r>
  <r>
    <x v="3"/>
  </r>
  <r>
    <x v="3"/>
  </r>
  <r>
    <x v="3"/>
  </r>
  <r>
    <x v="3"/>
  </r>
  <r>
    <x v="3"/>
  </r>
  <r>
    <x v="3"/>
  </r>
  <r>
    <x v="3"/>
  </r>
  <r>
    <x v="3"/>
  </r>
  <r>
    <x v="3"/>
  </r>
  <r>
    <x v="3"/>
  </r>
  <r>
    <x v="3"/>
  </r>
  <r>
    <x v="3"/>
  </r>
  <r>
    <x v="16"/>
  </r>
  <r>
    <x v="16"/>
  </r>
  <r>
    <x v="17"/>
  </r>
  <r>
    <x v="17"/>
  </r>
  <r>
    <x v="17"/>
  </r>
  <r>
    <x v="17"/>
  </r>
  <r>
    <x v="17"/>
  </r>
  <r>
    <x v="17"/>
  </r>
  <r>
    <x v="17"/>
  </r>
  <r>
    <x v="17"/>
  </r>
  <r>
    <x v="17"/>
  </r>
  <r>
    <x v="17"/>
  </r>
  <r>
    <x v="17"/>
  </r>
  <r>
    <x v="17"/>
  </r>
  <r>
    <x v="17"/>
  </r>
  <r>
    <x v="17"/>
  </r>
  <r>
    <x v="17"/>
  </r>
  <r>
    <x v="17"/>
  </r>
  <r>
    <x v="17"/>
  </r>
  <r>
    <x v="17"/>
  </r>
  <r>
    <x v="17"/>
  </r>
  <r>
    <x v="18"/>
  </r>
  <r>
    <x v="18"/>
  </r>
  <r>
    <x v="18"/>
  </r>
  <r>
    <x v="19"/>
  </r>
  <r>
    <x v="19"/>
  </r>
  <r>
    <x v="19"/>
  </r>
  <r>
    <x v="19"/>
  </r>
  <r>
    <x v="19"/>
  </r>
  <r>
    <x v="19"/>
  </r>
  <r>
    <x v="19"/>
  </r>
  <r>
    <x v="2"/>
  </r>
  <r>
    <x v="2"/>
  </r>
  <r>
    <x v="2"/>
  </r>
  <r>
    <x v="2"/>
  </r>
  <r>
    <x v="2"/>
  </r>
  <r>
    <x v="2"/>
  </r>
  <r>
    <x v="2"/>
  </r>
  <r>
    <x v="2"/>
  </r>
  <r>
    <x v="20"/>
  </r>
  <r>
    <x v="20"/>
  </r>
  <r>
    <x v="20"/>
  </r>
  <r>
    <x v="20"/>
  </r>
  <r>
    <x v="20"/>
  </r>
  <r>
    <x v="2"/>
  </r>
  <r>
    <x v="2"/>
  </r>
  <r>
    <x v="2"/>
  </r>
  <r>
    <x v="2"/>
  </r>
  <r>
    <x v="2"/>
  </r>
  <r>
    <x v="2"/>
  </r>
  <r>
    <x v="2"/>
  </r>
  <r>
    <x v="2"/>
  </r>
  <r>
    <x v="21"/>
  </r>
  <r>
    <x v="21"/>
  </r>
  <r>
    <x v="21"/>
  </r>
  <r>
    <x v="21"/>
  </r>
  <r>
    <x v="21"/>
  </r>
  <r>
    <x v="21"/>
  </r>
  <r>
    <x v="21"/>
  </r>
  <r>
    <x v="22"/>
  </r>
  <r>
    <x v="22"/>
  </r>
  <r>
    <x v="22"/>
  </r>
  <r>
    <x v="22"/>
  </r>
  <r>
    <x v="22"/>
  </r>
  <r>
    <x v="22"/>
  </r>
  <r>
    <x v="22"/>
  </r>
  <r>
    <x v="22"/>
  </r>
  <r>
    <x v="22"/>
  </r>
  <r>
    <x v="22"/>
  </r>
  <r>
    <x v="22"/>
  </r>
  <r>
    <x v="22"/>
  </r>
  <r>
    <x v="22"/>
  </r>
  <r>
    <x v="23"/>
  </r>
  <r>
    <x v="23"/>
  </r>
  <r>
    <x v="23"/>
  </r>
  <r>
    <x v="23"/>
  </r>
  <r>
    <x v="23"/>
  </r>
  <r>
    <x v="23"/>
  </r>
  <r>
    <x v="23"/>
  </r>
  <r>
    <x v="23"/>
  </r>
  <r>
    <x v="23"/>
  </r>
  <r>
    <x v="24"/>
  </r>
  <r>
    <x v="24"/>
  </r>
  <r>
    <x v="24"/>
  </r>
  <r>
    <x v="25"/>
  </r>
  <r>
    <x v="25"/>
  </r>
  <r>
    <x v="25"/>
  </r>
  <r>
    <x v="25"/>
  </r>
  <r>
    <x v="25"/>
  </r>
  <r>
    <x v="25"/>
  </r>
  <r>
    <x v="25"/>
  </r>
  <r>
    <x v="25"/>
  </r>
  <r>
    <x v="26"/>
  </r>
  <r>
    <x v="26"/>
  </r>
  <r>
    <x v="26"/>
  </r>
  <r>
    <x v="26"/>
  </r>
  <r>
    <x v="26"/>
  </r>
  <r>
    <x v="26"/>
  </r>
  <r>
    <x v="26"/>
  </r>
  <r>
    <x v="27"/>
  </r>
  <r>
    <x v="27"/>
  </r>
  <r>
    <x v="27"/>
  </r>
  <r>
    <x v="27"/>
  </r>
  <r>
    <x v="27"/>
  </r>
  <r>
    <x v="27"/>
  </r>
  <r>
    <x v="27"/>
  </r>
  <r>
    <x v="27"/>
  </r>
  <r>
    <x v="5"/>
  </r>
  <r>
    <x v="5"/>
  </r>
  <r>
    <x v="5"/>
  </r>
  <r>
    <x v="5"/>
  </r>
  <r>
    <x v="5"/>
  </r>
  <r>
    <x v="5"/>
  </r>
  <r>
    <x v="5"/>
  </r>
  <r>
    <x v="5"/>
  </r>
  <r>
    <x v="5"/>
  </r>
  <r>
    <x v="5"/>
  </r>
  <r>
    <x v="5"/>
  </r>
  <r>
    <x v="5"/>
  </r>
  <r>
    <x v="5"/>
  </r>
  <r>
    <x v="5"/>
  </r>
  <r>
    <x v="5"/>
  </r>
  <r>
    <x v="5"/>
  </r>
  <r>
    <x v="23"/>
  </r>
  <r>
    <x v="23"/>
  </r>
  <r>
    <x v="23"/>
  </r>
  <r>
    <x v="23"/>
  </r>
  <r>
    <x v="23"/>
  </r>
  <r>
    <x v="23"/>
  </r>
  <r>
    <x v="23"/>
  </r>
  <r>
    <x v="23"/>
  </r>
  <r>
    <x v="23"/>
  </r>
  <r>
    <x v="23"/>
  </r>
  <r>
    <x v="28"/>
  </r>
  <r>
    <x v="28"/>
  </r>
  <r>
    <x v="28"/>
  </r>
  <r>
    <x v="28"/>
  </r>
  <r>
    <x v="28"/>
  </r>
  <r>
    <x v="28"/>
  </r>
  <r>
    <x v="28"/>
  </r>
  <r>
    <x v="28"/>
  </r>
  <r>
    <x v="3"/>
  </r>
  <r>
    <x v="3"/>
  </r>
  <r>
    <x v="3"/>
  </r>
  <r>
    <x v="3"/>
  </r>
  <r>
    <x v="29"/>
  </r>
  <r>
    <x v="29"/>
  </r>
  <r>
    <x v="30"/>
  </r>
  <r>
    <x v="30"/>
  </r>
  <r>
    <x v="30"/>
  </r>
  <r>
    <x v="30"/>
  </r>
  <r>
    <x v="31"/>
  </r>
  <r>
    <x v="31"/>
  </r>
  <r>
    <x v="31"/>
  </r>
  <r>
    <x v="31"/>
  </r>
  <r>
    <x v="31"/>
  </r>
  <r>
    <x v="31"/>
  </r>
  <r>
    <x v="7"/>
  </r>
  <r>
    <x v="7"/>
  </r>
  <r>
    <x v="7"/>
  </r>
  <r>
    <x v="7"/>
  </r>
  <r>
    <x v="7"/>
  </r>
  <r>
    <x v="7"/>
  </r>
  <r>
    <x v="7"/>
  </r>
  <r>
    <x v="7"/>
  </r>
  <r>
    <x v="7"/>
  </r>
  <r>
    <x v="7"/>
  </r>
  <r>
    <x v="7"/>
  </r>
  <r>
    <x v="7"/>
  </r>
  <r>
    <x v="7"/>
  </r>
  <r>
    <x v="7"/>
  </r>
  <r>
    <x v="7"/>
  </r>
  <r>
    <x v="7"/>
  </r>
  <r>
    <x v="7"/>
  </r>
  <r>
    <x v="7"/>
  </r>
  <r>
    <x v="7"/>
  </r>
  <r>
    <x v="7"/>
  </r>
  <r>
    <x v="7"/>
  </r>
  <r>
    <x v="3"/>
  </r>
  <r>
    <x v="3"/>
  </r>
  <r>
    <x v="3"/>
  </r>
  <r>
    <x v="3"/>
  </r>
  <r>
    <x v="32"/>
  </r>
  <r>
    <x v="32"/>
  </r>
  <r>
    <x v="32"/>
  </r>
  <r>
    <x v="32"/>
  </r>
  <r>
    <x v="32"/>
  </r>
  <r>
    <x v="33"/>
  </r>
  <r>
    <x v="33"/>
  </r>
  <r>
    <x v="33"/>
  </r>
  <r>
    <x v="33"/>
  </r>
  <r>
    <x v="34"/>
  </r>
  <r>
    <x v="34"/>
  </r>
  <r>
    <x v="35"/>
  </r>
  <r>
    <x v="35"/>
  </r>
  <r>
    <x v="35"/>
  </r>
  <r>
    <x v="35"/>
  </r>
  <r>
    <x v="35"/>
  </r>
  <r>
    <x v="35"/>
  </r>
  <r>
    <x v="35"/>
  </r>
  <r>
    <x v="36"/>
  </r>
  <r>
    <x v="36"/>
  </r>
  <r>
    <x v="36"/>
  </r>
  <r>
    <x v="36"/>
  </r>
  <r>
    <x v="36"/>
  </r>
  <r>
    <x v="36"/>
  </r>
  <r>
    <x v="36"/>
  </r>
  <r>
    <x v="37"/>
  </r>
  <r>
    <x v="37"/>
  </r>
  <r>
    <x v="37"/>
  </r>
  <r>
    <x v="37"/>
  </r>
  <r>
    <x v="37"/>
  </r>
  <r>
    <x v="38"/>
  </r>
  <r>
    <x v="38"/>
  </r>
  <r>
    <x v="38"/>
  </r>
  <r>
    <x v="38"/>
  </r>
  <r>
    <x v="22"/>
  </r>
  <r>
    <x v="22"/>
  </r>
  <r>
    <x v="22"/>
  </r>
  <r>
    <x v="22"/>
  </r>
  <r>
    <x v="22"/>
  </r>
  <r>
    <x v="22"/>
  </r>
  <r>
    <x v="22"/>
  </r>
  <r>
    <x v="22"/>
  </r>
  <r>
    <x v="22"/>
  </r>
  <r>
    <x v="22"/>
  </r>
  <r>
    <x v="22"/>
  </r>
  <r>
    <x v="22"/>
  </r>
  <r>
    <x v="22"/>
  </r>
  <r>
    <x v="22"/>
  </r>
  <r>
    <x v="22"/>
  </r>
  <r>
    <x v="22"/>
  </r>
  <r>
    <x v="22"/>
  </r>
  <r>
    <x v="39"/>
  </r>
  <r>
    <x v="39"/>
  </r>
  <r>
    <x v="39"/>
  </r>
  <r>
    <x v="39"/>
  </r>
  <r>
    <x v="39"/>
  </r>
  <r>
    <x v="39"/>
  </r>
  <r>
    <x v="39"/>
  </r>
  <r>
    <x v="39"/>
  </r>
  <r>
    <x v="39"/>
  </r>
  <r>
    <x v="39"/>
  </r>
  <r>
    <x v="40"/>
  </r>
  <r>
    <x v="40"/>
  </r>
  <r>
    <x v="40"/>
  </r>
  <r>
    <x v="40"/>
  </r>
  <r>
    <x v="41"/>
  </r>
  <r>
    <x v="41"/>
  </r>
  <r>
    <x v="41"/>
  </r>
  <r>
    <x v="41"/>
  </r>
  <r>
    <x v="41"/>
  </r>
  <r>
    <x v="41"/>
  </r>
  <r>
    <x v="41"/>
  </r>
  <r>
    <x v="42"/>
  </r>
  <r>
    <x v="42"/>
  </r>
  <r>
    <x v="42"/>
  </r>
  <r>
    <x v="42"/>
  </r>
  <r>
    <x v="3"/>
  </r>
  <r>
    <x v="3"/>
  </r>
  <r>
    <x v="3"/>
  </r>
  <r>
    <x v="3"/>
  </r>
  <r>
    <x v="43"/>
  </r>
  <r>
    <x v="43"/>
  </r>
  <r>
    <x v="43"/>
  </r>
  <r>
    <x v="44"/>
  </r>
  <r>
    <x v="44"/>
  </r>
  <r>
    <x v="44"/>
  </r>
  <r>
    <x v="44"/>
  </r>
  <r>
    <x v="44"/>
  </r>
  <r>
    <x v="44"/>
  </r>
  <r>
    <x v="44"/>
  </r>
  <r>
    <x v="44"/>
  </r>
  <r>
    <x v="44"/>
  </r>
  <r>
    <x v="45"/>
  </r>
  <r>
    <x v="45"/>
  </r>
  <r>
    <x v="45"/>
  </r>
  <r>
    <x v="46"/>
  </r>
  <r>
    <x v="46"/>
  </r>
  <r>
    <x v="46"/>
  </r>
  <r>
    <x v="46"/>
  </r>
  <r>
    <x v="46"/>
  </r>
  <r>
    <x v="46"/>
  </r>
  <r>
    <x v="46"/>
  </r>
  <r>
    <x v="15"/>
  </r>
  <r>
    <x v="15"/>
  </r>
  <r>
    <x v="15"/>
  </r>
  <r>
    <x v="47"/>
  </r>
  <r>
    <x v="47"/>
  </r>
  <r>
    <x v="47"/>
  </r>
  <r>
    <x v="47"/>
  </r>
  <r>
    <x v="47"/>
  </r>
  <r>
    <x v="47"/>
  </r>
  <r>
    <x v="47"/>
  </r>
  <r>
    <x v="47"/>
  </r>
  <r>
    <x v="47"/>
  </r>
  <r>
    <x v="48"/>
  </r>
  <r>
    <x v="48"/>
  </r>
  <r>
    <x v="48"/>
  </r>
  <r>
    <x v="48"/>
  </r>
  <r>
    <x v="48"/>
  </r>
  <r>
    <x v="5"/>
  </r>
  <r>
    <x v="5"/>
  </r>
  <r>
    <x v="5"/>
  </r>
  <r>
    <x v="5"/>
  </r>
  <r>
    <x v="3"/>
  </r>
  <r>
    <x v="3"/>
  </r>
  <r>
    <x v="3"/>
  </r>
  <r>
    <x v="3"/>
  </r>
  <r>
    <x v="5"/>
  </r>
  <r>
    <x v="5"/>
  </r>
  <r>
    <x v="5"/>
  </r>
  <r>
    <x v="5"/>
  </r>
  <r>
    <x v="5"/>
  </r>
  <r>
    <x v="49"/>
  </r>
  <r>
    <x v="49"/>
  </r>
  <r>
    <x v="49"/>
  </r>
  <r>
    <x v="3"/>
  </r>
  <r>
    <x v="3"/>
  </r>
  <r>
    <x v="3"/>
  </r>
  <r>
    <x v="3"/>
  </r>
  <r>
    <x v="3"/>
  </r>
  <r>
    <x v="3"/>
  </r>
  <r>
    <x v="3"/>
  </r>
  <r>
    <x v="3"/>
  </r>
  <r>
    <x v="3"/>
  </r>
  <r>
    <x v="3"/>
  </r>
  <r>
    <x v="3"/>
  </r>
  <r>
    <x v="3"/>
  </r>
  <r>
    <x v="3"/>
  </r>
  <r>
    <x v="3"/>
  </r>
  <r>
    <x v="3"/>
  </r>
  <r>
    <x v="45"/>
  </r>
  <r>
    <x v="45"/>
  </r>
  <r>
    <x v="45"/>
  </r>
  <r>
    <x v="45"/>
  </r>
  <r>
    <x v="45"/>
  </r>
  <r>
    <x v="50"/>
  </r>
  <r>
    <x v="50"/>
  </r>
  <r>
    <x v="50"/>
  </r>
  <r>
    <x v="50"/>
  </r>
  <r>
    <x v="51"/>
  </r>
  <r>
    <x v="51"/>
  </r>
  <r>
    <x v="51"/>
  </r>
  <r>
    <x v="5"/>
  </r>
  <r>
    <x v="5"/>
  </r>
  <r>
    <x v="5"/>
  </r>
  <r>
    <x v="5"/>
  </r>
  <r>
    <x v="52"/>
  </r>
  <r>
    <x v="52"/>
  </r>
  <r>
    <x v="52"/>
  </r>
  <r>
    <x v="52"/>
  </r>
  <r>
    <x v="53"/>
  </r>
  <r>
    <x v="53"/>
  </r>
  <r>
    <x v="53"/>
  </r>
  <r>
    <x v="54"/>
  </r>
  <r>
    <x v="54"/>
  </r>
  <r>
    <x v="54"/>
  </r>
  <r>
    <x v="54"/>
  </r>
  <r>
    <x v="54"/>
  </r>
  <r>
    <x v="54"/>
  </r>
  <r>
    <x v="54"/>
  </r>
  <r>
    <x v="54"/>
  </r>
  <r>
    <x v="55"/>
  </r>
  <r>
    <x v="55"/>
  </r>
  <r>
    <x v="55"/>
  </r>
  <r>
    <x v="55"/>
  </r>
  <r>
    <x v="55"/>
  </r>
  <r>
    <x v="55"/>
  </r>
  <r>
    <x v="55"/>
  </r>
  <r>
    <x v="55"/>
  </r>
  <r>
    <x v="56"/>
  </r>
  <r>
    <x v="56"/>
  </r>
  <r>
    <x v="56"/>
  </r>
  <r>
    <x v="56"/>
  </r>
  <r>
    <x v="57"/>
  </r>
  <r>
    <x v="57"/>
  </r>
  <r>
    <x v="57"/>
  </r>
  <r>
    <x v="57"/>
  </r>
  <r>
    <x v="57"/>
  </r>
  <r>
    <x v="57"/>
  </r>
  <r>
    <x v="57"/>
  </r>
  <r>
    <x v="57"/>
  </r>
  <r>
    <x v="57"/>
  </r>
  <r>
    <x v="58"/>
  </r>
  <r>
    <x v="58"/>
  </r>
  <r>
    <x v="58"/>
  </r>
  <r>
    <x v="58"/>
  </r>
  <r>
    <x v="58"/>
  </r>
  <r>
    <x v="46"/>
  </r>
  <r>
    <x v="46"/>
  </r>
  <r>
    <x v="46"/>
  </r>
  <r>
    <x v="46"/>
  </r>
  <r>
    <x v="46"/>
  </r>
  <r>
    <x v="46"/>
  </r>
  <r>
    <x v="3"/>
  </r>
  <r>
    <x v="3"/>
  </r>
  <r>
    <x v="3"/>
  </r>
  <r>
    <x v="3"/>
  </r>
  <r>
    <x v="3"/>
  </r>
  <r>
    <x v="3"/>
  </r>
  <r>
    <x v="59"/>
  </r>
  <r>
    <x v="59"/>
  </r>
  <r>
    <x v="59"/>
  </r>
  <r>
    <x v="60"/>
  </r>
  <r>
    <x v="60"/>
  </r>
  <r>
    <x v="60"/>
  </r>
  <r>
    <x v="60"/>
  </r>
  <r>
    <x v="61"/>
  </r>
  <r>
    <x v="61"/>
  </r>
  <r>
    <x v="61"/>
  </r>
  <r>
    <x v="61"/>
  </r>
  <r>
    <x v="62"/>
  </r>
  <r>
    <x v="62"/>
  </r>
  <r>
    <x v="62"/>
  </r>
  <r>
    <x v="63"/>
  </r>
  <r>
    <x v="63"/>
  </r>
  <r>
    <x v="63"/>
  </r>
  <r>
    <x v="63"/>
  </r>
  <r>
    <x v="63"/>
  </r>
  <r>
    <x v="63"/>
  </r>
  <r>
    <x v="17"/>
  </r>
  <r>
    <x v="17"/>
  </r>
  <r>
    <x v="17"/>
  </r>
  <r>
    <x v="17"/>
  </r>
  <r>
    <x v="17"/>
  </r>
  <r>
    <x v="17"/>
  </r>
  <r>
    <x v="17"/>
  </r>
  <r>
    <x v="17"/>
  </r>
  <r>
    <x v="17"/>
  </r>
  <r>
    <x v="17"/>
  </r>
  <r>
    <x v="17"/>
  </r>
  <r>
    <x v="17"/>
  </r>
  <r>
    <x v="17"/>
  </r>
  <r>
    <x v="17"/>
  </r>
  <r>
    <x v="17"/>
  </r>
  <r>
    <x v="17"/>
  </r>
  <r>
    <x v="17"/>
  </r>
  <r>
    <x v="17"/>
  </r>
  <r>
    <x v="17"/>
  </r>
  <r>
    <x v="64"/>
  </r>
  <r>
    <x v="64"/>
  </r>
  <r>
    <x v="64"/>
  </r>
  <r>
    <x v="64"/>
  </r>
  <r>
    <x v="64"/>
  </r>
  <r>
    <x v="41"/>
  </r>
  <r>
    <x v="41"/>
  </r>
  <r>
    <x v="41"/>
  </r>
  <r>
    <x v="41"/>
  </r>
  <r>
    <x v="41"/>
  </r>
  <r>
    <x v="41"/>
  </r>
  <r>
    <x v="41"/>
  </r>
  <r>
    <x v="41"/>
  </r>
  <r>
    <x v="41"/>
  </r>
  <r>
    <x v="65"/>
  </r>
  <r>
    <x v="65"/>
  </r>
  <r>
    <x v="65"/>
  </r>
  <r>
    <x v="65"/>
  </r>
  <r>
    <x v="66"/>
  </r>
  <r>
    <x v="66"/>
  </r>
  <r>
    <x v="66"/>
  </r>
  <r>
    <x v="3"/>
  </r>
  <r>
    <x v="3"/>
  </r>
  <r>
    <x v="3"/>
  </r>
  <r>
    <x v="3"/>
  </r>
  <r>
    <x v="3"/>
  </r>
  <r>
    <x v="3"/>
  </r>
  <r>
    <x v="3"/>
  </r>
  <r>
    <x v="3"/>
  </r>
  <r>
    <x v="3"/>
  </r>
  <r>
    <x v="67"/>
  </r>
  <r>
    <x v="67"/>
  </r>
  <r>
    <x v="67"/>
  </r>
  <r>
    <x v="67"/>
  </r>
  <r>
    <x v="67"/>
  </r>
  <r>
    <x v="67"/>
  </r>
  <r>
    <x v="67"/>
  </r>
  <r>
    <x v="67"/>
  </r>
  <r>
    <x v="67"/>
  </r>
  <r>
    <x v="67"/>
  </r>
  <r>
    <x v="3"/>
  </r>
  <r>
    <x v="3"/>
  </r>
  <r>
    <x v="3"/>
  </r>
  <r>
    <x v="3"/>
  </r>
  <r>
    <x v="3"/>
  </r>
  <r>
    <x v="68"/>
  </r>
  <r>
    <x v="68"/>
  </r>
  <r>
    <x v="68"/>
  </r>
  <r>
    <x v="68"/>
  </r>
  <r>
    <x v="68"/>
  </r>
  <r>
    <x v="68"/>
  </r>
  <r>
    <x v="69"/>
  </r>
  <r>
    <x v="69"/>
  </r>
  <r>
    <x v="69"/>
  </r>
  <r>
    <x v="69"/>
  </r>
  <r>
    <x v="69"/>
  </r>
  <r>
    <x v="69"/>
  </r>
  <r>
    <x v="70"/>
  </r>
  <r>
    <x v="70"/>
  </r>
  <r>
    <x v="70"/>
  </r>
  <r>
    <x v="70"/>
  </r>
  <r>
    <x v="70"/>
  </r>
  <r>
    <x v="70"/>
  </r>
  <r>
    <x v="70"/>
  </r>
  <r>
    <x v="70"/>
  </r>
  <r>
    <x v="70"/>
  </r>
  <r>
    <x v="70"/>
  </r>
  <r>
    <x v="71"/>
  </r>
  <r>
    <x v="71"/>
  </r>
  <r>
    <x v="71"/>
  </r>
  <r>
    <x v="71"/>
  </r>
  <r>
    <x v="71"/>
  </r>
  <r>
    <x v="71"/>
  </r>
  <r>
    <x v="71"/>
  </r>
  <r>
    <x v="71"/>
  </r>
  <r>
    <x v="71"/>
  </r>
  <r>
    <x v="71"/>
  </r>
  <r>
    <x v="1"/>
  </r>
  <r>
    <x v="1"/>
  </r>
  <r>
    <x v="1"/>
  </r>
  <r>
    <x v="1"/>
  </r>
  <r>
    <x v="1"/>
  </r>
  <r>
    <x v="1"/>
  </r>
  <r>
    <x v="1"/>
  </r>
  <r>
    <x v="1"/>
  </r>
  <r>
    <x v="72"/>
  </r>
  <r>
    <x v="72"/>
  </r>
  <r>
    <x v="72"/>
  </r>
  <r>
    <x v="72"/>
  </r>
  <r>
    <x v="72"/>
  </r>
  <r>
    <x v="72"/>
  </r>
  <r>
    <x v="72"/>
  </r>
  <r>
    <x v="72"/>
  </r>
  <r>
    <x v="72"/>
  </r>
  <r>
    <x v="72"/>
  </r>
  <r>
    <x v="73"/>
  </r>
  <r>
    <x v="73"/>
  </r>
  <r>
    <x v="73"/>
  </r>
  <r>
    <x v="73"/>
  </r>
  <r>
    <x v="73"/>
  </r>
  <r>
    <x v="73"/>
  </r>
  <r>
    <x v="73"/>
  </r>
  <r>
    <x v="73"/>
  </r>
  <r>
    <x v="73"/>
  </r>
  <r>
    <x v="73"/>
  </r>
  <r>
    <x v="73"/>
  </r>
  <r>
    <x v="43"/>
  </r>
  <r>
    <x v="43"/>
  </r>
  <r>
    <x v="43"/>
  </r>
  <r>
    <x v="43"/>
  </r>
  <r>
    <x v="74"/>
  </r>
  <r>
    <x v="74"/>
  </r>
  <r>
    <x v="74"/>
  </r>
  <r>
    <x v="74"/>
  </r>
  <r>
    <x v="74"/>
  </r>
  <r>
    <x v="74"/>
  </r>
  <r>
    <x v="74"/>
  </r>
  <r>
    <x v="74"/>
  </r>
  <r>
    <x v="74"/>
  </r>
  <r>
    <x v="74"/>
  </r>
  <r>
    <x v="74"/>
  </r>
  <r>
    <x v="74"/>
  </r>
  <r>
    <x v="74"/>
  </r>
  <r>
    <x v="74"/>
  </r>
  <r>
    <x v="74"/>
  </r>
  <r>
    <x v="74"/>
  </r>
  <r>
    <x v="74"/>
  </r>
  <r>
    <x v="74"/>
  </r>
  <r>
    <x v="74"/>
  </r>
  <r>
    <x v="74"/>
  </r>
  <r>
    <x v="61"/>
  </r>
  <r>
    <x v="61"/>
  </r>
  <r>
    <x v="61"/>
  </r>
  <r>
    <x v="61"/>
  </r>
  <r>
    <x v="61"/>
  </r>
  <r>
    <x v="61"/>
  </r>
  <r>
    <x v="61"/>
  </r>
  <r>
    <x v="61"/>
  </r>
  <r>
    <x v="61"/>
  </r>
  <r>
    <x v="49"/>
  </r>
  <r>
    <x v="49"/>
  </r>
  <r>
    <x v="49"/>
  </r>
  <r>
    <x v="49"/>
  </r>
  <r>
    <x v="49"/>
  </r>
  <r>
    <x v="75"/>
  </r>
  <r>
    <x v="75"/>
  </r>
  <r>
    <x v="75"/>
  </r>
  <r>
    <x v="75"/>
  </r>
  <r>
    <x v="76"/>
  </r>
  <r>
    <x v="76"/>
  </r>
  <r>
    <x v="76"/>
  </r>
  <r>
    <x v="76"/>
  </r>
  <r>
    <x v="76"/>
  </r>
  <r>
    <x v="76"/>
  </r>
  <r>
    <x v="5"/>
  </r>
  <r>
    <x v="5"/>
  </r>
  <r>
    <x v="5"/>
  </r>
  <r>
    <x v="35"/>
  </r>
  <r>
    <x v="35"/>
  </r>
  <r>
    <x v="35"/>
  </r>
  <r>
    <x v="35"/>
  </r>
  <r>
    <x v="5"/>
  </r>
  <r>
    <x v="5"/>
  </r>
  <r>
    <x v="5"/>
  </r>
  <r>
    <x v="46"/>
  </r>
  <r>
    <x v="46"/>
  </r>
  <r>
    <x v="46"/>
  </r>
  <r>
    <x v="46"/>
  </r>
  <r>
    <x v="46"/>
  </r>
  <r>
    <x v="46"/>
  </r>
  <r>
    <x v="77"/>
  </r>
  <r>
    <x v="77"/>
  </r>
  <r>
    <x v="77"/>
  </r>
  <r>
    <x v="78"/>
  </r>
  <r>
    <x v="78"/>
  </r>
  <r>
    <x v="78"/>
  </r>
  <r>
    <x v="78"/>
  </r>
  <r>
    <x v="78"/>
  </r>
  <r>
    <x v="7"/>
  </r>
  <r>
    <x v="7"/>
  </r>
  <r>
    <x v="7"/>
  </r>
  <r>
    <x v="7"/>
  </r>
  <r>
    <x v="7"/>
  </r>
  <r>
    <x v="7"/>
  </r>
  <r>
    <x v="7"/>
  </r>
  <r>
    <x v="79"/>
  </r>
  <r>
    <x v="79"/>
  </r>
  <r>
    <x v="79"/>
  </r>
  <r>
    <x v="79"/>
  </r>
  <r>
    <x v="46"/>
  </r>
  <r>
    <x v="46"/>
  </r>
  <r>
    <x v="46"/>
  </r>
  <r>
    <x v="46"/>
  </r>
  <r>
    <x v="46"/>
  </r>
  <r>
    <x v="80"/>
  </r>
  <r>
    <x v="80"/>
  </r>
  <r>
    <x v="80"/>
  </r>
  <r>
    <x v="80"/>
  </r>
  <r>
    <x v="80"/>
  </r>
  <r>
    <x v="80"/>
  </r>
  <r>
    <x v="81"/>
  </r>
  <r>
    <x v="81"/>
  </r>
  <r>
    <x v="81"/>
  </r>
  <r>
    <x v="81"/>
  </r>
  <r>
    <x v="81"/>
  </r>
  <r>
    <x v="43"/>
  </r>
  <r>
    <x v="43"/>
  </r>
  <r>
    <x v="43"/>
  </r>
  <r>
    <x v="43"/>
  </r>
  <r>
    <x v="43"/>
  </r>
  <r>
    <x v="43"/>
  </r>
  <r>
    <x v="3"/>
  </r>
  <r>
    <x v="3"/>
  </r>
  <r>
    <x v="3"/>
  </r>
  <r>
    <x v="3"/>
  </r>
  <r>
    <x v="3"/>
  </r>
  <r>
    <x v="3"/>
  </r>
  <r>
    <x v="3"/>
  </r>
  <r>
    <x v="3"/>
  </r>
  <r>
    <x v="3"/>
  </r>
  <r>
    <x v="3"/>
  </r>
  <r>
    <x v="3"/>
  </r>
  <r>
    <x v="3"/>
  </r>
  <r>
    <x v="3"/>
  </r>
  <r>
    <x v="3"/>
  </r>
  <r>
    <x v="3"/>
  </r>
  <r>
    <x v="82"/>
  </r>
  <r>
    <x v="82"/>
  </r>
  <r>
    <x v="82"/>
  </r>
  <r>
    <x v="82"/>
  </r>
  <r>
    <x v="82"/>
  </r>
  <r>
    <x v="46"/>
  </r>
  <r>
    <x v="46"/>
  </r>
  <r>
    <x v="46"/>
  </r>
  <r>
    <x v="46"/>
  </r>
  <r>
    <x v="46"/>
  </r>
  <r>
    <x v="46"/>
  </r>
  <r>
    <x v="46"/>
  </r>
  <r>
    <x v="3"/>
  </r>
  <r>
    <x v="3"/>
  </r>
  <r>
    <x v="3"/>
  </r>
  <r>
    <x v="3"/>
  </r>
  <r>
    <x v="3"/>
  </r>
  <r>
    <x v="83"/>
  </r>
  <r>
    <x v="83"/>
  </r>
  <r>
    <x v="83"/>
  </r>
  <r>
    <x v="83"/>
  </r>
  <r>
    <x v="84"/>
  </r>
  <r>
    <x v="84"/>
  </r>
  <r>
    <x v="84"/>
  </r>
  <r>
    <x v="84"/>
  </r>
  <r>
    <x v="84"/>
  </r>
  <r>
    <x v="84"/>
  </r>
  <r>
    <x v="3"/>
  </r>
  <r>
    <x v="3"/>
  </r>
  <r>
    <x v="3"/>
  </r>
  <r>
    <x v="3"/>
  </r>
  <r>
    <x v="3"/>
  </r>
  <r>
    <x v="3"/>
  </r>
  <r>
    <x v="3"/>
  </r>
  <r>
    <x v="3"/>
  </r>
  <r>
    <x v="3"/>
  </r>
  <r>
    <x v="3"/>
  </r>
  <r>
    <x v="3"/>
  </r>
  <r>
    <x v="85"/>
  </r>
  <r>
    <x v="85"/>
  </r>
  <r>
    <x v="85"/>
  </r>
  <r>
    <x v="86"/>
  </r>
  <r>
    <x v="86"/>
  </r>
  <r>
    <x v="86"/>
  </r>
  <r>
    <x v="86"/>
  </r>
  <r>
    <x v="86"/>
  </r>
  <r>
    <x v="86"/>
  </r>
  <r>
    <x v="86"/>
  </r>
  <r>
    <x v="86"/>
  </r>
  <r>
    <x v="86"/>
  </r>
  <r>
    <x v="86"/>
  </r>
  <r>
    <x v="86"/>
  </r>
  <r>
    <x v="86"/>
  </r>
  <r>
    <x v="86"/>
  </r>
  <r>
    <x v="86"/>
  </r>
  <r>
    <x v="86"/>
  </r>
  <r>
    <x v="86"/>
  </r>
  <r>
    <x v="86"/>
  </r>
  <r>
    <x v="86"/>
  </r>
  <r>
    <x v="86"/>
  </r>
  <r>
    <x v="86"/>
  </r>
  <r>
    <x v="86"/>
  </r>
  <r>
    <x v="86"/>
  </r>
  <r>
    <x v="86"/>
  </r>
  <r>
    <x v="86"/>
  </r>
  <r>
    <x v="86"/>
  </r>
  <r>
    <x v="86"/>
  </r>
  <r>
    <x v="87"/>
  </r>
  <r>
    <x v="87"/>
  </r>
  <r>
    <x v="87"/>
  </r>
  <r>
    <x v="87"/>
  </r>
  <r>
    <x v="88"/>
  </r>
  <r>
    <x v="88"/>
  </r>
  <r>
    <x v="88"/>
  </r>
  <r>
    <x v="88"/>
  </r>
  <r>
    <x v="88"/>
  </r>
  <r>
    <x v="88"/>
  </r>
  <r>
    <x v="88"/>
  </r>
  <r>
    <x v="88"/>
  </r>
  <r>
    <x v="80"/>
  </r>
  <r>
    <x v="80"/>
  </r>
  <r>
    <x v="80"/>
  </r>
  <r>
    <x v="80"/>
  </r>
  <r>
    <x v="22"/>
  </r>
  <r>
    <x v="22"/>
  </r>
  <r>
    <x v="22"/>
  </r>
  <r>
    <x v="22"/>
  </r>
  <r>
    <x v="89"/>
  </r>
  <r>
    <x v="89"/>
  </r>
  <r>
    <x v="89"/>
  </r>
  <r>
    <x v="89"/>
  </r>
  <r>
    <x v="89"/>
  </r>
  <r>
    <x v="89"/>
  </r>
  <r>
    <x v="89"/>
  </r>
  <r>
    <x v="77"/>
  </r>
  <r>
    <x v="77"/>
  </r>
  <r>
    <x v="77"/>
  </r>
  <r>
    <x v="77"/>
  </r>
  <r>
    <x v="90"/>
  </r>
  <r>
    <x v="90"/>
  </r>
  <r>
    <x v="90"/>
  </r>
  <r>
    <x v="91"/>
  </r>
  <r>
    <x v="91"/>
  </r>
  <r>
    <x v="91"/>
  </r>
  <r>
    <x v="91"/>
  </r>
  <r>
    <x v="91"/>
  </r>
  <r>
    <x v="90"/>
  </r>
  <r>
    <x v="90"/>
  </r>
  <r>
    <x v="90"/>
  </r>
  <r>
    <x v="7"/>
  </r>
  <r>
    <x v="7"/>
  </r>
  <r>
    <x v="7"/>
  </r>
  <r>
    <x v="7"/>
  </r>
  <r>
    <x v="7"/>
  </r>
  <r>
    <x v="7"/>
  </r>
  <r>
    <x v="7"/>
  </r>
  <r>
    <x v="92"/>
  </r>
  <r>
    <x v="92"/>
  </r>
  <r>
    <x v="92"/>
  </r>
  <r>
    <x v="92"/>
  </r>
  <r>
    <x v="92"/>
  </r>
  <r>
    <x v="92"/>
  </r>
  <r>
    <x v="92"/>
  </r>
  <r>
    <x v="93"/>
  </r>
  <r>
    <x v="93"/>
  </r>
  <r>
    <x v="93"/>
  </r>
  <r>
    <x v="93"/>
  </r>
  <r>
    <x v="93"/>
  </r>
  <r>
    <x v="93"/>
  </r>
  <r>
    <x v="94"/>
  </r>
  <r>
    <x v="94"/>
  </r>
  <r>
    <x v="94"/>
  </r>
  <r>
    <x v="94"/>
  </r>
  <r>
    <x v="94"/>
  </r>
  <r>
    <x v="94"/>
  </r>
  <r>
    <x v="95"/>
  </r>
  <r>
    <x v="95"/>
  </r>
  <r>
    <x v="95"/>
  </r>
  <r>
    <x v="95"/>
  </r>
  <r>
    <x v="3"/>
  </r>
  <r>
    <x v="3"/>
  </r>
  <r>
    <x v="3"/>
  </r>
  <r>
    <x v="3"/>
  </r>
  <r>
    <x v="3"/>
  </r>
  <r>
    <x v="96"/>
  </r>
  <r>
    <x v="96"/>
  </r>
  <r>
    <x v="96"/>
  </r>
  <r>
    <x v="97"/>
  </r>
  <r>
    <x v="97"/>
  </r>
  <r>
    <x v="97"/>
  </r>
  <r>
    <x v="97"/>
  </r>
  <r>
    <x v="97"/>
  </r>
  <r>
    <x v="97"/>
  </r>
  <r>
    <x v="97"/>
  </r>
  <r>
    <x v="97"/>
  </r>
  <r>
    <x v="98"/>
  </r>
  <r>
    <x v="98"/>
  </r>
  <r>
    <x v="98"/>
  </r>
  <r>
    <x v="98"/>
  </r>
  <r>
    <x v="98"/>
  </r>
  <r>
    <x v="98"/>
  </r>
  <r>
    <x v="98"/>
  </r>
  <r>
    <x v="99"/>
  </r>
  <r>
    <x v="99"/>
  </r>
  <r>
    <x v="99"/>
  </r>
  <r>
    <x v="99"/>
  </r>
  <r>
    <x v="99"/>
  </r>
  <r>
    <x v="99"/>
  </r>
  <r>
    <x v="70"/>
  </r>
  <r>
    <x v="70"/>
  </r>
  <r>
    <x v="70"/>
  </r>
  <r>
    <x v="70"/>
  </r>
  <r>
    <x v="100"/>
  </r>
  <r>
    <x v="100"/>
  </r>
  <r>
    <x v="17"/>
  </r>
  <r>
    <x v="17"/>
  </r>
  <r>
    <x v="17"/>
  </r>
  <r>
    <x v="17"/>
  </r>
  <r>
    <x v="17"/>
  </r>
  <r>
    <x v="101"/>
  </r>
  <r>
    <x v="101"/>
  </r>
  <r>
    <x v="101"/>
  </r>
  <r>
    <x v="101"/>
  </r>
  <r>
    <x v="101"/>
  </r>
  <r>
    <x v="101"/>
  </r>
  <r>
    <x v="101"/>
  </r>
  <r>
    <x v="101"/>
  </r>
  <r>
    <x v="101"/>
  </r>
  <r>
    <x v="101"/>
  </r>
  <r>
    <x v="101"/>
  </r>
  <r>
    <x v="101"/>
  </r>
  <r>
    <x v="101"/>
  </r>
  <r>
    <x v="101"/>
  </r>
  <r>
    <x v="101"/>
  </r>
  <r>
    <x v="101"/>
  </r>
  <r>
    <x v="102"/>
  </r>
  <r>
    <x v="102"/>
  </r>
  <r>
    <x v="102"/>
  </r>
  <r>
    <x v="102"/>
  </r>
  <r>
    <x v="102"/>
  </r>
  <r>
    <x v="84"/>
  </r>
  <r>
    <x v="84"/>
  </r>
  <r>
    <x v="84"/>
  </r>
  <r>
    <x v="103"/>
  </r>
  <r>
    <x v="103"/>
  </r>
  <r>
    <x v="103"/>
  </r>
  <r>
    <x v="103"/>
  </r>
  <r>
    <x v="104"/>
  </r>
  <r>
    <x v="104"/>
  </r>
  <r>
    <x v="104"/>
  </r>
  <r>
    <x v="104"/>
  </r>
  <r>
    <x v="104"/>
  </r>
  <r>
    <x v="104"/>
  </r>
  <r>
    <x v="104"/>
  </r>
  <r>
    <x v="104"/>
  </r>
  <r>
    <x v="99"/>
  </r>
  <r>
    <x v="99"/>
  </r>
  <r>
    <x v="99"/>
  </r>
  <r>
    <x v="99"/>
  </r>
  <r>
    <x v="99"/>
  </r>
  <r>
    <x v="99"/>
  </r>
  <r>
    <x v="105"/>
  </r>
  <r>
    <x v="105"/>
  </r>
  <r>
    <x v="105"/>
  </r>
  <r>
    <x v="105"/>
  </r>
  <r>
    <x v="105"/>
  </r>
  <r>
    <x v="105"/>
  </r>
  <r>
    <x v="105"/>
  </r>
  <r>
    <x v="105"/>
  </r>
  <r>
    <x v="105"/>
  </r>
  <r>
    <x v="3"/>
  </r>
  <r>
    <x v="3"/>
  </r>
  <r>
    <x v="3"/>
  </r>
  <r>
    <x v="3"/>
  </r>
  <r>
    <x v="3"/>
  </r>
  <r>
    <x v="106"/>
  </r>
  <r>
    <x v="106"/>
  </r>
  <r>
    <x v="106"/>
  </r>
  <r>
    <x v="106"/>
  </r>
  <r>
    <x v="106"/>
  </r>
  <r>
    <x v="106"/>
  </r>
  <r>
    <x v="106"/>
  </r>
  <r>
    <x v="106"/>
  </r>
  <r>
    <x v="107"/>
  </r>
  <r>
    <x v="107"/>
  </r>
  <r>
    <x v="107"/>
  </r>
  <r>
    <x v="107"/>
  </r>
  <r>
    <x v="33"/>
  </r>
  <r>
    <x v="33"/>
  </r>
  <r>
    <x v="108"/>
  </r>
  <r>
    <x v="108"/>
  </r>
  <r>
    <x v="108"/>
  </r>
  <r>
    <x v="108"/>
  </r>
  <r>
    <x v="109"/>
  </r>
  <r>
    <x v="109"/>
  </r>
  <r>
    <x v="109"/>
  </r>
  <r>
    <x v="109"/>
  </r>
  <r>
    <x v="109"/>
  </r>
  <r>
    <x v="3"/>
  </r>
  <r>
    <x v="3"/>
  </r>
  <r>
    <x v="3"/>
  </r>
  <r>
    <x v="3"/>
  </r>
  <r>
    <x v="5"/>
  </r>
  <r>
    <x v="5"/>
  </r>
  <r>
    <x v="5"/>
  </r>
  <r>
    <x v="94"/>
  </r>
  <r>
    <x v="94"/>
  </r>
  <r>
    <x v="94"/>
  </r>
  <r>
    <x v="94"/>
  </r>
  <r>
    <x v="94"/>
  </r>
  <r>
    <x v="1"/>
  </r>
  <r>
    <x v="1"/>
  </r>
  <r>
    <x v="1"/>
  </r>
  <r>
    <x v="1"/>
  </r>
  <r>
    <x v="1"/>
  </r>
  <r>
    <x v="1"/>
  </r>
  <r>
    <x v="1"/>
  </r>
  <r>
    <x v="1"/>
  </r>
  <r>
    <x v="1"/>
  </r>
  <r>
    <x v="1"/>
  </r>
  <r>
    <x v="1"/>
  </r>
  <r>
    <x v="1"/>
  </r>
  <r>
    <x v="1"/>
  </r>
  <r>
    <x v="1"/>
  </r>
  <r>
    <x v="36"/>
  </r>
  <r>
    <x v="36"/>
  </r>
  <r>
    <x v="36"/>
  </r>
  <r>
    <x v="36"/>
  </r>
  <r>
    <x v="36"/>
  </r>
  <r>
    <x v="36"/>
  </r>
  <r>
    <x v="36"/>
  </r>
  <r>
    <x v="36"/>
  </r>
  <r>
    <x v="36"/>
  </r>
  <r>
    <x v="36"/>
  </r>
  <r>
    <x v="36"/>
  </r>
  <r>
    <x v="36"/>
  </r>
  <r>
    <x v="36"/>
  </r>
  <r>
    <x v="36"/>
  </r>
  <r>
    <x v="36"/>
  </r>
  <r>
    <x v="36"/>
  </r>
  <r>
    <x v="36"/>
  </r>
  <r>
    <x v="36"/>
  </r>
  <r>
    <x v="49"/>
  </r>
  <r>
    <x v="110"/>
  </r>
  <r>
    <x v="110"/>
  </r>
  <r>
    <x v="110"/>
  </r>
  <r>
    <x v="110"/>
  </r>
  <r>
    <x v="110"/>
  </r>
  <r>
    <x v="110"/>
  </r>
  <r>
    <x v="110"/>
  </r>
  <r>
    <x v="110"/>
  </r>
  <r>
    <x v="111"/>
  </r>
  <r>
    <x v="111"/>
  </r>
  <r>
    <x v="111"/>
  </r>
  <r>
    <x v="111"/>
  </r>
  <r>
    <x v="111"/>
  </r>
  <r>
    <x v="111"/>
  </r>
  <r>
    <x v="112"/>
  </r>
  <r>
    <x v="112"/>
  </r>
  <r>
    <x v="112"/>
  </r>
  <r>
    <x v="112"/>
  </r>
  <r>
    <x v="112"/>
  </r>
  <r>
    <x v="112"/>
  </r>
  <r>
    <x v="112"/>
  </r>
  <r>
    <x v="112"/>
  </r>
  <r>
    <x v="19"/>
  </r>
  <r>
    <x v="19"/>
  </r>
  <r>
    <x v="19"/>
  </r>
  <r>
    <x v="19"/>
  </r>
  <r>
    <x v="19"/>
  </r>
  <r>
    <x v="19"/>
  </r>
  <r>
    <x v="19"/>
  </r>
  <r>
    <x v="81"/>
  </r>
  <r>
    <x v="81"/>
  </r>
  <r>
    <x v="81"/>
  </r>
  <r>
    <x v="81"/>
  </r>
  <r>
    <x v="81"/>
  </r>
  <r>
    <x v="81"/>
  </r>
  <r>
    <x v="3"/>
  </r>
  <r>
    <x v="3"/>
  </r>
  <r>
    <x v="3"/>
  </r>
  <r>
    <x v="3"/>
  </r>
  <r>
    <x v="3"/>
  </r>
  <r>
    <x v="3"/>
  </r>
  <r>
    <x v="3"/>
  </r>
  <r>
    <x v="3"/>
  </r>
  <r>
    <x v="46"/>
  </r>
  <r>
    <x v="46"/>
  </r>
  <r>
    <x v="46"/>
  </r>
  <r>
    <x v="46"/>
  </r>
  <r>
    <x v="46"/>
  </r>
  <r>
    <x v="46"/>
  </r>
  <r>
    <x v="49"/>
  </r>
  <r>
    <x v="49"/>
  </r>
  <r>
    <x v="49"/>
  </r>
  <r>
    <x v="49"/>
  </r>
  <r>
    <x v="32"/>
  </r>
  <r>
    <x v="32"/>
  </r>
  <r>
    <x v="32"/>
  </r>
  <r>
    <x v="32"/>
  </r>
  <r>
    <x v="32"/>
  </r>
  <r>
    <x v="32"/>
  </r>
  <r>
    <x v="113"/>
  </r>
  <r>
    <x v="113"/>
  </r>
  <r>
    <x v="113"/>
  </r>
  <r>
    <x v="113"/>
  </r>
  <r>
    <x v="113"/>
  </r>
  <r>
    <x v="113"/>
  </r>
  <r>
    <x v="3"/>
  </r>
  <r>
    <x v="3"/>
  </r>
  <r>
    <x v="3"/>
  </r>
  <r>
    <x v="3"/>
  </r>
  <r>
    <x v="3"/>
  </r>
  <r>
    <x v="113"/>
  </r>
  <r>
    <x v="113"/>
  </r>
  <r>
    <x v="113"/>
  </r>
  <r>
    <x v="113"/>
  </r>
  <r>
    <x v="113"/>
  </r>
  <r>
    <x v="113"/>
  </r>
  <r>
    <x v="113"/>
  </r>
  <r>
    <x v="113"/>
  </r>
  <r>
    <x v="113"/>
  </r>
  <r>
    <x v="113"/>
  </r>
  <r>
    <x v="113"/>
  </r>
  <r>
    <x v="113"/>
  </r>
  <r>
    <x v="113"/>
  </r>
  <r>
    <x v="113"/>
  </r>
  <r>
    <x v="113"/>
  </r>
  <r>
    <x v="113"/>
  </r>
  <r>
    <x v="113"/>
  </r>
  <r>
    <x v="19"/>
  </r>
  <r>
    <x v="19"/>
  </r>
  <r>
    <x v="19"/>
  </r>
  <r>
    <x v="19"/>
  </r>
  <r>
    <x v="19"/>
  </r>
  <r>
    <x v="19"/>
  </r>
  <r>
    <x v="19"/>
  </r>
  <r>
    <x v="114"/>
  </r>
  <r>
    <x v="114"/>
  </r>
  <r>
    <x v="114"/>
  </r>
  <r>
    <x v="114"/>
  </r>
  <r>
    <x v="46"/>
  </r>
  <r>
    <x v="46"/>
  </r>
  <r>
    <x v="46"/>
  </r>
  <r>
    <x v="46"/>
  </r>
  <r>
    <x v="46"/>
  </r>
  <r>
    <x v="44"/>
  </r>
  <r>
    <x v="44"/>
  </r>
  <r>
    <x v="44"/>
  </r>
  <r>
    <x v="44"/>
  </r>
  <r>
    <x v="44"/>
  </r>
  <r>
    <x v="44"/>
  </r>
  <r>
    <x v="44"/>
  </r>
  <r>
    <x v="115"/>
  </r>
  <r>
    <x v="115"/>
  </r>
  <r>
    <x v="115"/>
  </r>
  <r>
    <x v="115"/>
  </r>
  <r>
    <x v="115"/>
  </r>
  <r>
    <x v="115"/>
  </r>
  <r>
    <x v="116"/>
  </r>
  <r>
    <x v="116"/>
  </r>
  <r>
    <x v="116"/>
  </r>
  <r>
    <x v="116"/>
  </r>
  <r>
    <x v="117"/>
  </r>
  <r>
    <x v="117"/>
  </r>
  <r>
    <x v="117"/>
  </r>
  <r>
    <x v="117"/>
  </r>
  <r>
    <x v="117"/>
  </r>
  <r>
    <x v="117"/>
  </r>
  <r>
    <x v="117"/>
  </r>
  <r>
    <x v="117"/>
  </r>
  <r>
    <x v="117"/>
  </r>
  <r>
    <x v="117"/>
  </r>
  <r>
    <x v="117"/>
  </r>
  <r>
    <x v="117"/>
  </r>
  <r>
    <x v="118"/>
  </r>
  <r>
    <x v="118"/>
  </r>
  <r>
    <x v="118"/>
  </r>
  <r>
    <x v="118"/>
  </r>
  <r>
    <x v="118"/>
  </r>
  <r>
    <x v="3"/>
  </r>
  <r>
    <x v="3"/>
  </r>
  <r>
    <x v="3"/>
  </r>
  <r>
    <x v="3"/>
  </r>
  <r>
    <x v="3"/>
  </r>
  <r>
    <x v="3"/>
  </r>
  <r>
    <x v="5"/>
  </r>
  <r>
    <x v="5"/>
  </r>
  <r>
    <x v="5"/>
  </r>
  <r>
    <x v="5"/>
  </r>
  <r>
    <x v="5"/>
  </r>
  <r>
    <x v="5"/>
  </r>
  <r>
    <x v="5"/>
  </r>
  <r>
    <x v="5"/>
  </r>
  <r>
    <x v="5"/>
  </r>
  <r>
    <x v="5"/>
  </r>
  <r>
    <x v="75"/>
  </r>
  <r>
    <x v="75"/>
  </r>
  <r>
    <x v="75"/>
  </r>
  <r>
    <x v="75"/>
  </r>
  <r>
    <x v="54"/>
  </r>
  <r>
    <x v="54"/>
  </r>
  <r>
    <x v="54"/>
  </r>
  <r>
    <x v="54"/>
  </r>
  <r>
    <x v="54"/>
  </r>
  <r>
    <x v="54"/>
  </r>
  <r>
    <x v="54"/>
  </r>
  <r>
    <x v="119"/>
  </r>
  <r>
    <x v="119"/>
  </r>
  <r>
    <x v="119"/>
  </r>
  <r>
    <x v="119"/>
  </r>
  <r>
    <x v="119"/>
  </r>
  <r>
    <x v="119"/>
  </r>
  <r>
    <x v="119"/>
  </r>
  <r>
    <x v="21"/>
  </r>
  <r>
    <x v="21"/>
  </r>
  <r>
    <x v="21"/>
  </r>
  <r>
    <x v="21"/>
  </r>
  <r>
    <x v="21"/>
  </r>
  <r>
    <x v="21"/>
  </r>
  <r>
    <x v="21"/>
  </r>
  <r>
    <x v="21"/>
  </r>
  <r>
    <x v="120"/>
  </r>
  <r>
    <x v="120"/>
  </r>
  <r>
    <x v="120"/>
  </r>
  <r>
    <x v="120"/>
  </r>
  <r>
    <x v="120"/>
  </r>
  <r>
    <x v="120"/>
  </r>
  <r>
    <x v="120"/>
  </r>
  <r>
    <x v="121"/>
  </r>
  <r>
    <x v="121"/>
  </r>
  <r>
    <x v="121"/>
  </r>
  <r>
    <x v="121"/>
  </r>
  <r>
    <x v="121"/>
  </r>
  <r>
    <x v="121"/>
  </r>
  <r>
    <x v="121"/>
  </r>
  <r>
    <x v="121"/>
  </r>
  <r>
    <x v="121"/>
  </r>
  <r>
    <x v="121"/>
  </r>
  <r>
    <x v="121"/>
  </r>
  <r>
    <x v="121"/>
  </r>
  <r>
    <x v="121"/>
  </r>
  <r>
    <x v="121"/>
  </r>
  <r>
    <x v="77"/>
  </r>
  <r>
    <x v="77"/>
  </r>
  <r>
    <x v="77"/>
  </r>
  <r>
    <x v="77"/>
  </r>
  <r>
    <x v="77"/>
  </r>
  <r>
    <x v="122"/>
  </r>
  <r>
    <x v="122"/>
  </r>
  <r>
    <x v="122"/>
  </r>
  <r>
    <x v="122"/>
  </r>
  <r>
    <x v="122"/>
  </r>
  <r>
    <x v="122"/>
  </r>
  <r>
    <x v="123"/>
  </r>
  <r>
    <x v="123"/>
  </r>
  <r>
    <x v="123"/>
  </r>
  <r>
    <x v="123"/>
  </r>
  <r>
    <x v="123"/>
  </r>
  <r>
    <x v="123"/>
  </r>
  <r>
    <x v="123"/>
  </r>
  <r>
    <x v="123"/>
  </r>
  <r>
    <x v="123"/>
  </r>
  <r>
    <x v="123"/>
  </r>
  <r>
    <x v="123"/>
  </r>
  <r>
    <x v="123"/>
  </r>
  <r>
    <x v="7"/>
  </r>
  <r>
    <x v="7"/>
  </r>
  <r>
    <x v="7"/>
  </r>
  <r>
    <x v="7"/>
  </r>
  <r>
    <x v="7"/>
  </r>
  <r>
    <x v="7"/>
  </r>
  <r>
    <x v="97"/>
  </r>
  <r>
    <x v="97"/>
  </r>
  <r>
    <x v="97"/>
  </r>
  <r>
    <x v="97"/>
  </r>
  <r>
    <x v="97"/>
  </r>
  <r>
    <x v="124"/>
  </r>
  <r>
    <x v="124"/>
  </r>
  <r>
    <x v="124"/>
  </r>
  <r>
    <x v="124"/>
  </r>
  <r>
    <x v="125"/>
  </r>
  <r>
    <x v="125"/>
  </r>
  <r>
    <x v="125"/>
  </r>
  <r>
    <x v="125"/>
  </r>
  <r>
    <x v="125"/>
  </r>
  <r>
    <x v="125"/>
  </r>
  <r>
    <x v="125"/>
  </r>
  <r>
    <x v="125"/>
  </r>
  <r>
    <x v="126"/>
  </r>
  <r>
    <x v="126"/>
  </r>
  <r>
    <x v="43"/>
  </r>
  <r>
    <x v="43"/>
  </r>
  <r>
    <x v="43"/>
  </r>
  <r>
    <x v="127"/>
  </r>
  <r>
    <x v="127"/>
  </r>
  <r>
    <x v="127"/>
  </r>
  <r>
    <x v="127"/>
  </r>
  <r>
    <x v="127"/>
  </r>
  <r>
    <x v="127"/>
  </r>
  <r>
    <x v="127"/>
  </r>
  <r>
    <x v="3"/>
  </r>
  <r>
    <x v="3"/>
  </r>
  <r>
    <x v="3"/>
  </r>
  <r>
    <x v="3"/>
  </r>
  <r>
    <x v="3"/>
  </r>
  <r>
    <x v="43"/>
  </r>
  <r>
    <x v="43"/>
  </r>
  <r>
    <x v="43"/>
  </r>
  <r>
    <x v="43"/>
  </r>
  <r>
    <x v="43"/>
  </r>
  <r>
    <x v="128"/>
  </r>
  <r>
    <x v="128"/>
  </r>
  <r>
    <x v="128"/>
  </r>
  <r>
    <x v="115"/>
  </r>
  <r>
    <x v="115"/>
  </r>
  <r>
    <x v="115"/>
  </r>
  <r>
    <x v="115"/>
  </r>
  <r>
    <x v="115"/>
  </r>
  <r>
    <x v="129"/>
  </r>
  <r>
    <x v="129"/>
  </r>
  <r>
    <x v="129"/>
  </r>
  <r>
    <x v="129"/>
  </r>
  <r>
    <x v="129"/>
  </r>
  <r>
    <x v="130"/>
  </r>
  <r>
    <x v="130"/>
  </r>
  <r>
    <x v="130"/>
  </r>
  <r>
    <x v="130"/>
  </r>
  <r>
    <x v="130"/>
  </r>
  <r>
    <x v="130"/>
  </r>
  <r>
    <x v="130"/>
  </r>
  <r>
    <x v="130"/>
  </r>
  <r>
    <x v="130"/>
  </r>
  <r>
    <x v="130"/>
  </r>
  <r>
    <x v="130"/>
  </r>
  <r>
    <x v="130"/>
  </r>
  <r>
    <x v="130"/>
  </r>
  <r>
    <x v="131"/>
  </r>
  <r>
    <x v="131"/>
  </r>
  <r>
    <x v="131"/>
  </r>
  <r>
    <x v="131"/>
  </r>
  <r>
    <x v="23"/>
  </r>
  <r>
    <x v="23"/>
  </r>
  <r>
    <x v="23"/>
  </r>
  <r>
    <x v="23"/>
  </r>
  <r>
    <x v="23"/>
  </r>
  <r>
    <x v="23"/>
  </r>
  <r>
    <x v="23"/>
  </r>
  <r>
    <x v="7"/>
  </r>
  <r>
    <x v="7"/>
  </r>
  <r>
    <x v="7"/>
  </r>
  <r>
    <x v="7"/>
  </r>
  <r>
    <x v="7"/>
  </r>
  <r>
    <x v="7"/>
  </r>
  <r>
    <x v="7"/>
  </r>
  <r>
    <x v="7"/>
  </r>
  <r>
    <x v="7"/>
  </r>
  <r>
    <x v="7"/>
  </r>
  <r>
    <x v="7"/>
  </r>
  <r>
    <x v="7"/>
  </r>
  <r>
    <x v="7"/>
  </r>
  <r>
    <x v="7"/>
  </r>
  <r>
    <x v="7"/>
  </r>
  <r>
    <x v="7"/>
  </r>
  <r>
    <x v="7"/>
  </r>
  <r>
    <x v="7"/>
  </r>
  <r>
    <x v="7"/>
  </r>
  <r>
    <x v="7"/>
  </r>
  <r>
    <x v="7"/>
  </r>
  <r>
    <x v="7"/>
  </r>
  <r>
    <x v="13"/>
  </r>
  <r>
    <x v="13"/>
  </r>
  <r>
    <x v="132"/>
  </r>
  <r>
    <x v="132"/>
  </r>
  <r>
    <x v="132"/>
  </r>
  <r>
    <x v="132"/>
  </r>
  <r>
    <x v="132"/>
  </r>
  <r>
    <x v="3"/>
  </r>
  <r>
    <x v="3"/>
  </r>
  <r>
    <x v="3"/>
  </r>
  <r>
    <x v="3"/>
  </r>
  <r>
    <x v="3"/>
  </r>
  <r>
    <x v="3"/>
  </r>
  <r>
    <x v="133"/>
  </r>
  <r>
    <x v="133"/>
  </r>
  <r>
    <x v="133"/>
  </r>
  <r>
    <x v="93"/>
  </r>
  <r>
    <x v="93"/>
  </r>
  <r>
    <x v="93"/>
  </r>
  <r>
    <x v="93"/>
  </r>
  <r>
    <x v="93"/>
  </r>
  <r>
    <x v="93"/>
  </r>
  <r>
    <x v="93"/>
  </r>
  <r>
    <x v="93"/>
  </r>
  <r>
    <x v="93"/>
  </r>
  <r>
    <x v="93"/>
  </r>
  <r>
    <x v="134"/>
  </r>
  <r>
    <x v="134"/>
  </r>
  <r>
    <x v="134"/>
  </r>
  <r>
    <x v="134"/>
  </r>
  <r>
    <x v="134"/>
  </r>
  <r>
    <x v="134"/>
  </r>
  <r>
    <x v="134"/>
  </r>
  <r>
    <x v="135"/>
  </r>
  <r>
    <x v="135"/>
  </r>
  <r>
    <x v="135"/>
  </r>
  <r>
    <x v="135"/>
  </r>
  <r>
    <x v="136"/>
  </r>
  <r>
    <x v="136"/>
  </r>
  <r>
    <x v="136"/>
  </r>
  <r>
    <x v="136"/>
  </r>
  <r>
    <x v="136"/>
  </r>
  <r>
    <x v="136"/>
  </r>
  <r>
    <x v="136"/>
  </r>
  <r>
    <x v="137"/>
  </r>
  <r>
    <x v="137"/>
  </r>
  <r>
    <x v="137"/>
  </r>
  <r>
    <x v="137"/>
  </r>
  <r>
    <x v="137"/>
  </r>
  <r>
    <x v="3"/>
  </r>
  <r>
    <x v="3"/>
  </r>
  <r>
    <x v="3"/>
  </r>
  <r>
    <x v="3"/>
  </r>
  <r>
    <x v="3"/>
  </r>
  <r>
    <x v="138"/>
  </r>
  <r>
    <x v="138"/>
  </r>
  <r>
    <x v="138"/>
  </r>
  <r>
    <x v="138"/>
  </r>
  <r>
    <x v="138"/>
  </r>
  <r>
    <x v="138"/>
  </r>
  <r>
    <x v="5"/>
  </r>
  <r>
    <x v="5"/>
  </r>
  <r>
    <x v="46"/>
  </r>
  <r>
    <x v="46"/>
  </r>
  <r>
    <x v="46"/>
  </r>
  <r>
    <x v="46"/>
  </r>
  <r>
    <x v="139"/>
  </r>
  <r>
    <x v="139"/>
  </r>
  <r>
    <x v="139"/>
  </r>
  <r>
    <x v="139"/>
  </r>
  <r>
    <x v="139"/>
  </r>
  <r>
    <x v="139"/>
  </r>
  <r>
    <x v="140"/>
  </r>
  <r>
    <x v="140"/>
  </r>
  <r>
    <x v="140"/>
  </r>
  <r>
    <x v="140"/>
  </r>
  <r>
    <x v="140"/>
  </r>
  <r>
    <x v="140"/>
  </r>
  <r>
    <x v="43"/>
  </r>
  <r>
    <x v="43"/>
  </r>
  <r>
    <x v="43"/>
  </r>
  <r>
    <x v="43"/>
  </r>
  <r>
    <x v="108"/>
  </r>
  <r>
    <x v="108"/>
  </r>
  <r>
    <x v="108"/>
  </r>
  <r>
    <x v="108"/>
  </r>
  <r>
    <x v="108"/>
  </r>
  <r>
    <x v="108"/>
  </r>
  <r>
    <x v="108"/>
  </r>
  <r>
    <x v="141"/>
  </r>
  <r>
    <x v="141"/>
  </r>
  <r>
    <x v="141"/>
  </r>
  <r>
    <x v="141"/>
  </r>
  <r>
    <x v="141"/>
  </r>
  <r>
    <x v="141"/>
  </r>
  <r>
    <x v="141"/>
  </r>
  <r>
    <x v="3"/>
  </r>
  <r>
    <x v="3"/>
  </r>
  <r>
    <x v="3"/>
  </r>
  <r>
    <x v="3"/>
  </r>
  <r>
    <x v="3"/>
  </r>
  <r>
    <x v="3"/>
  </r>
  <r>
    <x v="3"/>
  </r>
  <r>
    <x v="3"/>
  </r>
  <r>
    <x v="3"/>
  </r>
  <r>
    <x v="3"/>
  </r>
  <r>
    <x v="142"/>
  </r>
  <r>
    <x v="142"/>
  </r>
  <r>
    <x v="142"/>
  </r>
  <r>
    <x v="142"/>
  </r>
  <r>
    <x v="142"/>
  </r>
  <r>
    <x v="142"/>
  </r>
  <r>
    <x v="142"/>
  </r>
  <r>
    <x v="142"/>
  </r>
  <r>
    <x v="142"/>
  </r>
  <r>
    <x v="142"/>
  </r>
  <r>
    <x v="142"/>
  </r>
  <r>
    <x v="142"/>
  </r>
  <r>
    <x v="142"/>
  </r>
  <r>
    <x v="142"/>
  </r>
  <r>
    <x v="142"/>
  </r>
  <r>
    <x v="142"/>
  </r>
  <r>
    <x v="77"/>
  </r>
  <r>
    <x v="77"/>
  </r>
  <r>
    <x v="77"/>
  </r>
  <r>
    <x v="77"/>
  </r>
  <r>
    <x v="77"/>
  </r>
  <r>
    <x v="77"/>
  </r>
  <r>
    <x v="77"/>
  </r>
  <r>
    <x v="77"/>
  </r>
  <r>
    <x v="77"/>
  </r>
  <r>
    <x v="77"/>
  </r>
  <r>
    <x v="77"/>
  </r>
  <r>
    <x v="48"/>
  </r>
  <r>
    <x v="48"/>
  </r>
  <r>
    <x v="48"/>
  </r>
  <r>
    <x v="48"/>
  </r>
  <r>
    <x v="48"/>
  </r>
  <r>
    <x v="48"/>
  </r>
  <r>
    <x v="48"/>
  </r>
  <r>
    <x v="48"/>
  </r>
  <r>
    <x v="48"/>
  </r>
  <r>
    <x v="48"/>
  </r>
  <r>
    <x v="48"/>
  </r>
  <r>
    <x v="77"/>
  </r>
  <r>
    <x v="77"/>
  </r>
  <r>
    <x v="77"/>
  </r>
  <r>
    <x v="77"/>
  </r>
  <r>
    <x v="71"/>
  </r>
  <r>
    <x v="71"/>
  </r>
  <r>
    <x v="71"/>
  </r>
  <r>
    <x v="71"/>
  </r>
  <r>
    <x v="71"/>
  </r>
  <r>
    <x v="108"/>
  </r>
  <r>
    <x v="108"/>
  </r>
  <r>
    <x v="108"/>
  </r>
  <r>
    <x v="32"/>
  </r>
  <r>
    <x v="32"/>
  </r>
  <r>
    <x v="35"/>
  </r>
  <r>
    <x v="35"/>
  </r>
  <r>
    <x v="35"/>
  </r>
  <r>
    <x v="35"/>
  </r>
  <r>
    <x v="35"/>
  </r>
  <r>
    <x v="35"/>
  </r>
  <r>
    <x v="35"/>
  </r>
  <r>
    <x v="35"/>
  </r>
  <r>
    <x v="35"/>
  </r>
  <r>
    <x v="35"/>
  </r>
  <r>
    <x v="143"/>
  </r>
  <r>
    <x v="143"/>
  </r>
  <r>
    <x v="143"/>
  </r>
  <r>
    <x v="143"/>
  </r>
  <r>
    <x v="143"/>
  </r>
  <r>
    <x v="143"/>
  </r>
  <r>
    <x v="143"/>
  </r>
  <r>
    <x v="78"/>
  </r>
  <r>
    <x v="78"/>
  </r>
  <r>
    <x v="78"/>
  </r>
  <r>
    <x v="78"/>
  </r>
  <r>
    <x v="78"/>
  </r>
  <r>
    <x v="78"/>
  </r>
  <r>
    <x v="78"/>
  </r>
  <r>
    <x v="78"/>
  </r>
  <r>
    <x v="78"/>
  </r>
  <r>
    <x v="78"/>
  </r>
  <r>
    <x v="78"/>
  </r>
  <r>
    <x v="78"/>
  </r>
  <r>
    <x v="78"/>
  </r>
  <r>
    <x v="78"/>
  </r>
  <r>
    <x v="78"/>
  </r>
  <r>
    <x v="78"/>
  </r>
  <r>
    <x v="78"/>
  </r>
  <r>
    <x v="78"/>
  </r>
  <r>
    <x v="78"/>
  </r>
  <r>
    <x v="78"/>
  </r>
  <r>
    <x v="78"/>
  </r>
  <r>
    <x v="78"/>
  </r>
  <r>
    <x v="78"/>
  </r>
  <r>
    <x v="78"/>
  </r>
  <r>
    <x v="21"/>
  </r>
  <r>
    <x v="21"/>
  </r>
  <r>
    <x v="21"/>
  </r>
  <r>
    <x v="144"/>
  </r>
  <r>
    <x v="144"/>
  </r>
  <r>
    <x v="144"/>
  </r>
  <r>
    <x v="144"/>
  </r>
  <r>
    <x v="144"/>
  </r>
  <r>
    <x v="144"/>
  </r>
  <r>
    <x v="144"/>
  </r>
  <r>
    <x v="144"/>
  </r>
  <r>
    <x v="144"/>
  </r>
  <r>
    <x v="144"/>
  </r>
  <r>
    <x v="144"/>
  </r>
  <r>
    <x v="145"/>
  </r>
  <r>
    <x v="145"/>
  </r>
  <r>
    <x v="145"/>
  </r>
  <r>
    <x v="145"/>
  </r>
  <r>
    <x v="145"/>
  </r>
  <r>
    <x v="146"/>
  </r>
  <r>
    <x v="146"/>
  </r>
  <r>
    <x v="146"/>
  </r>
  <r>
    <x v="146"/>
  </r>
  <r>
    <x v="146"/>
  </r>
  <r>
    <x v="146"/>
  </r>
  <r>
    <x v="146"/>
  </r>
  <r>
    <x v="146"/>
  </r>
  <r>
    <x v="46"/>
  </r>
  <r>
    <x v="46"/>
  </r>
  <r>
    <x v="46"/>
  </r>
  <r>
    <x v="46"/>
  </r>
  <r>
    <x v="46"/>
  </r>
  <r>
    <x v="46"/>
  </r>
  <r>
    <x v="18"/>
  </r>
  <r>
    <x v="18"/>
  </r>
  <r>
    <x v="18"/>
  </r>
  <r>
    <x v="18"/>
  </r>
  <r>
    <x v="18"/>
  </r>
  <r>
    <x v="18"/>
  </r>
  <r>
    <x v="147"/>
  </r>
  <r>
    <x v="147"/>
  </r>
  <r>
    <x v="147"/>
  </r>
  <r>
    <x v="147"/>
  </r>
  <r>
    <x v="147"/>
  </r>
  <r>
    <x v="148"/>
  </r>
  <r>
    <x v="148"/>
  </r>
  <r>
    <x v="148"/>
  </r>
  <r>
    <x v="148"/>
  </r>
  <r>
    <x v="148"/>
  </r>
  <r>
    <x v="148"/>
  </r>
  <r>
    <x v="149"/>
  </r>
  <r>
    <x v="149"/>
  </r>
  <r>
    <x v="149"/>
  </r>
  <r>
    <x v="149"/>
  </r>
  <r>
    <x v="149"/>
  </r>
  <r>
    <x v="149"/>
  </r>
  <r>
    <x v="150"/>
  </r>
  <r>
    <x v="150"/>
  </r>
  <r>
    <x v="150"/>
  </r>
  <r>
    <x v="150"/>
  </r>
  <r>
    <x v="151"/>
  </r>
  <r>
    <x v="151"/>
  </r>
  <r>
    <x v="151"/>
  </r>
  <r>
    <x v="151"/>
  </r>
  <r>
    <x v="151"/>
  </r>
  <r>
    <x v="151"/>
  </r>
  <r>
    <x v="3"/>
  </r>
  <r>
    <x v="3"/>
  </r>
  <r>
    <x v="3"/>
  </r>
  <r>
    <x v="21"/>
  </r>
  <r>
    <x v="21"/>
  </r>
  <r>
    <x v="21"/>
  </r>
  <r>
    <x v="21"/>
  </r>
  <r>
    <x v="21"/>
  </r>
  <r>
    <x v="21"/>
  </r>
  <r>
    <x v="21"/>
  </r>
  <r>
    <x v="21"/>
  </r>
  <r>
    <x v="21"/>
  </r>
  <r>
    <x v="110"/>
  </r>
  <r>
    <x v="110"/>
  </r>
  <r>
    <x v="110"/>
  </r>
  <r>
    <x v="110"/>
  </r>
  <r>
    <x v="110"/>
  </r>
  <r>
    <x v="110"/>
  </r>
  <r>
    <x v="110"/>
  </r>
  <r>
    <x v="110"/>
  </r>
  <r>
    <x v="110"/>
  </r>
  <r>
    <x v="110"/>
  </r>
  <r>
    <x v="110"/>
  </r>
  <r>
    <x v="110"/>
  </r>
  <r>
    <x v="5"/>
  </r>
  <r>
    <x v="5"/>
  </r>
  <r>
    <x v="5"/>
  </r>
  <r>
    <x v="5"/>
  </r>
  <r>
    <x v="5"/>
  </r>
  <r>
    <x v="5"/>
  </r>
  <r>
    <x v="5"/>
  </r>
  <r>
    <x v="5"/>
  </r>
  <r>
    <x v="5"/>
  </r>
  <r>
    <x v="49"/>
  </r>
  <r>
    <x v="49"/>
  </r>
  <r>
    <x v="49"/>
  </r>
  <r>
    <x v="49"/>
  </r>
  <r>
    <x v="5"/>
  </r>
  <r>
    <x v="5"/>
  </r>
  <r>
    <x v="5"/>
  </r>
  <r>
    <x v="5"/>
  </r>
  <r>
    <x v="115"/>
  </r>
  <r>
    <x v="115"/>
  </r>
  <r>
    <x v="115"/>
  </r>
  <r>
    <x v="115"/>
  </r>
  <r>
    <x v="115"/>
  </r>
  <r>
    <x v="115"/>
  </r>
  <r>
    <x v="115"/>
  </r>
  <r>
    <x v="115"/>
  </r>
  <r>
    <x v="152"/>
  </r>
  <r>
    <x v="152"/>
  </r>
  <r>
    <x v="152"/>
  </r>
  <r>
    <x v="152"/>
  </r>
  <r>
    <x v="152"/>
  </r>
  <r>
    <x v="7"/>
  </r>
  <r>
    <x v="7"/>
  </r>
  <r>
    <x v="7"/>
  </r>
  <r>
    <x v="7"/>
  </r>
  <r>
    <x v="7"/>
  </r>
  <r>
    <x v="7"/>
  </r>
  <r>
    <x v="7"/>
  </r>
  <r>
    <x v="7"/>
  </r>
  <r>
    <x v="7"/>
  </r>
  <r>
    <x v="7"/>
  </r>
  <r>
    <x v="7"/>
  </r>
  <r>
    <x v="7"/>
  </r>
  <r>
    <x v="7"/>
  </r>
  <r>
    <x v="7"/>
  </r>
  <r>
    <x v="153"/>
  </r>
  <r>
    <x v="153"/>
  </r>
  <r>
    <x v="153"/>
  </r>
  <r>
    <x v="153"/>
  </r>
  <r>
    <x v="153"/>
  </r>
  <r>
    <x v="153"/>
  </r>
  <r>
    <x v="153"/>
  </r>
  <r>
    <x v="153"/>
  </r>
  <r>
    <x v="153"/>
  </r>
  <r>
    <x v="153"/>
  </r>
  <r>
    <x v="154"/>
  </r>
  <r>
    <x v="154"/>
  </r>
  <r>
    <x v="154"/>
  </r>
  <r>
    <x v="154"/>
  </r>
  <r>
    <x v="154"/>
  </r>
  <r>
    <x v="154"/>
  </r>
  <r>
    <x v="154"/>
  </r>
  <r>
    <x v="154"/>
  </r>
  <r>
    <x v="154"/>
  </r>
  <r>
    <x v="154"/>
  </r>
  <r>
    <x v="154"/>
  </r>
  <r>
    <x v="153"/>
  </r>
  <r>
    <x v="153"/>
  </r>
  <r>
    <x v="153"/>
  </r>
  <r>
    <x v="153"/>
  </r>
  <r>
    <x v="21"/>
  </r>
  <r>
    <x v="21"/>
  </r>
  <r>
    <x v="21"/>
  </r>
  <r>
    <x v="21"/>
  </r>
  <r>
    <x v="21"/>
  </r>
  <r>
    <x v="21"/>
  </r>
  <r>
    <x v="21"/>
  </r>
  <r>
    <x v="58"/>
  </r>
  <r>
    <x v="58"/>
  </r>
  <r>
    <x v="58"/>
  </r>
  <r>
    <x v="58"/>
  </r>
  <r>
    <x v="58"/>
  </r>
  <r>
    <x v="58"/>
  </r>
  <r>
    <x v="58"/>
  </r>
  <r>
    <x v="58"/>
  </r>
  <r>
    <x v="58"/>
  </r>
  <r>
    <x v="146"/>
  </r>
  <r>
    <x v="146"/>
  </r>
  <r>
    <x v="146"/>
  </r>
  <r>
    <x v="146"/>
  </r>
  <r>
    <x v="146"/>
  </r>
  <r>
    <x v="146"/>
  </r>
  <r>
    <x v="146"/>
  </r>
  <r>
    <x v="146"/>
  </r>
  <r>
    <x v="146"/>
  </r>
  <r>
    <x v="146"/>
  </r>
  <r>
    <x v="146"/>
  </r>
  <r>
    <x v="146"/>
  </r>
  <r>
    <x v="146"/>
  </r>
  <r>
    <x v="146"/>
  </r>
  <r>
    <x v="146"/>
  </r>
  <r>
    <x v="146"/>
  </r>
  <r>
    <x v="99"/>
  </r>
  <r>
    <x v="99"/>
  </r>
  <r>
    <x v="99"/>
  </r>
  <r>
    <x v="99"/>
  </r>
  <r>
    <x v="99"/>
  </r>
  <r>
    <x v="99"/>
  </r>
  <r>
    <x v="99"/>
  </r>
  <r>
    <x v="99"/>
  </r>
  <r>
    <x v="155"/>
  </r>
  <r>
    <x v="155"/>
  </r>
  <r>
    <x v="155"/>
  </r>
  <r>
    <x v="155"/>
  </r>
  <r>
    <x v="155"/>
  </r>
  <r>
    <x v="155"/>
  </r>
  <r>
    <x v="155"/>
  </r>
  <r>
    <x v="155"/>
  </r>
  <r>
    <x v="156"/>
  </r>
  <r>
    <x v="156"/>
  </r>
  <r>
    <x v="156"/>
  </r>
  <r>
    <x v="156"/>
  </r>
  <r>
    <x v="157"/>
  </r>
  <r>
    <x v="157"/>
  </r>
  <r>
    <x v="157"/>
  </r>
  <r>
    <x v="157"/>
  </r>
  <r>
    <x v="129"/>
  </r>
  <r>
    <x v="129"/>
  </r>
  <r>
    <x v="129"/>
  </r>
  <r>
    <x v="129"/>
  </r>
  <r>
    <x v="129"/>
  </r>
  <r>
    <x v="129"/>
  </r>
  <r>
    <x v="158"/>
  </r>
  <r>
    <x v="158"/>
  </r>
  <r>
    <x v="158"/>
  </r>
  <r>
    <x v="158"/>
  </r>
  <r>
    <x v="158"/>
  </r>
  <r>
    <x v="158"/>
  </r>
  <r>
    <x v="158"/>
  </r>
  <r>
    <x v="158"/>
  </r>
  <r>
    <x v="158"/>
  </r>
  <r>
    <x v="7"/>
  </r>
  <r>
    <x v="7"/>
  </r>
  <r>
    <x v="7"/>
  </r>
  <r>
    <x v="7"/>
  </r>
  <r>
    <x v="7"/>
  </r>
  <r>
    <x v="159"/>
  </r>
  <r>
    <x v="159"/>
  </r>
  <r>
    <x v="159"/>
  </r>
  <r>
    <x v="159"/>
  </r>
  <r>
    <x v="159"/>
  </r>
  <r>
    <x v="159"/>
  </r>
  <r>
    <x v="32"/>
  </r>
  <r>
    <x v="32"/>
  </r>
  <r>
    <x v="32"/>
  </r>
  <r>
    <x v="32"/>
  </r>
  <r>
    <x v="32"/>
  </r>
  <r>
    <x v="32"/>
  </r>
  <r>
    <x v="32"/>
  </r>
  <r>
    <x v="32"/>
  </r>
  <r>
    <x v="32"/>
  </r>
  <r>
    <x v="3"/>
  </r>
  <r>
    <x v="3"/>
  </r>
  <r>
    <x v="3"/>
  </r>
  <r>
    <x v="3"/>
  </r>
  <r>
    <x v="3"/>
  </r>
  <r>
    <x v="3"/>
  </r>
  <r>
    <x v="3"/>
  </r>
  <r>
    <x v="3"/>
  </r>
  <r>
    <x v="3"/>
  </r>
  <r>
    <x v="3"/>
  </r>
  <r>
    <x v="3"/>
  </r>
  <r>
    <x v="3"/>
  </r>
  <r>
    <x v="3"/>
  </r>
  <r>
    <x v="3"/>
  </r>
  <r>
    <x v="41"/>
  </r>
  <r>
    <x v="41"/>
  </r>
  <r>
    <x v="41"/>
  </r>
  <r>
    <x v="41"/>
  </r>
  <r>
    <x v="41"/>
  </r>
  <r>
    <x v="41"/>
  </r>
  <r>
    <x v="160"/>
  </r>
  <r>
    <x v="160"/>
  </r>
  <r>
    <x v="160"/>
  </r>
  <r>
    <x v="160"/>
  </r>
  <r>
    <x v="160"/>
  </r>
  <r>
    <x v="160"/>
  </r>
  <r>
    <x v="157"/>
  </r>
  <r>
    <x v="157"/>
  </r>
  <r>
    <x v="157"/>
  </r>
  <r>
    <x v="157"/>
  </r>
  <r>
    <x v="157"/>
  </r>
  <r>
    <x v="157"/>
  </r>
  <r>
    <x v="128"/>
  </r>
  <r>
    <x v="161"/>
  </r>
  <r>
    <x v="161"/>
  </r>
  <r>
    <x v="161"/>
  </r>
  <r>
    <x v="161"/>
  </r>
  <r>
    <x v="16"/>
  </r>
  <r>
    <x v="16"/>
  </r>
  <r>
    <x v="16"/>
  </r>
  <r>
    <x v="16"/>
  </r>
  <r>
    <x v="0"/>
  </r>
  <r>
    <x v="0"/>
  </r>
  <r>
    <x v="0"/>
  </r>
  <r>
    <x v="162"/>
  </r>
  <r>
    <x v="162"/>
  </r>
  <r>
    <x v="162"/>
  </r>
  <r>
    <x v="162"/>
  </r>
  <r>
    <x v="162"/>
  </r>
  <r>
    <x v="163"/>
  </r>
  <r>
    <x v="163"/>
  </r>
  <r>
    <x v="163"/>
  </r>
  <r>
    <x v="163"/>
  </r>
  <r>
    <x v="163"/>
  </r>
  <r>
    <x v="163"/>
  </r>
  <r>
    <x v="163"/>
  </r>
  <r>
    <x v="77"/>
  </r>
  <r>
    <x v="77"/>
  </r>
  <r>
    <x v="77"/>
  </r>
  <r>
    <x v="77"/>
  </r>
  <r>
    <x v="77"/>
  </r>
  <r>
    <x v="77"/>
  </r>
  <r>
    <x v="77"/>
  </r>
  <r>
    <x v="77"/>
  </r>
  <r>
    <x v="164"/>
  </r>
  <r>
    <x v="164"/>
  </r>
  <r>
    <x v="164"/>
  </r>
  <r>
    <x v="164"/>
  </r>
  <r>
    <x v="164"/>
  </r>
  <r>
    <x v="164"/>
  </r>
  <r>
    <x v="164"/>
  </r>
  <r>
    <x v="164"/>
  </r>
  <r>
    <x v="164"/>
  </r>
  <r>
    <x v="49"/>
  </r>
  <r>
    <x v="49"/>
  </r>
  <r>
    <x v="49"/>
  </r>
  <r>
    <x v="49"/>
  </r>
  <r>
    <x v="49"/>
  </r>
  <r>
    <x v="49"/>
  </r>
  <r>
    <x v="5"/>
  </r>
  <r>
    <x v="5"/>
  </r>
  <r>
    <x v="134"/>
  </r>
  <r>
    <x v="134"/>
  </r>
  <r>
    <x v="134"/>
  </r>
  <r>
    <x v="165"/>
  </r>
  <r>
    <x v="165"/>
  </r>
  <r>
    <x v="165"/>
  </r>
  <r>
    <x v="165"/>
  </r>
  <r>
    <x v="165"/>
  </r>
  <r>
    <x v="166"/>
  </r>
  <r>
    <x v="166"/>
  </r>
  <r>
    <x v="166"/>
  </r>
  <r>
    <x v="166"/>
  </r>
  <r>
    <x v="166"/>
  </r>
  <r>
    <x v="166"/>
  </r>
  <r>
    <x v="142"/>
  </r>
  <r>
    <x v="142"/>
  </r>
  <r>
    <x v="142"/>
  </r>
  <r>
    <x v="142"/>
  </r>
  <r>
    <x v="167"/>
  </r>
  <r>
    <x v="167"/>
  </r>
  <r>
    <x v="167"/>
  </r>
  <r>
    <x v="167"/>
  </r>
  <r>
    <x v="167"/>
  </r>
  <r>
    <x v="167"/>
  </r>
  <r>
    <x v="167"/>
  </r>
  <r>
    <x v="95"/>
  </r>
  <r>
    <x v="95"/>
  </r>
  <r>
    <x v="95"/>
  </r>
  <r>
    <x v="95"/>
  </r>
  <r>
    <x v="95"/>
  </r>
  <r>
    <x v="95"/>
  </r>
  <r>
    <x v="95"/>
  </r>
  <r>
    <x v="168"/>
  </r>
  <r>
    <x v="168"/>
  </r>
  <r>
    <x v="168"/>
  </r>
  <r>
    <x v="46"/>
  </r>
  <r>
    <x v="46"/>
  </r>
  <r>
    <x v="46"/>
  </r>
  <r>
    <x v="46"/>
  </r>
  <r>
    <x v="46"/>
  </r>
  <r>
    <x v="46"/>
  </r>
  <r>
    <x v="46"/>
  </r>
  <r>
    <x v="46"/>
  </r>
  <r>
    <x v="7"/>
  </r>
  <r>
    <x v="7"/>
  </r>
  <r>
    <x v="7"/>
  </r>
  <r>
    <x v="7"/>
  </r>
  <r>
    <x v="7"/>
  </r>
  <r>
    <x v="7"/>
  </r>
  <r>
    <x v="17"/>
  </r>
  <r>
    <x v="17"/>
  </r>
  <r>
    <x v="17"/>
  </r>
  <r>
    <x v="17"/>
  </r>
  <r>
    <x v="17"/>
  </r>
  <r>
    <x v="17"/>
  </r>
  <r>
    <x v="17"/>
  </r>
  <r>
    <x v="17"/>
  </r>
  <r>
    <x v="17"/>
  </r>
  <r>
    <x v="17"/>
  </r>
  <r>
    <x v="2"/>
  </r>
  <r>
    <x v="2"/>
  </r>
  <r>
    <x v="2"/>
  </r>
  <r>
    <x v="2"/>
  </r>
  <r>
    <x v="169"/>
  </r>
  <r>
    <x v="169"/>
  </r>
  <r>
    <x v="169"/>
  </r>
  <r>
    <x v="169"/>
  </r>
  <r>
    <x v="169"/>
  </r>
  <r>
    <x v="169"/>
  </r>
  <r>
    <x v="169"/>
  </r>
  <r>
    <x v="170"/>
  </r>
  <r>
    <x v="170"/>
  </r>
  <r>
    <x v="170"/>
  </r>
  <r>
    <x v="170"/>
  </r>
  <r>
    <x v="170"/>
  </r>
  <r>
    <x v="170"/>
  </r>
  <r>
    <x v="171"/>
  </r>
  <r>
    <x v="171"/>
  </r>
  <r>
    <x v="171"/>
  </r>
  <r>
    <x v="171"/>
  </r>
  <r>
    <x v="171"/>
  </r>
  <r>
    <x v="171"/>
  </r>
  <r>
    <x v="171"/>
  </r>
  <r>
    <x v="171"/>
  </r>
  <r>
    <x v="3"/>
  </r>
  <r>
    <x v="3"/>
  </r>
  <r>
    <x v="3"/>
  </r>
  <r>
    <x v="3"/>
  </r>
  <r>
    <x v="3"/>
  </r>
  <r>
    <x v="3"/>
  </r>
  <r>
    <x v="3"/>
  </r>
  <r>
    <x v="3"/>
  </r>
  <r>
    <x v="3"/>
  </r>
  <r>
    <x v="3"/>
  </r>
  <r>
    <x v="3"/>
  </r>
  <r>
    <x v="3"/>
  </r>
  <r>
    <x v="3"/>
  </r>
  <r>
    <x v="3"/>
  </r>
  <r>
    <x v="3"/>
  </r>
  <r>
    <x v="3"/>
  </r>
  <r>
    <x v="3"/>
  </r>
  <r>
    <x v="3"/>
  </r>
  <r>
    <x v="172"/>
  </r>
  <r>
    <x v="172"/>
  </r>
  <r>
    <x v="172"/>
  </r>
  <r>
    <x v="172"/>
  </r>
  <r>
    <x v="172"/>
  </r>
  <r>
    <x v="172"/>
  </r>
  <r>
    <x v="172"/>
  </r>
  <r>
    <x v="46"/>
  </r>
  <r>
    <x v="46"/>
  </r>
  <r>
    <x v="46"/>
  </r>
  <r>
    <x v="46"/>
  </r>
  <r>
    <x v="46"/>
  </r>
  <r>
    <x v="46"/>
  </r>
  <r>
    <x v="46"/>
  </r>
  <r>
    <x v="13"/>
  </r>
  <r>
    <x v="13"/>
  </r>
  <r>
    <x v="13"/>
  </r>
  <r>
    <x v="13"/>
  </r>
  <r>
    <x v="13"/>
  </r>
  <r>
    <x v="3"/>
  </r>
  <r>
    <x v="3"/>
  </r>
  <r>
    <x v="3"/>
  </r>
  <r>
    <x v="3"/>
  </r>
  <r>
    <x v="3"/>
  </r>
  <r>
    <x v="3"/>
  </r>
  <r>
    <x v="3"/>
  </r>
  <r>
    <x v="3"/>
  </r>
  <r>
    <x v="165"/>
  </r>
  <r>
    <x v="165"/>
  </r>
  <r>
    <x v="165"/>
  </r>
  <r>
    <x v="165"/>
  </r>
  <r>
    <x v="5"/>
  </r>
  <r>
    <x v="5"/>
  </r>
  <r>
    <x v="5"/>
  </r>
  <r>
    <x v="5"/>
  </r>
  <r>
    <x v="173"/>
  </r>
  <r>
    <x v="173"/>
  </r>
  <r>
    <x v="173"/>
  </r>
  <r>
    <x v="173"/>
  </r>
  <r>
    <x v="173"/>
  </r>
  <r>
    <x v="174"/>
  </r>
  <r>
    <x v="174"/>
  </r>
  <r>
    <x v="174"/>
  </r>
  <r>
    <x v="174"/>
  </r>
  <r>
    <x v="174"/>
  </r>
  <r>
    <x v="174"/>
  </r>
  <r>
    <x v="174"/>
  </r>
  <r>
    <x v="174"/>
  </r>
  <r>
    <x v="174"/>
  </r>
  <r>
    <x v="174"/>
  </r>
  <r>
    <x v="174"/>
  </r>
  <r>
    <x v="174"/>
  </r>
  <r>
    <x v="174"/>
  </r>
  <r>
    <x v="174"/>
  </r>
  <r>
    <x v="174"/>
  </r>
  <r>
    <x v="174"/>
  </r>
  <r>
    <x v="174"/>
  </r>
  <r>
    <x v="174"/>
  </r>
  <r>
    <x v="174"/>
  </r>
  <r>
    <x v="174"/>
  </r>
  <r>
    <x v="134"/>
  </r>
  <r>
    <x v="134"/>
  </r>
  <r>
    <x v="134"/>
  </r>
  <r>
    <x v="134"/>
  </r>
  <r>
    <x v="141"/>
  </r>
  <r>
    <x v="141"/>
  </r>
  <r>
    <x v="141"/>
  </r>
  <r>
    <x v="141"/>
  </r>
  <r>
    <x v="141"/>
  </r>
  <r>
    <x v="141"/>
  </r>
  <r>
    <x v="141"/>
  </r>
  <r>
    <x v="141"/>
  </r>
  <r>
    <x v="141"/>
  </r>
  <r>
    <x v="141"/>
  </r>
  <r>
    <x v="141"/>
  </r>
  <r>
    <x v="141"/>
  </r>
  <r>
    <x v="141"/>
  </r>
  <r>
    <x v="141"/>
  </r>
  <r>
    <x v="141"/>
  </r>
  <r>
    <x v="141"/>
  </r>
  <r>
    <x v="141"/>
  </r>
  <r>
    <x v="141"/>
  </r>
  <r>
    <x v="3"/>
  </r>
  <r>
    <x v="3"/>
  </r>
  <r>
    <x v="3"/>
  </r>
  <r>
    <x v="3"/>
  </r>
  <r>
    <x v="3"/>
  </r>
  <r>
    <x v="3"/>
  </r>
  <r>
    <x v="3"/>
  </r>
  <r>
    <x v="3"/>
  </r>
  <r>
    <x v="3"/>
  </r>
  <r>
    <x v="3"/>
  </r>
  <r>
    <x v="15"/>
  </r>
  <r>
    <x v="15"/>
  </r>
  <r>
    <x v="175"/>
  </r>
  <r>
    <x v="175"/>
  </r>
  <r>
    <x v="175"/>
  </r>
  <r>
    <x v="176"/>
  </r>
  <r>
    <x v="176"/>
  </r>
  <r>
    <x v="176"/>
  </r>
  <r>
    <x v="176"/>
  </r>
  <r>
    <x v="177"/>
  </r>
  <r>
    <x v="177"/>
  </r>
  <r>
    <x v="177"/>
  </r>
  <r>
    <x v="177"/>
  </r>
  <r>
    <x v="177"/>
  </r>
  <r>
    <x v="177"/>
  </r>
  <r>
    <x v="177"/>
  </r>
  <r>
    <x v="177"/>
  </r>
  <r>
    <x v="177"/>
  </r>
  <r>
    <x v="178"/>
  </r>
  <r>
    <x v="178"/>
  </r>
  <r>
    <x v="178"/>
  </r>
  <r>
    <x v="178"/>
  </r>
  <r>
    <x v="178"/>
  </r>
  <r>
    <x v="178"/>
  </r>
  <r>
    <x v="178"/>
  </r>
  <r>
    <x v="178"/>
  </r>
  <r>
    <x v="178"/>
  </r>
  <r>
    <x v="178"/>
  </r>
  <r>
    <x v="178"/>
  </r>
  <r>
    <x v="49"/>
  </r>
  <r>
    <x v="49"/>
  </r>
  <r>
    <x v="49"/>
  </r>
  <r>
    <x v="49"/>
  </r>
  <r>
    <x v="49"/>
  </r>
  <r>
    <x v="49"/>
  </r>
  <r>
    <x v="49"/>
  </r>
  <r>
    <x v="49"/>
  </r>
  <r>
    <x v="49"/>
  </r>
  <r>
    <x v="49"/>
  </r>
  <r>
    <x v="49"/>
  </r>
  <r>
    <x v="49"/>
  </r>
  <r>
    <x v="49"/>
  </r>
  <r>
    <x v="49"/>
  </r>
  <r>
    <x v="5"/>
  </r>
  <r>
    <x v="5"/>
  </r>
  <r>
    <x v="78"/>
  </r>
  <r>
    <x v="179"/>
  </r>
  <r>
    <x v="179"/>
  </r>
  <r>
    <x v="179"/>
  </r>
  <r>
    <x v="180"/>
  </r>
  <r>
    <x v="180"/>
  </r>
  <r>
    <x v="180"/>
  </r>
  <r>
    <x v="180"/>
  </r>
  <r>
    <x v="180"/>
  </r>
  <r>
    <x v="3"/>
  </r>
  <r>
    <x v="3"/>
  </r>
  <r>
    <x v="3"/>
  </r>
  <r>
    <x v="3"/>
  </r>
  <r>
    <x v="23"/>
  </r>
  <r>
    <x v="23"/>
  </r>
  <r>
    <x v="23"/>
  </r>
  <r>
    <x v="23"/>
  </r>
  <r>
    <x v="23"/>
  </r>
  <r>
    <x v="23"/>
  </r>
  <r>
    <x v="23"/>
  </r>
  <r>
    <x v="181"/>
  </r>
  <r>
    <x v="181"/>
  </r>
  <r>
    <x v="181"/>
  </r>
  <r>
    <x v="181"/>
  </r>
  <r>
    <x v="181"/>
  </r>
  <r>
    <x v="181"/>
  </r>
  <r>
    <x v="181"/>
  </r>
  <r>
    <x v="182"/>
  </r>
  <r>
    <x v="182"/>
  </r>
  <r>
    <x v="182"/>
  </r>
  <r>
    <x v="182"/>
  </r>
  <r>
    <x v="182"/>
  </r>
  <r>
    <x v="182"/>
  </r>
  <r>
    <x v="46"/>
  </r>
  <r>
    <x v="46"/>
  </r>
  <r>
    <x v="46"/>
  </r>
  <r>
    <x v="183"/>
  </r>
  <r>
    <x v="183"/>
  </r>
  <r>
    <x v="183"/>
  </r>
  <r>
    <x v="183"/>
  </r>
  <r>
    <x v="183"/>
  </r>
  <r>
    <x v="184"/>
  </r>
  <r>
    <x v="184"/>
  </r>
  <r>
    <x v="184"/>
  </r>
  <r>
    <x v="184"/>
  </r>
  <r>
    <x v="3"/>
  </r>
  <r>
    <x v="3"/>
  </r>
  <r>
    <x v="3"/>
  </r>
  <r>
    <x v="3"/>
  </r>
  <r>
    <x v="3"/>
  </r>
  <r>
    <x v="185"/>
  </r>
  <r>
    <x v="185"/>
  </r>
  <r>
    <x v="185"/>
  </r>
  <r>
    <x v="185"/>
  </r>
  <r>
    <x v="185"/>
  </r>
  <r>
    <x v="185"/>
  </r>
  <r>
    <x v="185"/>
  </r>
  <r>
    <x v="185"/>
  </r>
  <r>
    <x v="185"/>
  </r>
  <r>
    <x v="185"/>
  </r>
  <r>
    <x v="186"/>
  </r>
  <r>
    <x v="186"/>
  </r>
  <r>
    <x v="186"/>
  </r>
  <r>
    <x v="186"/>
  </r>
  <r>
    <x v="186"/>
  </r>
  <r>
    <x v="7"/>
  </r>
  <r>
    <x v="7"/>
  </r>
  <r>
    <x v="7"/>
  </r>
  <r>
    <x v="7"/>
  </r>
  <r>
    <x v="7"/>
  </r>
  <r>
    <x v="7"/>
  </r>
  <r>
    <x v="7"/>
  </r>
  <r>
    <x v="3"/>
  </r>
  <r>
    <x v="3"/>
  </r>
  <r>
    <x v="3"/>
  </r>
  <r>
    <x v="3"/>
  </r>
  <r>
    <x v="107"/>
  </r>
  <r>
    <x v="107"/>
  </r>
  <r>
    <x v="107"/>
  </r>
  <r>
    <x v="107"/>
  </r>
  <r>
    <x v="107"/>
  </r>
  <r>
    <x v="107"/>
  </r>
  <r>
    <x v="187"/>
  </r>
  <r>
    <x v="187"/>
  </r>
  <r>
    <x v="187"/>
  </r>
  <r>
    <x v="187"/>
  </r>
  <r>
    <x v="187"/>
  </r>
  <r>
    <x v="188"/>
  </r>
  <r>
    <x v="188"/>
  </r>
  <r>
    <x v="188"/>
  </r>
  <r>
    <x v="188"/>
  </r>
  <r>
    <x v="158"/>
  </r>
  <r>
    <x v="3"/>
  </r>
  <r>
    <x v="1"/>
  </r>
  <r>
    <x v="1"/>
  </r>
  <r>
    <x v="1"/>
  </r>
  <r>
    <x v="1"/>
  </r>
  <r>
    <x v="15"/>
  </r>
  <r>
    <x v="189"/>
  </r>
  <r>
    <x v="189"/>
  </r>
  <r>
    <x v="189"/>
  </r>
  <r>
    <x v="189"/>
  </r>
  <r>
    <x v="189"/>
  </r>
  <r>
    <x v="189"/>
  </r>
  <r>
    <x v="189"/>
  </r>
  <r>
    <x v="190"/>
  </r>
  <r>
    <x v="190"/>
  </r>
  <r>
    <x v="190"/>
  </r>
  <r>
    <x v="190"/>
  </r>
  <r>
    <x v="190"/>
  </r>
  <r>
    <x v="191"/>
  </r>
  <r>
    <x v="191"/>
  </r>
  <r>
    <x v="191"/>
  </r>
  <r>
    <x v="191"/>
  </r>
  <r>
    <x v="191"/>
  </r>
  <r>
    <x v="191"/>
  </r>
  <r>
    <x v="191"/>
  </r>
  <r>
    <x v="192"/>
  </r>
  <r>
    <x v="192"/>
  </r>
  <r>
    <x v="192"/>
  </r>
  <r>
    <x v="192"/>
  </r>
  <r>
    <x v="192"/>
  </r>
  <r>
    <x v="192"/>
  </r>
  <r>
    <x v="192"/>
  </r>
  <r>
    <x v="192"/>
  </r>
  <r>
    <x v="32"/>
  </r>
  <r>
    <x v="32"/>
  </r>
  <r>
    <x v="32"/>
  </r>
  <r>
    <x v="165"/>
  </r>
  <r>
    <x v="165"/>
  </r>
  <r>
    <x v="165"/>
  </r>
  <r>
    <x v="165"/>
  </r>
  <r>
    <x v="165"/>
  </r>
  <r>
    <x v="165"/>
  </r>
  <r>
    <x v="165"/>
  </r>
  <r>
    <x v="165"/>
  </r>
  <r>
    <x v="165"/>
  </r>
  <r>
    <x v="43"/>
  </r>
  <r>
    <x v="43"/>
  </r>
  <r>
    <x v="43"/>
  </r>
  <r>
    <x v="43"/>
  </r>
  <r>
    <x v="43"/>
  </r>
  <r>
    <x v="27"/>
  </r>
  <r>
    <x v="27"/>
  </r>
  <r>
    <x v="27"/>
  </r>
  <r>
    <x v="151"/>
  </r>
  <r>
    <x v="151"/>
  </r>
  <r>
    <x v="193"/>
  </r>
  <r>
    <x v="193"/>
  </r>
  <r>
    <x v="193"/>
  </r>
  <r>
    <x v="193"/>
  </r>
  <r>
    <x v="176"/>
  </r>
  <r>
    <x v="176"/>
  </r>
  <r>
    <x v="176"/>
  </r>
  <r>
    <x v="176"/>
  </r>
  <r>
    <x v="194"/>
  </r>
  <r>
    <x v="194"/>
  </r>
  <r>
    <x v="194"/>
  </r>
  <r>
    <x v="194"/>
  </r>
  <r>
    <x v="194"/>
  </r>
  <r>
    <x v="77"/>
  </r>
  <r>
    <x v="77"/>
  </r>
  <r>
    <x v="77"/>
  </r>
  <r>
    <x v="77"/>
  </r>
  <r>
    <x v="77"/>
  </r>
  <r>
    <x v="77"/>
  </r>
  <r>
    <x v="195"/>
  </r>
  <r>
    <x v="195"/>
  </r>
  <r>
    <x v="195"/>
  </r>
  <r>
    <x v="195"/>
  </r>
  <r>
    <x v="195"/>
  </r>
  <r>
    <x v="195"/>
  </r>
  <r>
    <x v="195"/>
  </r>
  <r>
    <x v="195"/>
  </r>
  <r>
    <x v="196"/>
  </r>
  <r>
    <x v="49"/>
  </r>
  <r>
    <x v="49"/>
  </r>
  <r>
    <x v="49"/>
  </r>
  <r>
    <x v="49"/>
  </r>
  <r>
    <x v="49"/>
  </r>
  <r>
    <x v="49"/>
  </r>
  <r>
    <x v="49"/>
  </r>
  <r>
    <x v="49"/>
  </r>
  <r>
    <x v="5"/>
  </r>
  <r>
    <x v="5"/>
  </r>
  <r>
    <x v="5"/>
  </r>
  <r>
    <x v="5"/>
  </r>
  <r>
    <x v="5"/>
  </r>
  <r>
    <x v="5"/>
  </r>
  <r>
    <x v="64"/>
  </r>
  <r>
    <x v="64"/>
  </r>
  <r>
    <x v="64"/>
  </r>
  <r>
    <x v="64"/>
  </r>
  <r>
    <x v="64"/>
  </r>
  <r>
    <x v="23"/>
  </r>
  <r>
    <x v="23"/>
  </r>
  <r>
    <x v="23"/>
  </r>
  <r>
    <x v="23"/>
  </r>
  <r>
    <x v="115"/>
  </r>
  <r>
    <x v="115"/>
  </r>
  <r>
    <x v="115"/>
  </r>
  <r>
    <x v="115"/>
  </r>
  <r>
    <x v="115"/>
  </r>
  <r>
    <x v="115"/>
  </r>
  <r>
    <x v="115"/>
  </r>
  <r>
    <x v="115"/>
  </r>
  <r>
    <x v="115"/>
  </r>
  <r>
    <x v="115"/>
  </r>
  <r>
    <x v="115"/>
  </r>
  <r>
    <x v="115"/>
  </r>
  <r>
    <x v="115"/>
  </r>
  <r>
    <x v="115"/>
  </r>
  <r>
    <x v="115"/>
  </r>
  <r>
    <x v="115"/>
  </r>
  <r>
    <x v="115"/>
  </r>
  <r>
    <x v="115"/>
  </r>
  <r>
    <x v="126"/>
  </r>
  <r>
    <x v="126"/>
  </r>
  <r>
    <x v="126"/>
  </r>
  <r>
    <x v="126"/>
  </r>
  <r>
    <x v="126"/>
  </r>
  <r>
    <x v="126"/>
  </r>
  <r>
    <x v="126"/>
  </r>
  <r>
    <x v="112"/>
  </r>
  <r>
    <x v="112"/>
  </r>
  <r>
    <x v="112"/>
  </r>
  <r>
    <x v="112"/>
  </r>
  <r>
    <x v="112"/>
  </r>
  <r>
    <x v="112"/>
  </r>
  <r>
    <x v="112"/>
  </r>
  <r>
    <x v="112"/>
  </r>
  <r>
    <x v="112"/>
  </r>
  <r>
    <x v="112"/>
  </r>
  <r>
    <x v="81"/>
  </r>
  <r>
    <x v="81"/>
  </r>
  <r>
    <x v="81"/>
  </r>
  <r>
    <x v="81"/>
  </r>
  <r>
    <x v="81"/>
  </r>
  <r>
    <x v="81"/>
  </r>
  <r>
    <x v="81"/>
  </r>
  <r>
    <x v="7"/>
  </r>
  <r>
    <x v="7"/>
  </r>
  <r>
    <x v="7"/>
  </r>
  <r>
    <x v="7"/>
  </r>
  <r>
    <x v="7"/>
  </r>
  <r>
    <x v="7"/>
  </r>
  <r>
    <x v="7"/>
  </r>
  <r>
    <x v="7"/>
  </r>
  <r>
    <x v="46"/>
  </r>
  <r>
    <x v="46"/>
  </r>
  <r>
    <x v="46"/>
  </r>
  <r>
    <x v="46"/>
  </r>
  <r>
    <x v="46"/>
  </r>
  <r>
    <x v="46"/>
  </r>
  <r>
    <x v="46"/>
  </r>
  <r>
    <x v="46"/>
  </r>
  <r>
    <x v="46"/>
  </r>
  <r>
    <x v="158"/>
  </r>
  <r>
    <x v="158"/>
  </r>
  <r>
    <x v="158"/>
  </r>
  <r>
    <x v="158"/>
  </r>
  <r>
    <x v="158"/>
  </r>
  <r>
    <x v="158"/>
  </r>
  <r>
    <x v="158"/>
  </r>
  <r>
    <x v="197"/>
  </r>
  <r>
    <x v="197"/>
  </r>
  <r>
    <x v="197"/>
  </r>
  <r>
    <x v="197"/>
  </r>
  <r>
    <x v="197"/>
  </r>
  <r>
    <x v="198"/>
  </r>
  <r>
    <x v="198"/>
  </r>
  <r>
    <x v="198"/>
  </r>
  <r>
    <x v="198"/>
  </r>
  <r>
    <x v="198"/>
  </r>
  <r>
    <x v="198"/>
  </r>
  <r>
    <x v="198"/>
  </r>
  <r>
    <x v="198"/>
  </r>
  <r>
    <x v="199"/>
  </r>
  <r>
    <x v="199"/>
  </r>
  <r>
    <x v="199"/>
  </r>
  <r>
    <x v="115"/>
  </r>
  <r>
    <x v="115"/>
  </r>
  <r>
    <x v="115"/>
  </r>
  <r>
    <x v="115"/>
  </r>
  <r>
    <x v="115"/>
  </r>
  <r>
    <x v="115"/>
  </r>
  <r>
    <x v="115"/>
  </r>
  <r>
    <x v="115"/>
  </r>
  <r>
    <x v="115"/>
  </r>
  <r>
    <x v="180"/>
  </r>
  <r>
    <x v="180"/>
  </r>
  <r>
    <x v="180"/>
  </r>
  <r>
    <x v="191"/>
  </r>
  <r>
    <x v="191"/>
  </r>
  <r>
    <x v="191"/>
  </r>
  <r>
    <x v="191"/>
  </r>
  <r>
    <x v="191"/>
  </r>
  <r>
    <x v="191"/>
  </r>
  <r>
    <x v="165"/>
  </r>
  <r>
    <x v="165"/>
  </r>
  <r>
    <x v="165"/>
  </r>
  <r>
    <x v="165"/>
  </r>
  <r>
    <x v="165"/>
  </r>
  <r>
    <x v="165"/>
  </r>
  <r>
    <x v="165"/>
  </r>
  <r>
    <x v="165"/>
  </r>
  <r>
    <x v="165"/>
  </r>
  <r>
    <x v="165"/>
  </r>
  <r>
    <x v="165"/>
  </r>
  <r>
    <x v="165"/>
  </r>
  <r>
    <x v="200"/>
  </r>
  <r>
    <x v="200"/>
  </r>
  <r>
    <x v="200"/>
  </r>
  <r>
    <x v="200"/>
  </r>
  <r>
    <x v="200"/>
  </r>
  <r>
    <x v="182"/>
  </r>
  <r>
    <x v="182"/>
  </r>
  <r>
    <x v="182"/>
  </r>
  <r>
    <x v="182"/>
  </r>
  <r>
    <x v="182"/>
  </r>
  <r>
    <x v="182"/>
  </r>
  <r>
    <x v="21"/>
  </r>
  <r>
    <x v="21"/>
  </r>
  <r>
    <x v="21"/>
  </r>
  <r>
    <x v="21"/>
  </r>
  <r>
    <x v="21"/>
  </r>
  <r>
    <x v="21"/>
  </r>
  <r>
    <x v="21"/>
  </r>
  <r>
    <x v="201"/>
  </r>
  <r>
    <x v="201"/>
  </r>
  <r>
    <x v="201"/>
  </r>
  <r>
    <x v="3"/>
  </r>
  <r>
    <x v="3"/>
  </r>
  <r>
    <x v="3"/>
  </r>
  <r>
    <x v="3"/>
  </r>
  <r>
    <x v="3"/>
  </r>
  <r>
    <x v="3"/>
  </r>
  <r>
    <x v="3"/>
  </r>
  <r>
    <x v="202"/>
  </r>
  <r>
    <x v="202"/>
  </r>
  <r>
    <x v="202"/>
  </r>
  <r>
    <x v="134"/>
  </r>
  <r>
    <x v="134"/>
  </r>
  <r>
    <x v="134"/>
  </r>
  <r>
    <x v="203"/>
  </r>
  <r>
    <x v="203"/>
  </r>
  <r>
    <x v="203"/>
  </r>
  <r>
    <x v="203"/>
  </r>
  <r>
    <x v="203"/>
  </r>
  <r>
    <x v="203"/>
  </r>
  <r>
    <x v="203"/>
  </r>
  <r>
    <x v="203"/>
  </r>
  <r>
    <x v="78"/>
  </r>
  <r>
    <x v="78"/>
  </r>
  <r>
    <x v="78"/>
  </r>
  <r>
    <x v="78"/>
  </r>
  <r>
    <x v="78"/>
  </r>
  <r>
    <x v="78"/>
  </r>
  <r>
    <x v="78"/>
  </r>
  <r>
    <x v="78"/>
  </r>
  <r>
    <x v="78"/>
  </r>
  <r>
    <x v="78"/>
  </r>
  <r>
    <x v="78"/>
  </r>
  <r>
    <x v="204"/>
  </r>
  <r>
    <x v="204"/>
  </r>
  <r>
    <x v="204"/>
  </r>
  <r>
    <x v="204"/>
  </r>
  <r>
    <x v="204"/>
  </r>
  <r>
    <x v="204"/>
  </r>
  <r>
    <x v="204"/>
  </r>
  <r>
    <x v="204"/>
  </r>
  <r>
    <x v="204"/>
  </r>
  <r>
    <x v="7"/>
  </r>
  <r>
    <x v="7"/>
  </r>
  <r>
    <x v="7"/>
  </r>
  <r>
    <x v="7"/>
  </r>
  <r>
    <x v="7"/>
  </r>
  <r>
    <x v="7"/>
  </r>
  <r>
    <x v="7"/>
  </r>
  <r>
    <x v="7"/>
  </r>
  <r>
    <x v="7"/>
  </r>
  <r>
    <x v="180"/>
  </r>
  <r>
    <x v="180"/>
  </r>
  <r>
    <x v="180"/>
  </r>
  <r>
    <x v="180"/>
  </r>
  <r>
    <x v="180"/>
  </r>
  <r>
    <x v="195"/>
  </r>
  <r>
    <x v="195"/>
  </r>
  <r>
    <x v="195"/>
  </r>
  <r>
    <x v="195"/>
  </r>
  <r>
    <x v="195"/>
  </r>
  <r>
    <x v="195"/>
  </r>
  <r>
    <x v="195"/>
  </r>
  <r>
    <x v="195"/>
  </r>
  <r>
    <x v="77"/>
  </r>
  <r>
    <x v="77"/>
  </r>
  <r>
    <x v="77"/>
  </r>
  <r>
    <x v="77"/>
  </r>
  <r>
    <x v="35"/>
  </r>
  <r>
    <x v="35"/>
  </r>
  <r>
    <x v="35"/>
  </r>
  <r>
    <x v="205"/>
  </r>
  <r>
    <x v="205"/>
  </r>
  <r>
    <x v="205"/>
  </r>
  <r>
    <x v="205"/>
  </r>
  <r>
    <x v="205"/>
  </r>
  <r>
    <x v="205"/>
  </r>
  <r>
    <x v="195"/>
  </r>
  <r>
    <x v="195"/>
  </r>
  <r>
    <x v="195"/>
  </r>
  <r>
    <x v="195"/>
  </r>
  <r>
    <x v="154"/>
  </r>
  <r>
    <x v="5"/>
  </r>
  <r>
    <x v="5"/>
  </r>
  <r>
    <x v="5"/>
  </r>
  <r>
    <x v="5"/>
  </r>
  <r>
    <x v="5"/>
  </r>
  <r>
    <x v="5"/>
  </r>
  <r>
    <x v="5"/>
  </r>
  <r>
    <x v="5"/>
  </r>
  <r>
    <x v="5"/>
  </r>
  <r>
    <x v="5"/>
  </r>
  <r>
    <x v="5"/>
  </r>
  <r>
    <x v="5"/>
  </r>
  <r>
    <x v="5"/>
  </r>
  <r>
    <x v="5"/>
  </r>
  <r>
    <x v="206"/>
  </r>
  <r>
    <x v="206"/>
  </r>
  <r>
    <x v="206"/>
  </r>
  <r>
    <x v="207"/>
  </r>
  <r>
    <x v="207"/>
  </r>
  <r>
    <x v="207"/>
  </r>
  <r>
    <x v="207"/>
  </r>
  <r>
    <x v="208"/>
  </r>
  <r>
    <x v="208"/>
  </r>
  <r>
    <x v="209"/>
  </r>
  <r>
    <x v="209"/>
  </r>
  <r>
    <x v="209"/>
  </r>
  <r>
    <x v="209"/>
  </r>
  <r>
    <x v="209"/>
  </r>
  <r>
    <x v="209"/>
  </r>
  <r>
    <x v="209"/>
  </r>
  <r>
    <x v="209"/>
  </r>
  <r>
    <x v="209"/>
  </r>
  <r>
    <x v="209"/>
  </r>
  <r>
    <x v="210"/>
  </r>
  <r>
    <x v="210"/>
  </r>
  <r>
    <x v="210"/>
  </r>
  <r>
    <x v="210"/>
  </r>
  <r>
    <x v="210"/>
  </r>
  <r>
    <x v="210"/>
  </r>
  <r>
    <x v="21"/>
  </r>
  <r>
    <x v="21"/>
  </r>
  <r>
    <x v="21"/>
  </r>
  <r>
    <x v="21"/>
  </r>
  <r>
    <x v="21"/>
  </r>
  <r>
    <x v="21"/>
  </r>
  <r>
    <x v="21"/>
  </r>
  <r>
    <x v="21"/>
  </r>
  <r>
    <x v="21"/>
  </r>
  <r>
    <x v="21"/>
  </r>
  <r>
    <x v="19"/>
  </r>
  <r>
    <x v="19"/>
  </r>
  <r>
    <x v="19"/>
  </r>
  <r>
    <x v="19"/>
  </r>
  <r>
    <x v="19"/>
  </r>
  <r>
    <x v="19"/>
  </r>
  <r>
    <x v="19"/>
  </r>
  <r>
    <x v="211"/>
  </r>
  <r>
    <x v="211"/>
  </r>
  <r>
    <x v="211"/>
  </r>
  <r>
    <x v="211"/>
  </r>
  <r>
    <x v="19"/>
  </r>
  <r>
    <x v="19"/>
  </r>
  <r>
    <x v="19"/>
  </r>
  <r>
    <x v="19"/>
  </r>
  <r>
    <x v="19"/>
  </r>
  <r>
    <x v="19"/>
  </r>
  <r>
    <x v="19"/>
  </r>
  <r>
    <x v="46"/>
  </r>
  <r>
    <x v="46"/>
  </r>
  <r>
    <x v="46"/>
  </r>
  <r>
    <x v="46"/>
  </r>
  <r>
    <x v="46"/>
  </r>
  <r>
    <x v="46"/>
  </r>
  <r>
    <x v="46"/>
  </r>
  <r>
    <x v="46"/>
  </r>
  <r>
    <x v="46"/>
  </r>
  <r>
    <x v="46"/>
  </r>
  <r>
    <x v="113"/>
  </r>
  <r>
    <x v="113"/>
  </r>
  <r>
    <x v="113"/>
  </r>
  <r>
    <x v="113"/>
  </r>
  <r>
    <x v="113"/>
  </r>
  <r>
    <x v="113"/>
  </r>
  <r>
    <x v="113"/>
  </r>
  <r>
    <x v="113"/>
  </r>
  <r>
    <x v="113"/>
  </r>
  <r>
    <x v="113"/>
  </r>
  <r>
    <x v="113"/>
  </r>
  <r>
    <x v="113"/>
  </r>
  <r>
    <x v="113"/>
  </r>
  <r>
    <x v="113"/>
  </r>
  <r>
    <x v="113"/>
  </r>
  <r>
    <x v="113"/>
  </r>
  <r>
    <x v="113"/>
  </r>
  <r>
    <x v="113"/>
  </r>
  <r>
    <x v="113"/>
  </r>
  <r>
    <x v="27"/>
  </r>
  <r>
    <x v="27"/>
  </r>
  <r>
    <x v="27"/>
  </r>
  <r>
    <x v="27"/>
  </r>
  <r>
    <x v="27"/>
  </r>
  <r>
    <x v="27"/>
  </r>
  <r>
    <x v="27"/>
  </r>
  <r>
    <x v="113"/>
  </r>
  <r>
    <x v="113"/>
  </r>
  <r>
    <x v="113"/>
  </r>
  <r>
    <x v="113"/>
  </r>
  <r>
    <x v="212"/>
  </r>
  <r>
    <x v="212"/>
  </r>
  <r>
    <x v="212"/>
  </r>
  <r>
    <x v="212"/>
  </r>
  <r>
    <x v="212"/>
  </r>
  <r>
    <x v="212"/>
  </r>
  <r>
    <x v="129"/>
  </r>
  <r>
    <x v="129"/>
  </r>
  <r>
    <x v="129"/>
  </r>
  <r>
    <x v="129"/>
  </r>
  <r>
    <x v="129"/>
  </r>
  <r>
    <x v="21"/>
  </r>
  <r>
    <x v="21"/>
  </r>
  <r>
    <x v="21"/>
  </r>
  <r>
    <x v="21"/>
  </r>
  <r>
    <x v="21"/>
  </r>
  <r>
    <x v="21"/>
  </r>
  <r>
    <x v="21"/>
  </r>
  <r>
    <x v="21"/>
  </r>
  <r>
    <x v="112"/>
  </r>
  <r>
    <x v="112"/>
  </r>
  <r>
    <x v="112"/>
  </r>
  <r>
    <x v="112"/>
  </r>
  <r>
    <x v="112"/>
  </r>
  <r>
    <x v="112"/>
  </r>
  <r>
    <x v="112"/>
  </r>
  <r>
    <x v="112"/>
  </r>
  <r>
    <x v="112"/>
  </r>
  <r>
    <x v="23"/>
  </r>
  <r>
    <x v="23"/>
  </r>
  <r>
    <x v="23"/>
  </r>
  <r>
    <x v="213"/>
  </r>
  <r>
    <x v="213"/>
  </r>
  <r>
    <x v="213"/>
  </r>
  <r>
    <x v="213"/>
  </r>
  <r>
    <x v="213"/>
  </r>
  <r>
    <x v="201"/>
  </r>
  <r>
    <x v="201"/>
  </r>
  <r>
    <x v="201"/>
  </r>
  <r>
    <x v="201"/>
  </r>
  <r>
    <x v="201"/>
  </r>
  <r>
    <x v="98"/>
  </r>
  <r>
    <x v="98"/>
  </r>
  <r>
    <x v="98"/>
  </r>
  <r>
    <x v="98"/>
  </r>
  <r>
    <x v="98"/>
  </r>
  <r>
    <x v="117"/>
  </r>
  <r>
    <x v="117"/>
  </r>
  <r>
    <x v="81"/>
  </r>
  <r>
    <x v="81"/>
  </r>
  <r>
    <x v="81"/>
  </r>
  <r>
    <x v="81"/>
  </r>
  <r>
    <x v="81"/>
  </r>
  <r>
    <x v="81"/>
  </r>
  <r>
    <x v="95"/>
  </r>
  <r>
    <x v="95"/>
  </r>
  <r>
    <x v="95"/>
  </r>
  <r>
    <x v="95"/>
  </r>
  <r>
    <x v="95"/>
  </r>
  <r>
    <x v="214"/>
  </r>
  <r>
    <x v="214"/>
  </r>
  <r>
    <x v="214"/>
  </r>
  <r>
    <x v="214"/>
  </r>
  <r>
    <x v="214"/>
  </r>
  <r>
    <x v="214"/>
  </r>
  <r>
    <x v="214"/>
  </r>
  <r>
    <x v="214"/>
  </r>
  <r>
    <x v="214"/>
  </r>
  <r>
    <x v="214"/>
  </r>
  <r>
    <x v="214"/>
  </r>
  <r>
    <x v="214"/>
  </r>
  <r>
    <x v="214"/>
  </r>
  <r>
    <x v="214"/>
  </r>
  <r>
    <x v="214"/>
  </r>
  <r>
    <x v="214"/>
  </r>
  <r>
    <x v="214"/>
  </r>
  <r>
    <x v="214"/>
  </r>
  <r>
    <x v="214"/>
  </r>
  <r>
    <x v="214"/>
  </r>
  <r>
    <x v="214"/>
  </r>
  <r>
    <x v="214"/>
  </r>
  <r>
    <x v="214"/>
  </r>
  <r>
    <x v="214"/>
  </r>
  <r>
    <x v="214"/>
  </r>
  <r>
    <x v="214"/>
  </r>
  <r>
    <x v="214"/>
  </r>
  <r>
    <x v="214"/>
  </r>
  <r>
    <x v="214"/>
  </r>
  <r>
    <x v="214"/>
  </r>
  <r>
    <x v="214"/>
  </r>
  <r>
    <x v="214"/>
  </r>
  <r>
    <x v="214"/>
  </r>
  <r>
    <x v="214"/>
  </r>
  <r>
    <x v="214"/>
  </r>
  <r>
    <x v="214"/>
  </r>
  <r>
    <x v="214"/>
  </r>
  <r>
    <x v="214"/>
  </r>
  <r>
    <x v="214"/>
  </r>
  <r>
    <x v="214"/>
  </r>
  <r>
    <x v="214"/>
  </r>
  <r>
    <x v="214"/>
  </r>
  <r>
    <x v="214"/>
  </r>
  <r>
    <x v="214"/>
  </r>
  <r>
    <x v="214"/>
  </r>
  <r>
    <x v="214"/>
  </r>
  <r>
    <x v="214"/>
  </r>
  <r>
    <x v="215"/>
  </r>
  <r>
    <x v="215"/>
  </r>
  <r>
    <x v="215"/>
  </r>
  <r>
    <x v="215"/>
  </r>
  <r>
    <x v="215"/>
  </r>
  <r>
    <x v="215"/>
  </r>
  <r>
    <x v="215"/>
  </r>
  <r>
    <x v="215"/>
  </r>
  <r>
    <x v="215"/>
  </r>
  <r>
    <x v="215"/>
  </r>
  <r>
    <x v="215"/>
  </r>
  <r>
    <x v="214"/>
  </r>
  <r>
    <x v="214"/>
  </r>
  <r>
    <x v="214"/>
  </r>
  <r>
    <x v="214"/>
  </r>
  <r>
    <x v="214"/>
  </r>
  <r>
    <x v="214"/>
  </r>
  <r>
    <x v="214"/>
  </r>
  <r>
    <x v="214"/>
  </r>
  <r>
    <x v="214"/>
  </r>
  <r>
    <x v="214"/>
  </r>
  <r>
    <x v="214"/>
  </r>
  <r>
    <x v="214"/>
  </r>
  <r>
    <x v="214"/>
  </r>
  <r>
    <x v="214"/>
  </r>
  <r>
    <x v="214"/>
  </r>
  <r>
    <x v="214"/>
  </r>
  <r>
    <x v="214"/>
  </r>
  <r>
    <x v="3"/>
  </r>
  <r>
    <x v="3"/>
  </r>
  <r>
    <x v="3"/>
  </r>
  <r>
    <x v="3"/>
  </r>
  <r>
    <x v="3"/>
  </r>
  <r>
    <x v="3"/>
  </r>
  <r>
    <x v="3"/>
  </r>
  <r>
    <x v="186"/>
  </r>
  <r>
    <x v="186"/>
  </r>
  <r>
    <x v="186"/>
  </r>
  <r>
    <x v="186"/>
  </r>
  <r>
    <x v="186"/>
  </r>
  <r>
    <x v="186"/>
  </r>
  <r>
    <x v="186"/>
  </r>
  <r>
    <x v="77"/>
  </r>
  <r>
    <x v="77"/>
  </r>
  <r>
    <x v="77"/>
  </r>
  <r>
    <x v="77"/>
  </r>
  <r>
    <x v="77"/>
  </r>
  <r>
    <x v="58"/>
  </r>
  <r>
    <x v="58"/>
  </r>
  <r>
    <x v="58"/>
  </r>
  <r>
    <x v="58"/>
  </r>
  <r>
    <x v="58"/>
  </r>
  <r>
    <x v="58"/>
  </r>
  <r>
    <x v="58"/>
  </r>
  <r>
    <x v="216"/>
  </r>
  <r>
    <x v="216"/>
  </r>
  <r>
    <x v="216"/>
  </r>
  <r>
    <x v="216"/>
  </r>
  <r>
    <x v="216"/>
  </r>
  <r>
    <x v="216"/>
  </r>
  <r>
    <x v="216"/>
  </r>
  <r>
    <x v="216"/>
  </r>
  <r>
    <x v="216"/>
  </r>
  <r>
    <x v="216"/>
  </r>
  <r>
    <x v="216"/>
  </r>
  <r>
    <x v="217"/>
  </r>
  <r>
    <x v="217"/>
  </r>
  <r>
    <x v="217"/>
  </r>
  <r>
    <x v="217"/>
  </r>
  <r>
    <x v="217"/>
  </r>
  <r>
    <x v="217"/>
  </r>
  <r>
    <x v="218"/>
  </r>
  <r>
    <x v="218"/>
  </r>
  <r>
    <x v="218"/>
  </r>
  <r>
    <x v="218"/>
  </r>
  <r>
    <x v="218"/>
  </r>
  <r>
    <x v="150"/>
  </r>
  <r>
    <x v="150"/>
  </r>
  <r>
    <x v="150"/>
  </r>
  <r>
    <x v="150"/>
  </r>
  <r>
    <x v="150"/>
  </r>
  <r>
    <x v="165"/>
  </r>
  <r>
    <x v="165"/>
  </r>
  <r>
    <x v="165"/>
  </r>
  <r>
    <x v="165"/>
  </r>
  <r>
    <x v="165"/>
  </r>
  <r>
    <x v="46"/>
  </r>
  <r>
    <x v="46"/>
  </r>
  <r>
    <x v="219"/>
  </r>
  <r>
    <x v="219"/>
  </r>
  <r>
    <x v="219"/>
  </r>
  <r>
    <x v="219"/>
  </r>
  <r>
    <x v="219"/>
  </r>
  <r>
    <x v="87"/>
  </r>
  <r>
    <x v="87"/>
  </r>
  <r>
    <x v="60"/>
  </r>
  <r>
    <x v="60"/>
  </r>
  <r>
    <x v="60"/>
  </r>
  <r>
    <x v="60"/>
  </r>
  <r>
    <x v="60"/>
  </r>
  <r>
    <x v="46"/>
  </r>
  <r>
    <x v="46"/>
  </r>
  <r>
    <x v="5"/>
  </r>
  <r>
    <x v="5"/>
  </r>
  <r>
    <x v="5"/>
  </r>
  <r>
    <x v="5"/>
  </r>
  <r>
    <x v="5"/>
  </r>
  <r>
    <x v="5"/>
  </r>
  <r>
    <x v="5"/>
  </r>
  <r>
    <x v="5"/>
  </r>
  <r>
    <x v="5"/>
  </r>
  <r>
    <x v="5"/>
  </r>
  <r>
    <x v="5"/>
  </r>
  <r>
    <x v="5"/>
  </r>
  <r>
    <x v="5"/>
  </r>
  <r>
    <x v="220"/>
  </r>
  <r>
    <x v="220"/>
  </r>
  <r>
    <x v="220"/>
  </r>
  <r>
    <x v="220"/>
  </r>
  <r>
    <x v="220"/>
  </r>
  <r>
    <x v="220"/>
  </r>
  <r>
    <x v="5"/>
  </r>
  <r>
    <x v="5"/>
  </r>
  <r>
    <x v="5"/>
  </r>
  <r>
    <x v="5"/>
  </r>
  <r>
    <x v="5"/>
  </r>
  <r>
    <x v="21"/>
  </r>
  <r>
    <x v="21"/>
  </r>
  <r>
    <x v="21"/>
  </r>
  <r>
    <x v="21"/>
  </r>
  <r>
    <x v="21"/>
  </r>
  <r>
    <x v="21"/>
  </r>
  <r>
    <x v="21"/>
  </r>
  <r>
    <x v="99"/>
  </r>
  <r>
    <x v="99"/>
  </r>
  <r>
    <x v="99"/>
  </r>
  <r>
    <x v="99"/>
  </r>
  <r>
    <x v="99"/>
  </r>
  <r>
    <x v="99"/>
  </r>
  <r>
    <x v="99"/>
  </r>
  <r>
    <x v="42"/>
  </r>
  <r>
    <x v="42"/>
  </r>
  <r>
    <x v="42"/>
  </r>
  <r>
    <x v="42"/>
  </r>
  <r>
    <x v="42"/>
  </r>
  <r>
    <x v="42"/>
  </r>
  <r>
    <x v="42"/>
  </r>
  <r>
    <x v="221"/>
  </r>
  <r>
    <x v="221"/>
  </r>
  <r>
    <x v="221"/>
  </r>
  <r>
    <x v="221"/>
  </r>
  <r>
    <x v="221"/>
  </r>
  <r>
    <x v="221"/>
  </r>
  <r>
    <x v="30"/>
  </r>
  <r>
    <x v="30"/>
  </r>
  <r>
    <x v="30"/>
  </r>
  <r>
    <x v="30"/>
  </r>
  <r>
    <x v="3"/>
  </r>
  <r>
    <x v="3"/>
  </r>
  <r>
    <x v="3"/>
  </r>
  <r>
    <x v="3"/>
  </r>
  <r>
    <x v="3"/>
  </r>
  <r>
    <x v="156"/>
  </r>
  <r>
    <x v="156"/>
  </r>
  <r>
    <x v="156"/>
  </r>
  <r>
    <x v="222"/>
  </r>
  <r>
    <x v="222"/>
  </r>
  <r>
    <x v="222"/>
  </r>
  <r>
    <x v="222"/>
  </r>
  <r>
    <x v="222"/>
  </r>
  <r>
    <x v="222"/>
  </r>
  <r>
    <x v="222"/>
  </r>
  <r>
    <x v="81"/>
  </r>
  <r>
    <x v="81"/>
  </r>
  <r>
    <x v="81"/>
  </r>
  <r>
    <x v="81"/>
  </r>
  <r>
    <x v="81"/>
  </r>
  <r>
    <x v="81"/>
  </r>
  <r>
    <x v="81"/>
  </r>
  <r>
    <x v="132"/>
  </r>
  <r>
    <x v="132"/>
  </r>
  <r>
    <x v="132"/>
  </r>
  <r>
    <x v="132"/>
  </r>
  <r>
    <x v="134"/>
  </r>
  <r>
    <x v="134"/>
  </r>
  <r>
    <x v="134"/>
  </r>
  <r>
    <x v="134"/>
  </r>
  <r>
    <x v="71"/>
  </r>
  <r>
    <x v="71"/>
  </r>
  <r>
    <x v="71"/>
  </r>
  <r>
    <x v="71"/>
  </r>
  <r>
    <x v="71"/>
  </r>
  <r>
    <x v="71"/>
  </r>
  <r>
    <x v="71"/>
  </r>
  <r>
    <x v="71"/>
  </r>
  <r>
    <x v="71"/>
  </r>
  <r>
    <x v="71"/>
  </r>
  <r>
    <x v="223"/>
  </r>
  <r>
    <x v="223"/>
  </r>
  <r>
    <x v="223"/>
  </r>
  <r>
    <x v="223"/>
  </r>
  <r>
    <x v="223"/>
  </r>
  <r>
    <x v="223"/>
  </r>
  <r>
    <x v="223"/>
  </r>
  <r>
    <x v="223"/>
  </r>
  <r>
    <x v="223"/>
  </r>
  <r>
    <x v="223"/>
  </r>
  <r>
    <x v="223"/>
  </r>
  <r>
    <x v="223"/>
  </r>
  <r>
    <x v="223"/>
  </r>
  <r>
    <x v="223"/>
  </r>
  <r>
    <x v="223"/>
  </r>
  <r>
    <x v="223"/>
  </r>
  <r>
    <x v="223"/>
  </r>
  <r>
    <x v="223"/>
  </r>
  <r>
    <x v="223"/>
  </r>
  <r>
    <x v="223"/>
  </r>
  <r>
    <x v="223"/>
  </r>
  <r>
    <x v="223"/>
  </r>
  <r>
    <x v="223"/>
  </r>
  <r>
    <x v="223"/>
  </r>
  <r>
    <x v="223"/>
  </r>
  <r>
    <x v="223"/>
  </r>
  <r>
    <x v="223"/>
  </r>
  <r>
    <x v="223"/>
  </r>
  <r>
    <x v="223"/>
  </r>
  <r>
    <x v="223"/>
  </r>
  <r>
    <x v="223"/>
  </r>
  <r>
    <x v="223"/>
  </r>
  <r>
    <x v="223"/>
  </r>
  <r>
    <x v="223"/>
  </r>
  <r>
    <x v="223"/>
  </r>
  <r>
    <x v="223"/>
  </r>
  <r>
    <x v="223"/>
  </r>
  <r>
    <x v="223"/>
  </r>
  <r>
    <x v="223"/>
  </r>
  <r>
    <x v="223"/>
  </r>
  <r>
    <x v="223"/>
  </r>
  <r>
    <x v="223"/>
  </r>
  <r>
    <x v="223"/>
  </r>
  <r>
    <x v="223"/>
  </r>
  <r>
    <x v="223"/>
  </r>
  <r>
    <x v="223"/>
  </r>
  <r>
    <x v="223"/>
  </r>
  <r>
    <x v="223"/>
  </r>
  <r>
    <x v="223"/>
  </r>
  <r>
    <x v="223"/>
  </r>
  <r>
    <x v="223"/>
  </r>
  <r>
    <x v="15"/>
  </r>
  <r>
    <x v="15"/>
  </r>
  <r>
    <x v="15"/>
  </r>
  <r>
    <x v="15"/>
  </r>
  <r>
    <x v="15"/>
  </r>
  <r>
    <x v="15"/>
  </r>
  <r>
    <x v="15"/>
  </r>
  <r>
    <x v="35"/>
  </r>
  <r>
    <x v="35"/>
  </r>
  <r>
    <x v="35"/>
  </r>
  <r>
    <x v="35"/>
  </r>
  <r>
    <x v="224"/>
  </r>
  <r>
    <x v="224"/>
  </r>
  <r>
    <x v="224"/>
  </r>
  <r>
    <x v="224"/>
  </r>
  <r>
    <x v="224"/>
  </r>
  <r>
    <x v="225"/>
  </r>
  <r>
    <x v="225"/>
  </r>
  <r>
    <x v="225"/>
  </r>
  <r>
    <x v="225"/>
  </r>
  <r>
    <x v="225"/>
  </r>
  <r>
    <x v="225"/>
  </r>
  <r>
    <x v="226"/>
  </r>
  <r>
    <x v="226"/>
  </r>
  <r>
    <x v="226"/>
  </r>
  <r>
    <x v="226"/>
  </r>
  <r>
    <x v="226"/>
  </r>
  <r>
    <x v="226"/>
  </r>
  <r>
    <x v="226"/>
  </r>
  <r>
    <x v="226"/>
  </r>
  <r>
    <x v="226"/>
  </r>
  <r>
    <x v="226"/>
  </r>
  <r>
    <x v="22"/>
  </r>
  <r>
    <x v="22"/>
  </r>
  <r>
    <x v="22"/>
  </r>
  <r>
    <x v="22"/>
  </r>
  <r>
    <x v="22"/>
  </r>
  <r>
    <x v="22"/>
  </r>
  <r>
    <x v="22"/>
  </r>
  <r>
    <x v="180"/>
  </r>
  <r>
    <x v="180"/>
  </r>
  <r>
    <x v="180"/>
  </r>
  <r>
    <x v="180"/>
  </r>
  <r>
    <x v="46"/>
  </r>
  <r>
    <x v="46"/>
  </r>
  <r>
    <x v="46"/>
  </r>
  <r>
    <x v="46"/>
  </r>
  <r>
    <x v="58"/>
  </r>
  <r>
    <x v="58"/>
  </r>
  <r>
    <x v="58"/>
  </r>
  <r>
    <x v="58"/>
  </r>
  <r>
    <x v="58"/>
  </r>
  <r>
    <x v="58"/>
  </r>
  <r>
    <x v="58"/>
  </r>
  <r>
    <x v="58"/>
  </r>
  <r>
    <x v="58"/>
  </r>
  <r>
    <x v="227"/>
  </r>
  <r>
    <x v="227"/>
  </r>
  <r>
    <x v="227"/>
  </r>
  <r>
    <x v="227"/>
  </r>
  <r>
    <x v="227"/>
  </r>
  <r>
    <x v="227"/>
  </r>
  <r>
    <x v="227"/>
  </r>
  <r>
    <x v="227"/>
  </r>
  <r>
    <x v="227"/>
  </r>
  <r>
    <x v="227"/>
  </r>
  <r>
    <x v="227"/>
  </r>
  <r>
    <x v="47"/>
  </r>
  <r>
    <x v="47"/>
  </r>
  <r>
    <x v="47"/>
  </r>
  <r>
    <x v="47"/>
  </r>
  <r>
    <x v="5"/>
  </r>
  <r>
    <x v="5"/>
  </r>
  <r>
    <x v="134"/>
  </r>
  <r>
    <x v="134"/>
  </r>
  <r>
    <x v="134"/>
  </r>
  <r>
    <x v="134"/>
  </r>
  <r>
    <x v="228"/>
  </r>
  <r>
    <x v="228"/>
  </r>
  <r>
    <x v="228"/>
  </r>
  <r>
    <x v="228"/>
  </r>
  <r>
    <x v="228"/>
  </r>
  <r>
    <x v="228"/>
  </r>
  <r>
    <x v="228"/>
  </r>
  <r>
    <x v="228"/>
  </r>
  <r>
    <x v="228"/>
  </r>
  <r>
    <x v="228"/>
  </r>
  <r>
    <x v="158"/>
  </r>
  <r>
    <x v="158"/>
  </r>
  <r>
    <x v="158"/>
  </r>
  <r>
    <x v="158"/>
  </r>
  <r>
    <x v="158"/>
  </r>
  <r>
    <x v="158"/>
  </r>
  <r>
    <x v="158"/>
  </r>
  <r>
    <x v="229"/>
  </r>
  <r>
    <x v="229"/>
  </r>
  <r>
    <x v="229"/>
  </r>
  <r>
    <x v="229"/>
  </r>
  <r>
    <x v="230"/>
  </r>
  <r>
    <x v="230"/>
  </r>
  <r>
    <x v="230"/>
  </r>
  <r>
    <x v="230"/>
  </r>
  <r>
    <x v="230"/>
  </r>
  <r>
    <x v="230"/>
  </r>
  <r>
    <x v="180"/>
  </r>
  <r>
    <x v="180"/>
  </r>
  <r>
    <x v="180"/>
  </r>
  <r>
    <x v="3"/>
  </r>
  <r>
    <x v="3"/>
  </r>
  <r>
    <x v="3"/>
  </r>
  <r>
    <x v="3"/>
  </r>
  <r>
    <x v="3"/>
  </r>
  <r>
    <x v="3"/>
  </r>
  <r>
    <x v="3"/>
  </r>
  <r>
    <x v="3"/>
  </r>
  <r>
    <x v="3"/>
  </r>
  <r>
    <x v="3"/>
  </r>
  <r>
    <x v="231"/>
  </r>
  <r>
    <x v="231"/>
  </r>
  <r>
    <x v="231"/>
  </r>
  <r>
    <x v="231"/>
  </r>
  <r>
    <x v="231"/>
  </r>
  <r>
    <x v="5"/>
  </r>
  <r>
    <x v="5"/>
  </r>
  <r>
    <x v="5"/>
  </r>
  <r>
    <x v="5"/>
  </r>
  <r>
    <x v="5"/>
  </r>
  <r>
    <x v="5"/>
  </r>
  <r>
    <x v="5"/>
  </r>
  <r>
    <x v="5"/>
  </r>
  <r>
    <x v="5"/>
  </r>
  <r>
    <x v="5"/>
  </r>
  <r>
    <x v="232"/>
  </r>
  <r>
    <x v="232"/>
  </r>
  <r>
    <x v="232"/>
  </r>
  <r>
    <x v="232"/>
  </r>
  <r>
    <x v="232"/>
  </r>
  <r>
    <x v="232"/>
  </r>
  <r>
    <x v="134"/>
  </r>
  <r>
    <x v="134"/>
  </r>
  <r>
    <x v="134"/>
  </r>
  <r>
    <x v="134"/>
  </r>
  <r>
    <x v="134"/>
  </r>
  <r>
    <x v="165"/>
  </r>
  <r>
    <x v="165"/>
  </r>
  <r>
    <x v="165"/>
  </r>
  <r>
    <x v="0"/>
  </r>
  <r>
    <x v="0"/>
  </r>
  <r>
    <x v="0"/>
  </r>
  <r>
    <x v="0"/>
  </r>
  <r>
    <x v="0"/>
  </r>
  <r>
    <x v="0"/>
  </r>
  <r>
    <x v="180"/>
  </r>
  <r>
    <x v="180"/>
  </r>
  <r>
    <x v="180"/>
  </r>
  <r>
    <x v="180"/>
  </r>
  <r>
    <x v="180"/>
  </r>
  <r>
    <x v="180"/>
  </r>
  <r>
    <x v="180"/>
  </r>
  <r>
    <x v="180"/>
  </r>
  <r>
    <x v="233"/>
  </r>
  <r>
    <x v="233"/>
  </r>
  <r>
    <x v="233"/>
  </r>
  <r>
    <x v="233"/>
  </r>
  <r>
    <x v="3"/>
  </r>
  <r>
    <x v="3"/>
  </r>
  <r>
    <x v="3"/>
  </r>
  <r>
    <x v="214"/>
  </r>
  <r>
    <x v="214"/>
  </r>
  <r>
    <x v="214"/>
  </r>
  <r>
    <x v="214"/>
  </r>
  <r>
    <x v="214"/>
  </r>
  <r>
    <x v="214"/>
  </r>
  <r>
    <x v="214"/>
  </r>
  <r>
    <x v="214"/>
  </r>
  <r>
    <x v="214"/>
  </r>
  <r>
    <x v="214"/>
  </r>
  <r>
    <x v="214"/>
  </r>
  <r>
    <x v="214"/>
  </r>
  <r>
    <x v="214"/>
  </r>
  <r>
    <x v="214"/>
  </r>
  <r>
    <x v="214"/>
  </r>
  <r>
    <x v="214"/>
  </r>
  <r>
    <x v="214"/>
  </r>
  <r>
    <x v="234"/>
  </r>
  <r>
    <x v="234"/>
  </r>
  <r>
    <x v="234"/>
  </r>
  <r>
    <x v="234"/>
  </r>
  <r>
    <x v="234"/>
  </r>
  <r>
    <x v="15"/>
  </r>
  <r>
    <x v="15"/>
  </r>
  <r>
    <x v="15"/>
  </r>
  <r>
    <x v="15"/>
  </r>
  <r>
    <x v="35"/>
  </r>
  <r>
    <x v="35"/>
  </r>
  <r>
    <x v="35"/>
  </r>
  <r>
    <x v="35"/>
  </r>
  <r>
    <x v="35"/>
  </r>
  <r>
    <x v="46"/>
  </r>
  <r>
    <x v="46"/>
  </r>
  <r>
    <x v="46"/>
  </r>
  <r>
    <x v="46"/>
  </r>
  <r>
    <x v="46"/>
  </r>
  <r>
    <x v="46"/>
  </r>
  <r>
    <x v="46"/>
  </r>
  <r>
    <x v="3"/>
  </r>
  <r>
    <x v="3"/>
  </r>
  <r>
    <x v="235"/>
  </r>
  <r>
    <x v="235"/>
  </r>
  <r>
    <x v="235"/>
  </r>
  <r>
    <x v="235"/>
  </r>
  <r>
    <x v="235"/>
  </r>
  <r>
    <x v="7"/>
  </r>
  <r>
    <x v="7"/>
  </r>
  <r>
    <x v="7"/>
  </r>
  <r>
    <x v="7"/>
  </r>
  <r>
    <x v="7"/>
  </r>
  <r>
    <x v="7"/>
  </r>
  <r>
    <x v="7"/>
  </r>
  <r>
    <x v="7"/>
  </r>
  <r>
    <x v="227"/>
  </r>
  <r>
    <x v="227"/>
  </r>
  <r>
    <x v="227"/>
  </r>
  <r>
    <x v="227"/>
  </r>
  <r>
    <x v="227"/>
  </r>
  <r>
    <x v="227"/>
  </r>
  <r>
    <x v="227"/>
  </r>
  <r>
    <x v="227"/>
  </r>
  <r>
    <x v="227"/>
  </r>
  <r>
    <x v="195"/>
  </r>
  <r>
    <x v="195"/>
  </r>
  <r>
    <x v="195"/>
  </r>
  <r>
    <x v="236"/>
  </r>
  <r>
    <x v="236"/>
  </r>
  <r>
    <x v="236"/>
  </r>
  <r>
    <x v="236"/>
  </r>
  <r>
    <x v="236"/>
  </r>
  <r>
    <x v="236"/>
  </r>
  <r>
    <x v="236"/>
  </r>
  <r>
    <x v="236"/>
  </r>
  <r>
    <x v="236"/>
  </r>
  <r>
    <x v="236"/>
  </r>
  <r>
    <x v="236"/>
  </r>
  <r>
    <x v="195"/>
  </r>
  <r>
    <x v="195"/>
  </r>
  <r>
    <x v="195"/>
  </r>
  <r>
    <x v="195"/>
  </r>
  <r>
    <x v="195"/>
  </r>
  <r>
    <x v="195"/>
  </r>
  <r>
    <x v="195"/>
  </r>
  <r>
    <x v="195"/>
  </r>
  <r>
    <x v="77"/>
  </r>
  <r>
    <x v="77"/>
  </r>
  <r>
    <x v="77"/>
  </r>
  <r>
    <x v="237"/>
  </r>
  <r>
    <x v="237"/>
  </r>
  <r>
    <x v="237"/>
  </r>
  <r>
    <x v="237"/>
  </r>
  <r>
    <x v="140"/>
  </r>
  <r>
    <x v="140"/>
  </r>
  <r>
    <x v="140"/>
  </r>
  <r>
    <x v="140"/>
  </r>
  <r>
    <x v="140"/>
  </r>
  <r>
    <x v="140"/>
  </r>
  <r>
    <x v="140"/>
  </r>
  <r>
    <x v="140"/>
  </r>
  <r>
    <x v="140"/>
  </r>
  <r>
    <x v="140"/>
  </r>
  <r>
    <x v="140"/>
  </r>
  <r>
    <x v="140"/>
  </r>
  <r>
    <x v="140"/>
  </r>
  <r>
    <x v="140"/>
  </r>
  <r>
    <x v="140"/>
  </r>
  <r>
    <x v="140"/>
  </r>
  <r>
    <x v="140"/>
  </r>
  <r>
    <x v="140"/>
  </r>
  <r>
    <x v="140"/>
  </r>
  <r>
    <x v="140"/>
  </r>
  <r>
    <x v="5"/>
  </r>
  <r>
    <x v="5"/>
  </r>
  <r>
    <x v="5"/>
  </r>
  <r>
    <x v="5"/>
  </r>
  <r>
    <x v="5"/>
  </r>
  <r>
    <x v="5"/>
  </r>
  <r>
    <x v="5"/>
  </r>
  <r>
    <x v="5"/>
  </r>
  <r>
    <x v="5"/>
  </r>
  <r>
    <x v="5"/>
  </r>
  <r>
    <x v="5"/>
  </r>
  <r>
    <x v="5"/>
  </r>
  <r>
    <x v="5"/>
  </r>
  <r>
    <x v="5"/>
  </r>
  <r>
    <x v="35"/>
  </r>
  <r>
    <x v="35"/>
  </r>
  <r>
    <x v="35"/>
  </r>
  <r>
    <x v="35"/>
  </r>
  <r>
    <x v="35"/>
  </r>
  <r>
    <x v="35"/>
  </r>
  <r>
    <x v="5"/>
  </r>
  <r>
    <x v="5"/>
  </r>
  <r>
    <x v="5"/>
  </r>
  <r>
    <x v="5"/>
  </r>
  <r>
    <x v="5"/>
  </r>
  <r>
    <x v="238"/>
  </r>
  <r>
    <x v="238"/>
  </r>
  <r>
    <x v="238"/>
  </r>
  <r>
    <x v="238"/>
  </r>
  <r>
    <x v="143"/>
  </r>
  <r>
    <x v="143"/>
  </r>
  <r>
    <x v="239"/>
  </r>
  <r>
    <x v="239"/>
  </r>
  <r>
    <x v="239"/>
  </r>
  <r>
    <x v="239"/>
  </r>
  <r>
    <x v="32"/>
  </r>
  <r>
    <x v="32"/>
  </r>
  <r>
    <x v="32"/>
  </r>
  <r>
    <x v="32"/>
  </r>
  <r>
    <x v="32"/>
  </r>
  <r>
    <x v="32"/>
  </r>
  <r>
    <x v="99"/>
  </r>
  <r>
    <x v="99"/>
  </r>
  <r>
    <x v="99"/>
  </r>
  <r>
    <x v="99"/>
  </r>
  <r>
    <x v="99"/>
  </r>
  <r>
    <x v="99"/>
  </r>
  <r>
    <x v="99"/>
  </r>
  <r>
    <x v="180"/>
  </r>
  <r>
    <x v="180"/>
  </r>
  <r>
    <x v="180"/>
  </r>
  <r>
    <x v="180"/>
  </r>
  <r>
    <x v="180"/>
  </r>
  <r>
    <x v="158"/>
  </r>
  <r>
    <x v="158"/>
  </r>
  <r>
    <x v="158"/>
  </r>
  <r>
    <x v="158"/>
  </r>
  <r>
    <x v="158"/>
  </r>
  <r>
    <x v="13"/>
  </r>
  <r>
    <x v="13"/>
  </r>
  <r>
    <x v="7"/>
  </r>
  <r>
    <x v="7"/>
  </r>
  <r>
    <x v="7"/>
  </r>
  <r>
    <x v="7"/>
  </r>
  <r>
    <x v="7"/>
  </r>
  <r>
    <x v="7"/>
  </r>
  <r>
    <x v="7"/>
  </r>
  <r>
    <x v="7"/>
  </r>
  <r>
    <x v="7"/>
  </r>
  <r>
    <x v="7"/>
  </r>
  <r>
    <x v="7"/>
  </r>
  <r>
    <x v="7"/>
  </r>
  <r>
    <x v="7"/>
  </r>
  <r>
    <x v="7"/>
  </r>
  <r>
    <x v="7"/>
  </r>
  <r>
    <x v="7"/>
  </r>
  <r>
    <x v="7"/>
  </r>
  <r>
    <x v="7"/>
  </r>
  <r>
    <x v="7"/>
  </r>
  <r>
    <x v="7"/>
  </r>
  <r>
    <x v="7"/>
  </r>
  <r>
    <x v="7"/>
  </r>
  <r>
    <x v="7"/>
  </r>
  <r>
    <x v="240"/>
  </r>
  <r>
    <x v="240"/>
  </r>
  <r>
    <x v="240"/>
  </r>
  <r>
    <x v="240"/>
  </r>
  <r>
    <x v="240"/>
  </r>
  <r>
    <x v="240"/>
  </r>
  <r>
    <x v="241"/>
  </r>
  <r>
    <x v="241"/>
  </r>
  <r>
    <x v="241"/>
  </r>
  <r>
    <x v="241"/>
  </r>
  <r>
    <x v="203"/>
  </r>
  <r>
    <x v="203"/>
  </r>
  <r>
    <x v="203"/>
  </r>
  <r>
    <x v="203"/>
  </r>
  <r>
    <x v="203"/>
  </r>
  <r>
    <x v="203"/>
  </r>
  <r>
    <x v="203"/>
  </r>
  <r>
    <x v="77"/>
  </r>
  <r>
    <x v="77"/>
  </r>
  <r>
    <x v="77"/>
  </r>
  <r>
    <x v="158"/>
  </r>
  <r>
    <x v="158"/>
  </r>
  <r>
    <x v="158"/>
  </r>
  <r>
    <x v="158"/>
  </r>
  <r>
    <x v="158"/>
  </r>
  <r>
    <x v="158"/>
  </r>
  <r>
    <x v="242"/>
  </r>
  <r>
    <x v="242"/>
  </r>
  <r>
    <x v="242"/>
  </r>
  <r>
    <x v="242"/>
  </r>
  <r>
    <x v="242"/>
  </r>
  <r>
    <x v="242"/>
  </r>
  <r>
    <x v="242"/>
  </r>
  <r>
    <x v="242"/>
  </r>
  <r>
    <x v="242"/>
  </r>
  <r>
    <x v="165"/>
  </r>
  <r>
    <x v="165"/>
  </r>
  <r>
    <x v="165"/>
  </r>
  <r>
    <x v="165"/>
  </r>
  <r>
    <x v="165"/>
  </r>
  <r>
    <x v="243"/>
  </r>
  <r>
    <x v="243"/>
  </r>
  <r>
    <x v="243"/>
  </r>
  <r>
    <x v="243"/>
  </r>
  <r>
    <x v="243"/>
  </r>
  <r>
    <x v="243"/>
  </r>
  <r>
    <x v="243"/>
  </r>
  <r>
    <x v="243"/>
  </r>
  <r>
    <x v="243"/>
  </r>
  <r>
    <x v="244"/>
  </r>
  <r>
    <x v="244"/>
  </r>
  <r>
    <x v="244"/>
  </r>
  <r>
    <x v="244"/>
  </r>
  <r>
    <x v="244"/>
  </r>
  <r>
    <x v="141"/>
  </r>
  <r>
    <x v="141"/>
  </r>
  <r>
    <x v="141"/>
  </r>
  <r>
    <x v="141"/>
  </r>
  <r>
    <x v="141"/>
  </r>
  <r>
    <x v="141"/>
  </r>
  <r>
    <x v="141"/>
  </r>
  <r>
    <x v="141"/>
  </r>
  <r>
    <x v="220"/>
  </r>
  <r>
    <x v="220"/>
  </r>
  <r>
    <x v="220"/>
  </r>
  <r>
    <x v="220"/>
  </r>
  <r>
    <x v="125"/>
  </r>
  <r>
    <x v="125"/>
  </r>
  <r>
    <x v="125"/>
  </r>
  <r>
    <x v="125"/>
  </r>
  <r>
    <x v="125"/>
  </r>
  <r>
    <x v="202"/>
  </r>
  <r>
    <x v="202"/>
  </r>
  <r>
    <x v="202"/>
  </r>
  <r>
    <x v="202"/>
  </r>
  <r>
    <x v="202"/>
  </r>
  <r>
    <x v="202"/>
  </r>
  <r>
    <x v="202"/>
  </r>
  <r>
    <x v="202"/>
  </r>
  <r>
    <x v="202"/>
  </r>
  <r>
    <x v="202"/>
  </r>
  <r>
    <x v="202"/>
  </r>
  <r>
    <x v="202"/>
  </r>
  <r>
    <x v="202"/>
  </r>
  <r>
    <x v="202"/>
  </r>
  <r>
    <x v="202"/>
  </r>
  <r>
    <x v="202"/>
  </r>
  <r>
    <x v="202"/>
  </r>
  <r>
    <x v="202"/>
  </r>
  <r>
    <x v="202"/>
  </r>
  <r>
    <x v="79"/>
  </r>
  <r>
    <x v="79"/>
  </r>
  <r>
    <x v="79"/>
  </r>
  <r>
    <x v="79"/>
  </r>
  <r>
    <x v="245"/>
  </r>
  <r>
    <x v="245"/>
  </r>
  <r>
    <x v="245"/>
  </r>
  <r>
    <x v="203"/>
  </r>
  <r>
    <x v="203"/>
  </r>
  <r>
    <x v="203"/>
  </r>
  <r>
    <x v="203"/>
  </r>
  <r>
    <x v="203"/>
  </r>
  <r>
    <x v="246"/>
  </r>
  <r>
    <x v="246"/>
  </r>
  <r>
    <x v="246"/>
  </r>
  <r>
    <x v="246"/>
  </r>
  <r>
    <x v="246"/>
  </r>
  <r>
    <x v="247"/>
  </r>
  <r>
    <x v="247"/>
  </r>
  <r>
    <x v="247"/>
  </r>
  <r>
    <x v="247"/>
  </r>
  <r>
    <x v="247"/>
  </r>
  <r>
    <x v="1"/>
  </r>
  <r>
    <x v="1"/>
  </r>
  <r>
    <x v="1"/>
  </r>
  <r>
    <x v="1"/>
  </r>
  <r>
    <x v="180"/>
  </r>
  <r>
    <x v="180"/>
  </r>
  <r>
    <x v="199"/>
  </r>
  <r>
    <x v="199"/>
  </r>
  <r>
    <x v="199"/>
  </r>
  <r>
    <x v="199"/>
  </r>
  <r>
    <x v="199"/>
  </r>
  <r>
    <x v="180"/>
  </r>
  <r>
    <x v="180"/>
  </r>
  <r>
    <x v="180"/>
  </r>
  <r>
    <x v="180"/>
  </r>
  <r>
    <x v="195"/>
  </r>
  <r>
    <x v="195"/>
  </r>
  <r>
    <x v="46"/>
  </r>
  <r>
    <x v="46"/>
  </r>
  <r>
    <x v="46"/>
  </r>
  <r>
    <x v="46"/>
  </r>
  <r>
    <x v="46"/>
  </r>
  <r>
    <x v="46"/>
  </r>
  <r>
    <x v="180"/>
  </r>
  <r>
    <x v="180"/>
  </r>
  <r>
    <x v="180"/>
  </r>
  <r>
    <x v="180"/>
  </r>
  <r>
    <x v="102"/>
  </r>
  <r>
    <x v="102"/>
  </r>
  <r>
    <x v="102"/>
  </r>
  <r>
    <x v="102"/>
  </r>
  <r>
    <x v="102"/>
  </r>
  <r>
    <x v="102"/>
  </r>
  <r>
    <x v="102"/>
  </r>
  <r>
    <x v="77"/>
  </r>
  <r>
    <x v="77"/>
  </r>
  <r>
    <x v="77"/>
  </r>
  <r>
    <x v="77"/>
  </r>
  <r>
    <x v="77"/>
  </r>
  <r>
    <x v="77"/>
  </r>
  <r>
    <x v="5"/>
  </r>
  <r>
    <x v="5"/>
  </r>
  <r>
    <x v="5"/>
  </r>
  <r>
    <x v="5"/>
  </r>
  <r>
    <x v="5"/>
  </r>
  <r>
    <x v="5"/>
  </r>
  <r>
    <x v="5"/>
  </r>
  <r>
    <x v="5"/>
  </r>
  <r>
    <x v="158"/>
  </r>
  <r>
    <x v="158"/>
  </r>
  <r>
    <x v="158"/>
  </r>
  <r>
    <x v="158"/>
  </r>
  <r>
    <x v="158"/>
  </r>
  <r>
    <x v="158"/>
  </r>
  <r>
    <x v="158"/>
  </r>
  <r>
    <x v="158"/>
  </r>
  <r>
    <x v="134"/>
  </r>
  <r>
    <x v="134"/>
  </r>
  <r>
    <x v="134"/>
  </r>
  <r>
    <x v="134"/>
  </r>
  <r>
    <x v="134"/>
  </r>
  <r>
    <x v="134"/>
  </r>
  <r>
    <x v="134"/>
  </r>
  <r>
    <x v="134"/>
  </r>
  <r>
    <x v="134"/>
  </r>
  <r>
    <x v="248"/>
  </r>
  <r>
    <x v="248"/>
  </r>
  <r>
    <x v="248"/>
  </r>
  <r>
    <x v="248"/>
  </r>
  <r>
    <x v="248"/>
  </r>
  <r>
    <x v="248"/>
  </r>
  <r>
    <x v="248"/>
  </r>
  <r>
    <x v="248"/>
  </r>
  <r>
    <x v="248"/>
  </r>
  <r>
    <x v="248"/>
  </r>
  <r>
    <x v="248"/>
  </r>
  <r>
    <x v="248"/>
  </r>
  <r>
    <x v="248"/>
  </r>
  <r>
    <x v="248"/>
  </r>
  <r>
    <x v="248"/>
  </r>
  <r>
    <x v="248"/>
  </r>
  <r>
    <x v="249"/>
  </r>
  <r>
    <x v="249"/>
  </r>
  <r>
    <x v="249"/>
  </r>
  <r>
    <x v="249"/>
  </r>
  <r>
    <x v="249"/>
  </r>
  <r>
    <x v="249"/>
  </r>
  <r>
    <x v="249"/>
  </r>
  <r>
    <x v="249"/>
  </r>
  <r>
    <x v="249"/>
  </r>
  <r>
    <x v="249"/>
  </r>
  <r>
    <x v="249"/>
  </r>
  <r>
    <x v="217"/>
  </r>
  <r>
    <x v="217"/>
  </r>
  <r>
    <x v="217"/>
  </r>
  <r>
    <x v="217"/>
  </r>
  <r>
    <x v="217"/>
  </r>
  <r>
    <x v="217"/>
  </r>
  <r>
    <x v="217"/>
  </r>
  <r>
    <x v="217"/>
  </r>
  <r>
    <x v="217"/>
  </r>
  <r>
    <x v="180"/>
  </r>
  <r>
    <x v="180"/>
  </r>
  <r>
    <x v="180"/>
  </r>
  <r>
    <x v="180"/>
  </r>
  <r>
    <x v="180"/>
  </r>
  <r>
    <x v="180"/>
  </r>
  <r>
    <x v="180"/>
  </r>
  <r>
    <x v="187"/>
  </r>
  <r>
    <x v="187"/>
  </r>
  <r>
    <x v="187"/>
  </r>
  <r>
    <x v="250"/>
  </r>
  <r>
    <x v="250"/>
  </r>
  <r>
    <x v="250"/>
  </r>
  <r>
    <x v="250"/>
  </r>
  <r>
    <x v="250"/>
  </r>
  <r>
    <x v="250"/>
  </r>
  <r>
    <x v="250"/>
  </r>
  <r>
    <x v="250"/>
  </r>
  <r>
    <x v="250"/>
  </r>
  <r>
    <x v="250"/>
  </r>
  <r>
    <x v="227"/>
  </r>
  <r>
    <x v="227"/>
  </r>
  <r>
    <x v="227"/>
  </r>
  <r>
    <x v="227"/>
  </r>
  <r>
    <x v="227"/>
  </r>
  <r>
    <x v="227"/>
  </r>
  <r>
    <x v="227"/>
  </r>
  <r>
    <x v="251"/>
  </r>
  <r>
    <x v="251"/>
  </r>
  <r>
    <x v="251"/>
  </r>
  <r>
    <x v="251"/>
  </r>
  <r>
    <x v="251"/>
  </r>
  <r>
    <x v="251"/>
  </r>
  <r>
    <x v="251"/>
  </r>
  <r>
    <x v="251"/>
  </r>
  <r>
    <x v="251"/>
  </r>
  <r>
    <x v="153"/>
  </r>
  <r>
    <x v="153"/>
  </r>
  <r>
    <x v="153"/>
  </r>
  <r>
    <x v="153"/>
  </r>
  <r>
    <x v="153"/>
  </r>
  <r>
    <x v="153"/>
  </r>
  <r>
    <x v="153"/>
  </r>
  <r>
    <x v="102"/>
  </r>
  <r>
    <x v="102"/>
  </r>
  <r>
    <x v="102"/>
  </r>
  <r>
    <x v="102"/>
  </r>
  <r>
    <x v="102"/>
  </r>
  <r>
    <x v="102"/>
  </r>
  <r>
    <x v="99"/>
  </r>
  <r>
    <x v="99"/>
  </r>
  <r>
    <x v="99"/>
  </r>
  <r>
    <x v="99"/>
  </r>
  <r>
    <x v="99"/>
  </r>
  <r>
    <x v="99"/>
  </r>
  <r>
    <x v="99"/>
  </r>
  <r>
    <x v="99"/>
  </r>
  <r>
    <x v="23"/>
  </r>
  <r>
    <x v="23"/>
  </r>
  <r>
    <x v="23"/>
  </r>
  <r>
    <x v="23"/>
  </r>
  <r>
    <x v="23"/>
  </r>
  <r>
    <x v="23"/>
  </r>
  <r>
    <x v="23"/>
  </r>
  <r>
    <x v="23"/>
  </r>
  <r>
    <x v="7"/>
  </r>
  <r>
    <x v="7"/>
  </r>
  <r>
    <x v="7"/>
  </r>
  <r>
    <x v="7"/>
  </r>
  <r>
    <x v="7"/>
  </r>
  <r>
    <x v="7"/>
  </r>
  <r>
    <x v="7"/>
  </r>
  <r>
    <x v="114"/>
  </r>
  <r>
    <x v="114"/>
  </r>
  <r>
    <x v="114"/>
  </r>
  <r>
    <x v="180"/>
  </r>
  <r>
    <x v="180"/>
  </r>
  <r>
    <x v="180"/>
  </r>
  <r>
    <x v="180"/>
  </r>
  <r>
    <x v="192"/>
  </r>
  <r>
    <x v="192"/>
  </r>
  <r>
    <x v="192"/>
  </r>
  <r>
    <x v="192"/>
  </r>
  <r>
    <x v="60"/>
  </r>
  <r>
    <x v="60"/>
  </r>
  <r>
    <x v="60"/>
  </r>
  <r>
    <x v="60"/>
  </r>
  <r>
    <x v="252"/>
  </r>
  <r>
    <x v="252"/>
  </r>
  <r>
    <x v="252"/>
  </r>
  <r>
    <x v="252"/>
  </r>
  <r>
    <x v="252"/>
  </r>
  <r>
    <x v="252"/>
  </r>
  <r>
    <x v="35"/>
  </r>
  <r>
    <x v="35"/>
  </r>
  <r>
    <x v="35"/>
  </r>
  <r>
    <x v="253"/>
  </r>
  <r>
    <x v="253"/>
  </r>
  <r>
    <x v="253"/>
  </r>
  <r>
    <x v="253"/>
  </r>
  <r>
    <x v="253"/>
  </r>
  <r>
    <x v="180"/>
  </r>
  <r>
    <x v="180"/>
  </r>
  <r>
    <x v="180"/>
  </r>
  <r>
    <x v="180"/>
  </r>
  <r>
    <x v="254"/>
  </r>
  <r>
    <x v="254"/>
  </r>
  <r>
    <x v="254"/>
  </r>
  <r>
    <x v="254"/>
  </r>
  <r>
    <x v="254"/>
  </r>
  <r>
    <x v="254"/>
  </r>
  <r>
    <x v="19"/>
  </r>
  <r>
    <x v="19"/>
  </r>
  <r>
    <x v="19"/>
  </r>
  <r>
    <x v="19"/>
  </r>
  <r>
    <x v="21"/>
  </r>
  <r>
    <x v="21"/>
  </r>
  <r>
    <x v="21"/>
  </r>
  <r>
    <x v="21"/>
  </r>
  <r>
    <x v="21"/>
  </r>
  <r>
    <x v="217"/>
  </r>
  <r>
    <x v="217"/>
  </r>
  <r>
    <x v="217"/>
  </r>
  <r>
    <x v="217"/>
  </r>
  <r>
    <x v="217"/>
  </r>
  <r>
    <x v="217"/>
  </r>
  <r>
    <x v="217"/>
  </r>
  <r>
    <x v="217"/>
  </r>
  <r>
    <x v="180"/>
  </r>
  <r>
    <x v="180"/>
  </r>
  <r>
    <x v="180"/>
  </r>
  <r>
    <x v="180"/>
  </r>
  <r>
    <x v="255"/>
  </r>
  <r>
    <x v="255"/>
  </r>
  <r>
    <x v="255"/>
  </r>
  <r>
    <x v="255"/>
  </r>
  <r>
    <x v="255"/>
  </r>
  <r>
    <x v="255"/>
  </r>
  <r>
    <x v="255"/>
  </r>
  <r>
    <x v="180"/>
  </r>
  <r>
    <x v="180"/>
  </r>
  <r>
    <x v="180"/>
  </r>
  <r>
    <x v="180"/>
  </r>
  <r>
    <x v="180"/>
  </r>
  <r>
    <x v="180"/>
  </r>
  <r>
    <x v="112"/>
  </r>
  <r>
    <x v="112"/>
  </r>
  <r>
    <x v="112"/>
  </r>
  <r>
    <x v="112"/>
  </r>
  <r>
    <x v="164"/>
  </r>
  <r>
    <x v="164"/>
  </r>
  <r>
    <x v="164"/>
  </r>
  <r>
    <x v="164"/>
  </r>
  <r>
    <x v="164"/>
  </r>
  <r>
    <x v="164"/>
  </r>
  <r>
    <x v="164"/>
  </r>
  <r>
    <x v="164"/>
  </r>
  <r>
    <x v="164"/>
  </r>
  <r>
    <x v="164"/>
  </r>
  <r>
    <x v="164"/>
  </r>
  <r>
    <x v="164"/>
  </r>
  <r>
    <x v="164"/>
  </r>
  <r>
    <x v="164"/>
  </r>
  <r>
    <x v="108"/>
  </r>
  <r>
    <x v="108"/>
  </r>
  <r>
    <x v="108"/>
  </r>
  <r>
    <x v="108"/>
  </r>
  <r>
    <x v="108"/>
  </r>
  <r>
    <x v="213"/>
  </r>
  <r>
    <x v="213"/>
  </r>
  <r>
    <x v="213"/>
  </r>
  <r>
    <x v="213"/>
  </r>
  <r>
    <x v="213"/>
  </r>
  <r>
    <x v="256"/>
  </r>
  <r>
    <x v="256"/>
  </r>
  <r>
    <x v="256"/>
  </r>
  <r>
    <x v="256"/>
  </r>
  <r>
    <x v="256"/>
  </r>
  <r>
    <x v="5"/>
  </r>
  <r>
    <x v="5"/>
  </r>
  <r>
    <x v="5"/>
  </r>
  <r>
    <x v="5"/>
  </r>
  <r>
    <x v="5"/>
  </r>
  <r>
    <x v="5"/>
  </r>
  <r>
    <x v="5"/>
  </r>
  <r>
    <x v="5"/>
  </r>
  <r>
    <x v="5"/>
  </r>
  <r>
    <x v="5"/>
  </r>
  <r>
    <x v="5"/>
  </r>
  <r>
    <x v="5"/>
  </r>
  <r>
    <x v="257"/>
  </r>
  <r>
    <x v="257"/>
  </r>
  <r>
    <x v="257"/>
  </r>
  <r>
    <x v="257"/>
  </r>
  <r>
    <x v="257"/>
  </r>
  <r>
    <x v="257"/>
  </r>
  <r>
    <x v="180"/>
  </r>
  <r>
    <x v="180"/>
  </r>
  <r>
    <x v="180"/>
  </r>
  <r>
    <x v="180"/>
  </r>
  <r>
    <x v="258"/>
  </r>
  <r>
    <x v="258"/>
  </r>
  <r>
    <x v="258"/>
  </r>
  <r>
    <x v="258"/>
  </r>
  <r>
    <x v="258"/>
  </r>
  <r>
    <x v="102"/>
  </r>
  <r>
    <x v="102"/>
  </r>
  <r>
    <x v="180"/>
  </r>
  <r>
    <x v="180"/>
  </r>
  <r>
    <x v="180"/>
  </r>
  <r>
    <x v="180"/>
  </r>
  <r>
    <x v="180"/>
  </r>
  <r>
    <x v="180"/>
  </r>
  <r>
    <x v="3"/>
  </r>
  <r>
    <x v="3"/>
  </r>
  <r>
    <x v="3"/>
  </r>
  <r>
    <x v="259"/>
  </r>
  <r>
    <x v="259"/>
  </r>
  <r>
    <x v="259"/>
  </r>
  <r>
    <x v="259"/>
  </r>
  <r>
    <x v="195"/>
  </r>
  <r>
    <x v="195"/>
  </r>
  <r>
    <x v="195"/>
  </r>
  <r>
    <x v="195"/>
  </r>
  <r>
    <x v="195"/>
  </r>
  <r>
    <x v="195"/>
  </r>
  <r>
    <x v="195"/>
  </r>
  <r>
    <x v="195"/>
  </r>
  <r>
    <x v="195"/>
  </r>
  <r>
    <x v="195"/>
  </r>
  <r>
    <x v="77"/>
  </r>
  <r>
    <x v="77"/>
  </r>
  <r>
    <x v="77"/>
  </r>
  <r>
    <x v="77"/>
  </r>
  <r>
    <x v="77"/>
  </r>
  <r>
    <x v="5"/>
  </r>
  <r>
    <x v="5"/>
  </r>
  <r>
    <x v="5"/>
  </r>
  <r>
    <x v="180"/>
  </r>
  <r>
    <x v="180"/>
  </r>
  <r>
    <x v="180"/>
  </r>
  <r>
    <x v="180"/>
  </r>
  <r>
    <x v="195"/>
  </r>
  <r>
    <x v="195"/>
  </r>
  <r>
    <x v="195"/>
  </r>
  <r>
    <x v="195"/>
  </r>
  <r>
    <x v="260"/>
  </r>
  <r>
    <x v="260"/>
  </r>
  <r>
    <x v="260"/>
  </r>
  <r>
    <x v="260"/>
  </r>
  <r>
    <x v="260"/>
  </r>
  <r>
    <x v="134"/>
  </r>
  <r>
    <x v="134"/>
  </r>
  <r>
    <x v="134"/>
  </r>
  <r>
    <x v="239"/>
  </r>
  <r>
    <x v="239"/>
  </r>
  <r>
    <x v="239"/>
  </r>
  <r>
    <x v="239"/>
  </r>
  <r>
    <x v="239"/>
  </r>
  <r>
    <x v="239"/>
  </r>
  <r>
    <x v="60"/>
  </r>
  <r>
    <x v="60"/>
  </r>
  <r>
    <x v="60"/>
  </r>
  <r>
    <x v="261"/>
  </r>
  <r>
    <x v="261"/>
  </r>
  <r>
    <x v="261"/>
  </r>
  <r>
    <x v="261"/>
  </r>
  <r>
    <x v="261"/>
  </r>
  <r>
    <x v="261"/>
  </r>
  <r>
    <x v="261"/>
  </r>
  <r>
    <x v="261"/>
  </r>
  <r>
    <x v="261"/>
  </r>
  <r>
    <x v="261"/>
  </r>
  <r>
    <x v="261"/>
  </r>
  <r>
    <x v="261"/>
  </r>
  <r>
    <x v="262"/>
  </r>
  <r>
    <x v="262"/>
  </r>
  <r>
    <x v="262"/>
  </r>
  <r>
    <x v="215"/>
  </r>
  <r>
    <x v="215"/>
  </r>
  <r>
    <x v="215"/>
  </r>
  <r>
    <x v="215"/>
  </r>
  <r>
    <x v="215"/>
  </r>
  <r>
    <x v="191"/>
  </r>
  <r>
    <x v="191"/>
  </r>
  <r>
    <x v="191"/>
  </r>
  <r>
    <x v="191"/>
  </r>
  <r>
    <x v="191"/>
  </r>
  <r>
    <x v="191"/>
  </r>
  <r>
    <x v="243"/>
  </r>
  <r>
    <x v="243"/>
  </r>
  <r>
    <x v="243"/>
  </r>
  <r>
    <x v="243"/>
  </r>
  <r>
    <x v="39"/>
  </r>
  <r>
    <x v="39"/>
  </r>
  <r>
    <x v="39"/>
  </r>
  <r>
    <x v="39"/>
  </r>
  <r>
    <x v="39"/>
  </r>
  <r>
    <x v="39"/>
  </r>
  <r>
    <x v="39"/>
  </r>
  <r>
    <x v="244"/>
  </r>
  <r>
    <x v="244"/>
  </r>
  <r>
    <x v="244"/>
  </r>
  <r>
    <x v="244"/>
  </r>
  <r>
    <x v="244"/>
  </r>
  <r>
    <x v="244"/>
  </r>
  <r>
    <x v="244"/>
  </r>
  <r>
    <x v="7"/>
  </r>
  <r>
    <x v="7"/>
  </r>
  <r>
    <x v="7"/>
  </r>
  <r>
    <x v="7"/>
  </r>
  <r>
    <x v="7"/>
  </r>
  <r>
    <x v="7"/>
  </r>
  <r>
    <x v="7"/>
  </r>
  <r>
    <x v="7"/>
  </r>
  <r>
    <x v="7"/>
  </r>
  <r>
    <x v="180"/>
  </r>
  <r>
    <x v="180"/>
  </r>
  <r>
    <x v="180"/>
  </r>
  <r>
    <x v="180"/>
  </r>
  <r>
    <x v="180"/>
  </r>
  <r>
    <x v="180"/>
  </r>
  <r>
    <x v="180"/>
  </r>
  <r>
    <x v="180"/>
  </r>
  <r>
    <x v="180"/>
  </r>
  <r>
    <x v="77"/>
  </r>
  <r>
    <x v="77"/>
  </r>
  <r>
    <x v="77"/>
  </r>
  <r>
    <x v="77"/>
  </r>
  <r>
    <x v="158"/>
  </r>
  <r>
    <x v="158"/>
  </r>
  <r>
    <x v="158"/>
  </r>
  <r>
    <x v="158"/>
  </r>
  <r>
    <x v="158"/>
  </r>
  <r>
    <x v="243"/>
  </r>
  <r>
    <x v="243"/>
  </r>
  <r>
    <x v="243"/>
  </r>
  <r>
    <x v="243"/>
  </r>
  <r>
    <x v="243"/>
  </r>
  <r>
    <x v="23"/>
  </r>
  <r>
    <x v="23"/>
  </r>
  <r>
    <x v="23"/>
  </r>
  <r>
    <x v="1"/>
  </r>
  <r>
    <x v="1"/>
  </r>
  <r>
    <x v="263"/>
  </r>
  <r>
    <x v="263"/>
  </r>
  <r>
    <x v="263"/>
  </r>
  <r>
    <x v="264"/>
  </r>
  <r>
    <x v="264"/>
  </r>
  <r>
    <x v="264"/>
  </r>
  <r>
    <x v="264"/>
  </r>
  <r>
    <x v="180"/>
  </r>
  <r>
    <x v="180"/>
  </r>
  <r>
    <x v="180"/>
  </r>
  <r>
    <x v="3"/>
  </r>
  <r>
    <x v="3"/>
  </r>
  <r>
    <x v="120"/>
  </r>
  <r>
    <x v="120"/>
  </r>
  <r>
    <x v="120"/>
  </r>
  <r>
    <x v="120"/>
  </r>
  <r>
    <x v="120"/>
  </r>
  <r>
    <x v="120"/>
  </r>
  <r>
    <x v="120"/>
  </r>
  <r>
    <x v="120"/>
  </r>
  <r>
    <x v="120"/>
  </r>
  <r>
    <x v="120"/>
  </r>
  <r>
    <x v="46"/>
  </r>
  <r>
    <x v="46"/>
  </r>
  <r>
    <x v="46"/>
  </r>
  <r>
    <x v="46"/>
  </r>
  <r>
    <x v="46"/>
  </r>
  <r>
    <x v="46"/>
  </r>
  <r>
    <x v="46"/>
  </r>
  <r>
    <x v="46"/>
  </r>
  <r>
    <x v="46"/>
  </r>
  <r>
    <x v="46"/>
  </r>
  <r>
    <x v="113"/>
  </r>
  <r>
    <x v="113"/>
  </r>
  <r>
    <x v="113"/>
  </r>
  <r>
    <x v="113"/>
  </r>
  <r>
    <x v="113"/>
  </r>
  <r>
    <x v="113"/>
  </r>
  <r>
    <x v="113"/>
  </r>
  <r>
    <x v="113"/>
  </r>
  <r>
    <x v="113"/>
  </r>
  <r>
    <x v="113"/>
  </r>
  <r>
    <x v="113"/>
  </r>
  <r>
    <x v="113"/>
  </r>
  <r>
    <x v="113"/>
  </r>
  <r>
    <x v="113"/>
  </r>
  <r>
    <x v="265"/>
  </r>
  <r>
    <x v="265"/>
  </r>
  <r>
    <x v="265"/>
  </r>
  <r>
    <x v="265"/>
  </r>
  <r>
    <x v="266"/>
  </r>
  <r>
    <x v="266"/>
  </r>
  <r>
    <x v="266"/>
  </r>
  <r>
    <x v="266"/>
  </r>
  <r>
    <x v="266"/>
  </r>
  <r>
    <x v="266"/>
  </r>
  <r>
    <x v="266"/>
  </r>
  <r>
    <x v="266"/>
  </r>
  <r>
    <x v="158"/>
  </r>
  <r>
    <x v="158"/>
  </r>
  <r>
    <x v="158"/>
  </r>
  <r>
    <x v="158"/>
  </r>
  <r>
    <x v="158"/>
  </r>
  <r>
    <x v="158"/>
  </r>
  <r>
    <x v="1"/>
  </r>
  <r>
    <x v="1"/>
  </r>
  <r>
    <x v="1"/>
  </r>
  <r>
    <x v="1"/>
  </r>
  <r>
    <x v="195"/>
  </r>
  <r>
    <x v="195"/>
  </r>
  <r>
    <x v="267"/>
  </r>
  <r>
    <x v="267"/>
  </r>
  <r>
    <x v="267"/>
  </r>
  <r>
    <x v="267"/>
  </r>
  <r>
    <x v="267"/>
  </r>
  <r>
    <x v="268"/>
  </r>
  <r>
    <x v="268"/>
  </r>
  <r>
    <x v="269"/>
  </r>
  <r>
    <x v="269"/>
  </r>
  <r>
    <x v="269"/>
  </r>
  <r>
    <x v="269"/>
  </r>
  <r>
    <x v="269"/>
  </r>
  <r>
    <x v="269"/>
  </r>
  <r>
    <x v="269"/>
  </r>
  <r>
    <x v="269"/>
  </r>
  <r>
    <x v="5"/>
  </r>
  <r>
    <x v="5"/>
  </r>
  <r>
    <x v="5"/>
  </r>
  <r>
    <x v="5"/>
  </r>
  <r>
    <x v="5"/>
  </r>
  <r>
    <x v="5"/>
  </r>
  <r>
    <x v="5"/>
  </r>
  <r>
    <x v="5"/>
  </r>
  <r>
    <x v="5"/>
  </r>
  <r>
    <x v="5"/>
  </r>
  <r>
    <x v="5"/>
  </r>
  <r>
    <x v="5"/>
  </r>
  <r>
    <x v="5"/>
  </r>
  <r>
    <x v="5"/>
  </r>
  <r>
    <x v="5"/>
  </r>
  <r>
    <x v="5"/>
  </r>
  <r>
    <x v="5"/>
  </r>
  <r>
    <x v="5"/>
  </r>
  <r>
    <x v="5"/>
  </r>
  <r>
    <x v="5"/>
  </r>
  <r>
    <x v="5"/>
  </r>
  <r>
    <x v="5"/>
  </r>
  <r>
    <x v="5"/>
  </r>
  <r>
    <x v="5"/>
  </r>
  <r>
    <x v="5"/>
  </r>
  <r>
    <x v="5"/>
  </r>
  <r>
    <x v="5"/>
  </r>
  <r>
    <x v="35"/>
  </r>
  <r>
    <x v="35"/>
  </r>
  <r>
    <x v="35"/>
  </r>
  <r>
    <x v="35"/>
  </r>
  <r>
    <x v="157"/>
  </r>
  <r>
    <x v="157"/>
  </r>
  <r>
    <x v="270"/>
  </r>
  <r>
    <x v="270"/>
  </r>
  <r>
    <x v="270"/>
  </r>
  <r>
    <x v="270"/>
  </r>
  <r>
    <x v="5"/>
  </r>
  <r>
    <x v="5"/>
  </r>
  <r>
    <x v="5"/>
  </r>
  <r>
    <x v="5"/>
  </r>
  <r>
    <x v="5"/>
  </r>
  <r>
    <x v="5"/>
  </r>
  <r>
    <x v="271"/>
  </r>
  <r>
    <x v="271"/>
  </r>
  <r>
    <x v="271"/>
  </r>
  <r>
    <x v="271"/>
  </r>
  <r>
    <x v="271"/>
  </r>
  <r>
    <x v="271"/>
  </r>
  <r>
    <x v="271"/>
  </r>
  <r>
    <x v="271"/>
  </r>
  <r>
    <x v="271"/>
  </r>
  <r>
    <x v="271"/>
  </r>
  <r>
    <x v="271"/>
  </r>
  <r>
    <x v="165"/>
  </r>
  <r>
    <x v="165"/>
  </r>
  <r>
    <x v="165"/>
  </r>
  <r>
    <x v="165"/>
  </r>
  <r>
    <x v="165"/>
  </r>
  <r>
    <x v="178"/>
  </r>
  <r>
    <x v="178"/>
  </r>
  <r>
    <x v="178"/>
  </r>
  <r>
    <x v="178"/>
  </r>
  <r>
    <x v="178"/>
  </r>
  <r>
    <x v="178"/>
  </r>
  <r>
    <x v="178"/>
  </r>
  <r>
    <x v="178"/>
  </r>
  <r>
    <x v="178"/>
  </r>
  <r>
    <x v="197"/>
  </r>
  <r>
    <x v="197"/>
  </r>
  <r>
    <x v="197"/>
  </r>
  <r>
    <x v="197"/>
  </r>
  <r>
    <x v="197"/>
  </r>
  <r>
    <x v="197"/>
  </r>
  <r>
    <x v="197"/>
  </r>
  <r>
    <x v="197"/>
  </r>
  <r>
    <x v="180"/>
  </r>
  <r>
    <x v="180"/>
  </r>
  <r>
    <x v="180"/>
  </r>
  <r>
    <x v="180"/>
  </r>
  <r>
    <x v="180"/>
  </r>
  <r>
    <x v="180"/>
  </r>
  <r>
    <x v="180"/>
  </r>
  <r>
    <x v="272"/>
  </r>
  <r>
    <x v="272"/>
  </r>
  <r>
    <x v="272"/>
  </r>
  <r>
    <x v="272"/>
  </r>
  <r>
    <x v="272"/>
  </r>
  <r>
    <x v="272"/>
  </r>
  <r>
    <x v="272"/>
  </r>
  <r>
    <x v="273"/>
  </r>
  <r>
    <x v="273"/>
  </r>
  <r>
    <x v="273"/>
  </r>
  <r>
    <x v="273"/>
  </r>
  <r>
    <x v="273"/>
  </r>
  <r>
    <x v="273"/>
  </r>
  <r>
    <x v="273"/>
  </r>
  <r>
    <x v="273"/>
  </r>
  <r>
    <x v="273"/>
  </r>
  <r>
    <x v="273"/>
  </r>
  <r>
    <x v="274"/>
  </r>
  <r>
    <x v="274"/>
  </r>
  <r>
    <x v="274"/>
  </r>
  <r>
    <x v="275"/>
  </r>
  <r>
    <x v="275"/>
  </r>
  <r>
    <x v="275"/>
  </r>
  <r>
    <x v="180"/>
  </r>
  <r>
    <x v="180"/>
  </r>
  <r>
    <x v="180"/>
  </r>
  <r>
    <x v="180"/>
  </r>
  <r>
    <x v="180"/>
  </r>
  <r>
    <x v="180"/>
  </r>
  <r>
    <x v="180"/>
  </r>
  <r>
    <x v="180"/>
  </r>
  <r>
    <x v="180"/>
  </r>
  <r>
    <x v="3"/>
  </r>
  <r>
    <x v="3"/>
  </r>
  <r>
    <x v="3"/>
  </r>
  <r>
    <x v="3"/>
  </r>
  <r>
    <x v="3"/>
  </r>
  <r>
    <x v="3"/>
  </r>
  <r>
    <x v="3"/>
  </r>
  <r>
    <x v="3"/>
  </r>
  <r>
    <x v="3"/>
  </r>
  <r>
    <x v="180"/>
  </r>
  <r>
    <x v="180"/>
  </r>
  <r>
    <x v="180"/>
  </r>
  <r>
    <x v="180"/>
  </r>
  <r>
    <x v="180"/>
  </r>
  <r>
    <x v="125"/>
  </r>
  <r>
    <x v="125"/>
  </r>
  <r>
    <x v="125"/>
  </r>
  <r>
    <x v="125"/>
  </r>
  <r>
    <x v="125"/>
  </r>
  <r>
    <x v="125"/>
  </r>
  <r>
    <x v="125"/>
  </r>
  <r>
    <x v="125"/>
  </r>
  <r>
    <x v="125"/>
  </r>
  <r>
    <x v="180"/>
  </r>
  <r>
    <x v="180"/>
  </r>
  <r>
    <x v="276"/>
  </r>
  <r>
    <x v="276"/>
  </r>
  <r>
    <x v="276"/>
  </r>
  <r>
    <x v="276"/>
  </r>
  <r>
    <x v="276"/>
  </r>
  <r>
    <x v="276"/>
  </r>
  <r>
    <x v="87"/>
  </r>
  <r>
    <x v="87"/>
  </r>
  <r>
    <x v="87"/>
  </r>
  <r>
    <x v="277"/>
  </r>
  <r>
    <x v="277"/>
  </r>
  <r>
    <x v="277"/>
  </r>
  <r>
    <x v="277"/>
  </r>
  <r>
    <x v="277"/>
  </r>
  <r>
    <x v="277"/>
  </r>
  <r>
    <x v="277"/>
  </r>
  <r>
    <x v="277"/>
  </r>
  <r>
    <x v="277"/>
  </r>
  <r>
    <x v="277"/>
  </r>
  <r>
    <x v="277"/>
  </r>
  <r>
    <x v="277"/>
  </r>
  <r>
    <x v="277"/>
  </r>
  <r>
    <x v="278"/>
  </r>
  <r>
    <x v="278"/>
  </r>
  <r>
    <x v="278"/>
  </r>
  <r>
    <x v="278"/>
  </r>
  <r>
    <x v="278"/>
  </r>
  <r>
    <x v="279"/>
  </r>
  <r>
    <x v="279"/>
  </r>
  <r>
    <x v="279"/>
  </r>
  <r>
    <x v="279"/>
  </r>
  <r>
    <x v="279"/>
  </r>
  <r>
    <x v="130"/>
  </r>
  <r>
    <x v="130"/>
  </r>
  <r>
    <x v="130"/>
  </r>
  <r>
    <x v="130"/>
  </r>
  <r>
    <x v="130"/>
  </r>
  <r>
    <x v="130"/>
  </r>
  <r>
    <x v="130"/>
  </r>
  <r>
    <x v="130"/>
  </r>
  <r>
    <x v="130"/>
  </r>
  <r>
    <x v="130"/>
  </r>
  <r>
    <x v="130"/>
  </r>
  <r>
    <x v="130"/>
  </r>
  <r>
    <x v="130"/>
  </r>
  <r>
    <x v="280"/>
  </r>
  <r>
    <x v="280"/>
  </r>
  <r>
    <x v="280"/>
  </r>
  <r>
    <x v="280"/>
  </r>
  <r>
    <x v="180"/>
  </r>
  <r>
    <x v="180"/>
  </r>
  <r>
    <x v="180"/>
  </r>
  <r>
    <x v="180"/>
  </r>
  <r>
    <x v="180"/>
  </r>
  <r>
    <x v="180"/>
  </r>
  <r>
    <x v="180"/>
  </r>
  <r>
    <x v="180"/>
  </r>
  <r>
    <x v="180"/>
  </r>
  <r>
    <x v="180"/>
  </r>
  <r>
    <x v="153"/>
  </r>
  <r>
    <x v="153"/>
  </r>
  <r>
    <x v="153"/>
  </r>
  <r>
    <x v="153"/>
  </r>
  <r>
    <x v="153"/>
  </r>
  <r>
    <x v="153"/>
  </r>
  <r>
    <x v="244"/>
  </r>
  <r>
    <x v="244"/>
  </r>
  <r>
    <x v="244"/>
  </r>
  <r>
    <x v="180"/>
  </r>
  <r>
    <x v="180"/>
  </r>
  <r>
    <x v="180"/>
  </r>
  <r>
    <x v="180"/>
  </r>
  <r>
    <x v="180"/>
  </r>
  <r>
    <x v="180"/>
  </r>
  <r>
    <x v="180"/>
  </r>
  <r>
    <x v="180"/>
  </r>
  <r>
    <x v="180"/>
  </r>
  <r>
    <x v="180"/>
  </r>
  <r>
    <x v="180"/>
  </r>
  <r>
    <x v="180"/>
  </r>
  <r>
    <x v="180"/>
  </r>
  <r>
    <x v="180"/>
  </r>
  <r>
    <x v="180"/>
  </r>
  <r>
    <x v="126"/>
  </r>
  <r>
    <x v="126"/>
  </r>
  <r>
    <x v="126"/>
  </r>
  <r>
    <x v="126"/>
  </r>
  <r>
    <x v="2"/>
  </r>
  <r>
    <x v="2"/>
  </r>
  <r>
    <x v="2"/>
  </r>
  <r>
    <x v="2"/>
  </r>
  <r>
    <x v="2"/>
  </r>
  <r>
    <x v="2"/>
  </r>
  <r>
    <x v="2"/>
  </r>
  <r>
    <x v="2"/>
  </r>
  <r>
    <x v="2"/>
  </r>
  <r>
    <x v="243"/>
  </r>
  <r>
    <x v="243"/>
  </r>
  <r>
    <x v="243"/>
  </r>
  <r>
    <x v="243"/>
  </r>
  <r>
    <x v="281"/>
  </r>
  <r>
    <x v="281"/>
  </r>
  <r>
    <x v="281"/>
  </r>
  <r>
    <x v="281"/>
  </r>
  <r>
    <x v="281"/>
  </r>
  <r>
    <x v="281"/>
  </r>
  <r>
    <x v="281"/>
  </r>
  <r>
    <x v="281"/>
  </r>
  <r>
    <x v="281"/>
  </r>
  <r>
    <x v="281"/>
  </r>
  <r>
    <x v="281"/>
  </r>
  <r>
    <x v="281"/>
  </r>
  <r>
    <x v="281"/>
  </r>
  <r>
    <x v="281"/>
  </r>
  <r>
    <x v="244"/>
  </r>
  <r>
    <x v="244"/>
  </r>
  <r>
    <x v="244"/>
  </r>
  <r>
    <x v="244"/>
  </r>
  <r>
    <x v="244"/>
  </r>
  <r>
    <x v="77"/>
  </r>
  <r>
    <x v="77"/>
  </r>
  <r>
    <x v="77"/>
  </r>
  <r>
    <x v="77"/>
  </r>
  <r>
    <x v="77"/>
  </r>
  <r>
    <x v="244"/>
  </r>
  <r>
    <x v="244"/>
  </r>
  <r>
    <x v="244"/>
  </r>
  <r>
    <x v="244"/>
  </r>
  <r>
    <x v="244"/>
  </r>
  <r>
    <x v="244"/>
  </r>
  <r>
    <x v="244"/>
  </r>
  <r>
    <x v="244"/>
  </r>
  <r>
    <x v="244"/>
  </r>
  <r>
    <x v="244"/>
  </r>
  <r>
    <x v="244"/>
  </r>
  <r>
    <x v="244"/>
  </r>
  <r>
    <x v="244"/>
  </r>
  <r>
    <x v="244"/>
  </r>
  <r>
    <x v="244"/>
  </r>
  <r>
    <x v="244"/>
  </r>
  <r>
    <x v="244"/>
  </r>
  <r>
    <x v="5"/>
  </r>
  <r>
    <x v="5"/>
  </r>
  <r>
    <x v="5"/>
  </r>
  <r>
    <x v="5"/>
  </r>
  <r>
    <x v="5"/>
  </r>
  <r>
    <x v="5"/>
  </r>
  <r>
    <x v="5"/>
  </r>
  <r>
    <x v="49"/>
  </r>
  <r>
    <x v="49"/>
  </r>
  <r>
    <x v="49"/>
  </r>
  <r>
    <x v="3"/>
  </r>
  <r>
    <x v="3"/>
  </r>
  <r>
    <x v="3"/>
  </r>
  <r>
    <x v="3"/>
  </r>
  <r>
    <x v="3"/>
  </r>
  <r>
    <x v="3"/>
  </r>
  <r>
    <x v="3"/>
  </r>
  <r>
    <x v="19"/>
  </r>
  <r>
    <x v="19"/>
  </r>
  <r>
    <x v="19"/>
  </r>
  <r>
    <x v="19"/>
  </r>
  <r>
    <x v="19"/>
  </r>
  <r>
    <x v="19"/>
  </r>
  <r>
    <x v="19"/>
  </r>
  <r>
    <x v="3"/>
  </r>
  <r>
    <x v="3"/>
  </r>
  <r>
    <x v="3"/>
  </r>
  <r>
    <x v="3"/>
  </r>
  <r>
    <x v="3"/>
  </r>
  <r>
    <x v="3"/>
  </r>
  <r>
    <x v="282"/>
  </r>
  <r>
    <x v="282"/>
  </r>
  <r>
    <x v="282"/>
  </r>
  <r>
    <x v="3"/>
  </r>
  <r>
    <x v="3"/>
  </r>
  <r>
    <x v="244"/>
  </r>
  <r>
    <x v="244"/>
  </r>
  <r>
    <x v="244"/>
  </r>
  <r>
    <x v="244"/>
  </r>
  <r>
    <x v="244"/>
  </r>
  <r>
    <x v="244"/>
  </r>
  <r>
    <x v="244"/>
  </r>
  <r>
    <x v="2"/>
  </r>
  <r>
    <x v="2"/>
  </r>
  <r>
    <x v="2"/>
  </r>
  <r>
    <x v="2"/>
  </r>
  <r>
    <x v="2"/>
  </r>
  <r>
    <x v="2"/>
  </r>
  <r>
    <x v="2"/>
  </r>
  <r>
    <x v="2"/>
  </r>
  <r>
    <x v="2"/>
  </r>
  <r>
    <x v="2"/>
  </r>
  <r>
    <x v="2"/>
  </r>
  <r>
    <x v="2"/>
  </r>
  <r>
    <x v="2"/>
  </r>
  <r>
    <x v="283"/>
  </r>
  <r>
    <x v="283"/>
  </r>
  <r>
    <x v="283"/>
  </r>
  <r>
    <x v="283"/>
  </r>
  <r>
    <x v="283"/>
  </r>
  <r>
    <x v="268"/>
  </r>
  <r>
    <x v="268"/>
  </r>
  <r>
    <x v="268"/>
  </r>
  <r>
    <x v="268"/>
  </r>
  <r>
    <x v="268"/>
  </r>
  <r>
    <x v="180"/>
  </r>
  <r>
    <x v="180"/>
  </r>
  <r>
    <x v="180"/>
  </r>
  <r>
    <x v="180"/>
  </r>
  <r>
    <x v="180"/>
  </r>
  <r>
    <x v="180"/>
  </r>
  <r>
    <x v="180"/>
  </r>
  <r>
    <x v="180"/>
  </r>
  <r>
    <x v="180"/>
  </r>
  <r>
    <x v="180"/>
  </r>
  <r>
    <x v="180"/>
  </r>
  <r>
    <x v="180"/>
  </r>
  <r>
    <x v="180"/>
  </r>
  <r>
    <x v="180"/>
  </r>
  <r>
    <x v="180"/>
  </r>
  <r>
    <x v="180"/>
  </r>
  <r>
    <x v="281"/>
  </r>
  <r>
    <x v="281"/>
  </r>
  <r>
    <x v="281"/>
  </r>
  <r>
    <x v="281"/>
  </r>
  <r>
    <x v="281"/>
  </r>
  <r>
    <x v="281"/>
  </r>
  <r>
    <x v="281"/>
  </r>
  <r>
    <x v="281"/>
  </r>
  <r>
    <x v="281"/>
  </r>
  <r>
    <x v="281"/>
  </r>
  <r>
    <x v="281"/>
  </r>
  <r>
    <x v="281"/>
  </r>
  <r>
    <x v="3"/>
  </r>
  <r>
    <x v="3"/>
  </r>
  <r>
    <x v="3"/>
  </r>
  <r>
    <x v="3"/>
  </r>
  <r>
    <x v="3"/>
  </r>
  <r>
    <x v="3"/>
  </r>
  <r>
    <x v="180"/>
  </r>
  <r>
    <x v="180"/>
  </r>
  <r>
    <x v="180"/>
  </r>
  <r>
    <x v="180"/>
  </r>
  <r>
    <x v="180"/>
  </r>
  <r>
    <x v="217"/>
  </r>
  <r>
    <x v="217"/>
  </r>
  <r>
    <x v="217"/>
  </r>
  <r>
    <x v="217"/>
  </r>
  <r>
    <x v="217"/>
  </r>
  <r>
    <x v="217"/>
  </r>
  <r>
    <x v="217"/>
  </r>
  <r>
    <x v="284"/>
  </r>
  <r>
    <x v="284"/>
  </r>
  <r>
    <x v="284"/>
  </r>
  <r>
    <x v="284"/>
  </r>
  <r>
    <x v="203"/>
  </r>
  <r>
    <x v="203"/>
  </r>
  <r>
    <x v="203"/>
  </r>
  <r>
    <x v="203"/>
  </r>
  <r>
    <x v="7"/>
  </r>
  <r>
    <x v="7"/>
  </r>
  <r>
    <x v="7"/>
  </r>
  <r>
    <x v="7"/>
  </r>
  <r>
    <x v="7"/>
  </r>
  <r>
    <x v="7"/>
  </r>
  <r>
    <x v="7"/>
  </r>
  <r>
    <x v="7"/>
  </r>
  <r>
    <x v="7"/>
  </r>
  <r>
    <x v="285"/>
  </r>
  <r>
    <x v="285"/>
  </r>
  <r>
    <x v="285"/>
  </r>
  <r>
    <x v="285"/>
  </r>
  <r>
    <x v="285"/>
  </r>
  <r>
    <x v="217"/>
  </r>
  <r>
    <x v="217"/>
  </r>
  <r>
    <x v="217"/>
  </r>
  <r>
    <x v="217"/>
  </r>
  <r>
    <x v="217"/>
  </r>
  <r>
    <x v="217"/>
  </r>
  <r>
    <x v="217"/>
  </r>
  <r>
    <x v="217"/>
  </r>
  <r>
    <x v="1"/>
  </r>
  <r>
    <x v="1"/>
  </r>
  <r>
    <x v="1"/>
  </r>
  <r>
    <x v="1"/>
  </r>
  <r>
    <x v="192"/>
  </r>
  <r>
    <x v="192"/>
  </r>
  <r>
    <x v="192"/>
  </r>
  <r>
    <x v="192"/>
  </r>
  <r>
    <x v="192"/>
  </r>
  <r>
    <x v="180"/>
  </r>
  <r>
    <x v="180"/>
  </r>
  <r>
    <x v="180"/>
  </r>
  <r>
    <x v="180"/>
  </r>
  <r>
    <x v="95"/>
  </r>
  <r>
    <x v="95"/>
  </r>
  <r>
    <x v="95"/>
  </r>
  <r>
    <x v="95"/>
  </r>
  <r>
    <x v="197"/>
  </r>
  <r>
    <x v="197"/>
  </r>
  <r>
    <x v="197"/>
  </r>
  <r>
    <x v="197"/>
  </r>
  <r>
    <x v="197"/>
  </r>
  <r>
    <x v="197"/>
  </r>
  <r>
    <x v="2"/>
  </r>
  <r>
    <x v="2"/>
  </r>
  <r>
    <x v="2"/>
  </r>
  <r>
    <x v="2"/>
  </r>
  <r>
    <x v="2"/>
  </r>
  <r>
    <x v="2"/>
  </r>
  <r>
    <x v="2"/>
  </r>
  <r>
    <x v="286"/>
  </r>
  <r>
    <x v="286"/>
  </r>
  <r>
    <x v="286"/>
  </r>
  <r>
    <x v="286"/>
  </r>
  <r>
    <x v="286"/>
  </r>
  <r>
    <x v="35"/>
  </r>
  <r>
    <x v="35"/>
  </r>
  <r>
    <x v="35"/>
  </r>
  <r>
    <x v="35"/>
  </r>
  <r>
    <x v="35"/>
  </r>
  <r>
    <x v="35"/>
  </r>
  <r>
    <x v="35"/>
  </r>
  <r>
    <x v="35"/>
  </r>
  <r>
    <x v="35"/>
  </r>
  <r>
    <x v="287"/>
  </r>
  <r>
    <x v="287"/>
  </r>
  <r>
    <x v="287"/>
  </r>
  <r>
    <x v="180"/>
  </r>
  <r>
    <x v="180"/>
  </r>
  <r>
    <x v="180"/>
  </r>
  <r>
    <x v="180"/>
  </r>
  <r>
    <x v="97"/>
  </r>
  <r>
    <x v="97"/>
  </r>
  <r>
    <x v="97"/>
  </r>
  <r>
    <x v="97"/>
  </r>
  <r>
    <x v="97"/>
  </r>
  <r>
    <x v="97"/>
  </r>
  <r>
    <x v="97"/>
  </r>
  <r>
    <x v="1"/>
  </r>
  <r>
    <x v="1"/>
  </r>
  <r>
    <x v="1"/>
  </r>
  <r>
    <x v="1"/>
  </r>
  <r>
    <x v="107"/>
  </r>
  <r>
    <x v="107"/>
  </r>
  <r>
    <x v="107"/>
  </r>
  <r>
    <x v="107"/>
  </r>
  <r>
    <x v="107"/>
  </r>
  <r>
    <x v="107"/>
  </r>
  <r>
    <x v="107"/>
  </r>
  <r>
    <x v="107"/>
  </r>
  <r>
    <x v="180"/>
  </r>
  <r>
    <x v="180"/>
  </r>
  <r>
    <x v="180"/>
  </r>
  <r>
    <x v="180"/>
  </r>
  <r>
    <x v="180"/>
  </r>
  <r>
    <x v="180"/>
  </r>
  <r>
    <x v="180"/>
  </r>
  <r>
    <x v="180"/>
  </r>
  <r>
    <x v="180"/>
  </r>
  <r>
    <x v="180"/>
  </r>
  <r>
    <x v="180"/>
  </r>
  <r>
    <x v="217"/>
  </r>
  <r>
    <x v="217"/>
  </r>
  <r>
    <x v="217"/>
  </r>
  <r>
    <x v="217"/>
  </r>
  <r>
    <x v="217"/>
  </r>
  <r>
    <x v="165"/>
  </r>
  <r>
    <x v="165"/>
  </r>
  <r>
    <x v="165"/>
  </r>
  <r>
    <x v="165"/>
  </r>
  <r>
    <x v="165"/>
  </r>
  <r>
    <x v="165"/>
  </r>
  <r>
    <x v="243"/>
  </r>
  <r>
    <x v="243"/>
  </r>
  <r>
    <x v="243"/>
  </r>
  <r>
    <x v="243"/>
  </r>
  <r>
    <x v="195"/>
  </r>
  <r>
    <x v="195"/>
  </r>
  <r>
    <x v="195"/>
  </r>
  <r>
    <x v="195"/>
  </r>
  <r>
    <x v="160"/>
  </r>
  <r>
    <x v="160"/>
  </r>
  <r>
    <x v="160"/>
  </r>
  <r>
    <x v="160"/>
  </r>
  <r>
    <x v="217"/>
  </r>
  <r>
    <x v="217"/>
  </r>
  <r>
    <x v="217"/>
  </r>
  <r>
    <x v="217"/>
  </r>
  <r>
    <x v="244"/>
  </r>
  <r>
    <x v="244"/>
  </r>
  <r>
    <x v="244"/>
  </r>
  <r>
    <x v="244"/>
  </r>
  <r>
    <x v="254"/>
  </r>
  <r>
    <x v="254"/>
  </r>
  <r>
    <x v="254"/>
  </r>
  <r>
    <x v="254"/>
  </r>
  <r>
    <x v="254"/>
  </r>
  <r>
    <x v="254"/>
  </r>
  <r>
    <x v="201"/>
  </r>
  <r>
    <x v="201"/>
  </r>
  <r>
    <x v="180"/>
  </r>
  <r>
    <x v="180"/>
  </r>
  <r>
    <x v="180"/>
  </r>
  <r>
    <x v="180"/>
  </r>
  <r>
    <x v="180"/>
  </r>
  <r>
    <x v="180"/>
  </r>
  <r>
    <x v="180"/>
  </r>
  <r>
    <x v="180"/>
  </r>
  <r>
    <x v="115"/>
  </r>
  <r>
    <x v="115"/>
  </r>
  <r>
    <x v="115"/>
  </r>
  <r>
    <x v="115"/>
  </r>
  <r>
    <x v="130"/>
  </r>
  <r>
    <x v="130"/>
  </r>
  <r>
    <x v="130"/>
  </r>
  <r>
    <x v="130"/>
  </r>
  <r>
    <x v="130"/>
  </r>
  <r>
    <x v="46"/>
  </r>
  <r>
    <x v="46"/>
  </r>
  <r>
    <x v="46"/>
  </r>
  <r>
    <x v="46"/>
  </r>
  <r>
    <x v="107"/>
  </r>
  <r>
    <x v="107"/>
  </r>
  <r>
    <x v="107"/>
  </r>
  <r>
    <x v="107"/>
  </r>
  <r>
    <x v="288"/>
  </r>
  <r>
    <x v="288"/>
  </r>
  <r>
    <x v="288"/>
  </r>
  <r>
    <x v="288"/>
  </r>
  <r>
    <x v="288"/>
  </r>
  <r>
    <x v="288"/>
  </r>
  <r>
    <x v="288"/>
  </r>
  <r>
    <x v="288"/>
  </r>
  <r>
    <x v="288"/>
  </r>
  <r>
    <x v="288"/>
  </r>
  <r>
    <x v="288"/>
  </r>
  <r>
    <x v="288"/>
  </r>
  <r>
    <x v="141"/>
  </r>
  <r>
    <x v="141"/>
  </r>
  <r>
    <x v="141"/>
  </r>
  <r>
    <x v="141"/>
  </r>
  <r>
    <x v="141"/>
  </r>
  <r>
    <x v="141"/>
  </r>
  <r>
    <x v="289"/>
  </r>
  <r>
    <x v="289"/>
  </r>
  <r>
    <x v="289"/>
  </r>
  <r>
    <x v="289"/>
  </r>
  <r>
    <x v="215"/>
  </r>
  <r>
    <x v="215"/>
  </r>
  <r>
    <x v="215"/>
  </r>
  <r>
    <x v="154"/>
  </r>
  <r>
    <x v="154"/>
  </r>
  <r>
    <x v="154"/>
  </r>
  <r>
    <x v="154"/>
  </r>
  <r>
    <x v="154"/>
  </r>
  <r>
    <x v="154"/>
  </r>
  <r>
    <x v="154"/>
  </r>
  <r>
    <x v="154"/>
  </r>
  <r>
    <x v="154"/>
  </r>
  <r>
    <x v="154"/>
  </r>
  <r>
    <x v="154"/>
  </r>
  <r>
    <x v="154"/>
  </r>
  <r>
    <x v="154"/>
  </r>
  <r>
    <x v="154"/>
  </r>
  <r>
    <x v="154"/>
  </r>
  <r>
    <x v="154"/>
  </r>
  <r>
    <x v="154"/>
  </r>
  <r>
    <x v="290"/>
  </r>
  <r>
    <x v="78"/>
  </r>
  <r>
    <x v="78"/>
  </r>
  <r>
    <x v="78"/>
  </r>
  <r>
    <x v="78"/>
  </r>
  <r>
    <x v="78"/>
  </r>
  <r>
    <x v="78"/>
  </r>
  <r>
    <x v="78"/>
  </r>
  <r>
    <x v="78"/>
  </r>
  <r>
    <x v="78"/>
  </r>
  <r>
    <x v="78"/>
  </r>
  <r>
    <x v="78"/>
  </r>
  <r>
    <x v="78"/>
  </r>
  <r>
    <x v="78"/>
  </r>
  <r>
    <x v="78"/>
  </r>
  <r>
    <x v="78"/>
  </r>
  <r>
    <x v="78"/>
  </r>
  <r>
    <x v="78"/>
  </r>
  <r>
    <x v="78"/>
  </r>
  <r>
    <x v="78"/>
  </r>
  <r>
    <x v="78"/>
  </r>
  <r>
    <x v="215"/>
  </r>
  <r>
    <x v="215"/>
  </r>
  <r>
    <x v="215"/>
  </r>
  <r>
    <x v="215"/>
  </r>
  <r>
    <x v="215"/>
  </r>
  <r>
    <x v="2"/>
  </r>
  <r>
    <x v="2"/>
  </r>
  <r>
    <x v="2"/>
  </r>
  <r>
    <x v="2"/>
  </r>
  <r>
    <x v="2"/>
  </r>
  <r>
    <x v="2"/>
  </r>
  <r>
    <x v="2"/>
  </r>
  <r>
    <x v="180"/>
  </r>
  <r>
    <x v="180"/>
  </r>
  <r>
    <x v="180"/>
  </r>
  <r>
    <x v="180"/>
  </r>
  <r>
    <x v="180"/>
  </r>
  <r>
    <x v="180"/>
  </r>
  <r>
    <x v="180"/>
  </r>
  <r>
    <x v="180"/>
  </r>
  <r>
    <x v="291"/>
  </r>
  <r>
    <x v="291"/>
  </r>
  <r>
    <x v="291"/>
  </r>
  <r>
    <x v="291"/>
  </r>
  <r>
    <x v="291"/>
  </r>
  <r>
    <x v="291"/>
  </r>
  <r>
    <x v="291"/>
  </r>
  <r>
    <x v="291"/>
  </r>
  <r>
    <x v="160"/>
  </r>
  <r>
    <x v="160"/>
  </r>
  <r>
    <x v="160"/>
  </r>
  <r>
    <x v="160"/>
  </r>
  <r>
    <x v="160"/>
  </r>
  <r>
    <x v="160"/>
  </r>
  <r>
    <x v="160"/>
  </r>
  <r>
    <x v="160"/>
  </r>
  <r>
    <x v="160"/>
  </r>
  <r>
    <x v="160"/>
  </r>
  <r>
    <x v="160"/>
  </r>
  <r>
    <x v="160"/>
  </r>
  <r>
    <x v="160"/>
  </r>
  <r>
    <x v="180"/>
  </r>
  <r>
    <x v="180"/>
  </r>
  <r>
    <x v="41"/>
  </r>
  <r>
    <x v="41"/>
  </r>
  <r>
    <x v="41"/>
  </r>
  <r>
    <x v="41"/>
  </r>
  <r>
    <x v="41"/>
  </r>
  <r>
    <x v="41"/>
  </r>
  <r>
    <x v="41"/>
  </r>
  <r>
    <x v="41"/>
  </r>
  <r>
    <x v="221"/>
  </r>
  <r>
    <x v="221"/>
  </r>
  <r>
    <x v="221"/>
  </r>
  <r>
    <x v="221"/>
  </r>
  <r>
    <x v="292"/>
  </r>
  <r>
    <x v="292"/>
  </r>
  <r>
    <x v="292"/>
  </r>
  <r>
    <x v="292"/>
  </r>
  <r>
    <x v="292"/>
  </r>
  <r>
    <x v="292"/>
  </r>
  <r>
    <x v="292"/>
  </r>
  <r>
    <x v="3"/>
  </r>
  <r>
    <x v="3"/>
  </r>
  <r>
    <x v="3"/>
  </r>
  <r>
    <x v="3"/>
  </r>
  <r>
    <x v="3"/>
  </r>
  <r>
    <x v="3"/>
  </r>
  <r>
    <x v="3"/>
  </r>
  <r>
    <x v="3"/>
  </r>
  <r>
    <x v="3"/>
  </r>
  <r>
    <x v="3"/>
  </r>
  <r>
    <x v="3"/>
  </r>
  <r>
    <x v="3"/>
  </r>
  <r>
    <x v="3"/>
  </r>
  <r>
    <x v="3"/>
  </r>
  <r>
    <x v="3"/>
  </r>
  <r>
    <x v="3"/>
  </r>
  <r>
    <x v="3"/>
  </r>
  <r>
    <x v="3"/>
  </r>
  <r>
    <x v="107"/>
  </r>
  <r>
    <x v="107"/>
  </r>
  <r>
    <x v="107"/>
  </r>
  <r>
    <x v="107"/>
  </r>
  <r>
    <x v="244"/>
  </r>
  <r>
    <x v="244"/>
  </r>
  <r>
    <x v="244"/>
  </r>
  <r>
    <x v="244"/>
  </r>
  <r>
    <x v="244"/>
  </r>
  <r>
    <x v="244"/>
  </r>
  <r>
    <x v="293"/>
  </r>
  <r>
    <x v="293"/>
  </r>
  <r>
    <x v="293"/>
  </r>
  <r>
    <x v="293"/>
  </r>
  <r>
    <x v="293"/>
  </r>
  <r>
    <x v="215"/>
  </r>
  <r>
    <x v="215"/>
  </r>
  <r>
    <x v="215"/>
  </r>
  <r>
    <x v="215"/>
  </r>
  <r>
    <x v="215"/>
  </r>
  <r>
    <x v="215"/>
  </r>
  <r>
    <x v="215"/>
  </r>
  <r>
    <x v="215"/>
  </r>
  <r>
    <x v="180"/>
  </r>
  <r>
    <x v="180"/>
  </r>
  <r>
    <x v="180"/>
  </r>
  <r>
    <x v="180"/>
  </r>
  <r>
    <x v="180"/>
  </r>
  <r>
    <x v="180"/>
  </r>
  <r>
    <x v="180"/>
  </r>
  <r>
    <x v="180"/>
  </r>
  <r>
    <x v="180"/>
  </r>
  <r>
    <x v="294"/>
  </r>
  <r>
    <x v="294"/>
  </r>
  <r>
    <x v="294"/>
  </r>
  <r>
    <x v="294"/>
  </r>
  <r>
    <x v="294"/>
  </r>
  <r>
    <x v="294"/>
  </r>
  <r>
    <x v="294"/>
  </r>
  <r>
    <x v="294"/>
  </r>
  <r>
    <x v="167"/>
  </r>
  <r>
    <x v="167"/>
  </r>
  <r>
    <x v="167"/>
  </r>
  <r>
    <x v="167"/>
  </r>
  <r>
    <x v="167"/>
  </r>
  <r>
    <x v="167"/>
  </r>
  <r>
    <x v="167"/>
  </r>
  <r>
    <x v="167"/>
  </r>
  <r>
    <x v="167"/>
  </r>
  <r>
    <x v="167"/>
  </r>
  <r>
    <x v="167"/>
  </r>
  <r>
    <x v="167"/>
  </r>
  <r>
    <x v="167"/>
  </r>
  <r>
    <x v="295"/>
  </r>
  <r>
    <x v="295"/>
  </r>
  <r>
    <x v="295"/>
  </r>
  <r>
    <x v="295"/>
  </r>
  <r>
    <x v="295"/>
  </r>
  <r>
    <x v="295"/>
  </r>
  <r>
    <x v="295"/>
  </r>
  <r>
    <x v="295"/>
  </r>
  <r>
    <x v="295"/>
  </r>
  <r>
    <x v="295"/>
  </r>
  <r>
    <x v="295"/>
  </r>
  <r>
    <x v="3"/>
  </r>
  <r>
    <x v="3"/>
  </r>
  <r>
    <x v="3"/>
  </r>
  <r>
    <x v="3"/>
  </r>
  <r>
    <x v="247"/>
  </r>
  <r>
    <x v="247"/>
  </r>
  <r>
    <x v="247"/>
  </r>
  <r>
    <x v="247"/>
  </r>
  <r>
    <x v="134"/>
  </r>
  <r>
    <x v="134"/>
  </r>
  <r>
    <x v="134"/>
  </r>
  <r>
    <x v="134"/>
  </r>
  <r>
    <x v="134"/>
  </r>
  <r>
    <x v="5"/>
  </r>
  <r>
    <x v="5"/>
  </r>
  <r>
    <x v="5"/>
  </r>
  <r>
    <x v="5"/>
  </r>
  <r>
    <x v="5"/>
  </r>
  <r>
    <x v="5"/>
  </r>
  <r>
    <x v="5"/>
  </r>
  <r>
    <x v="195"/>
  </r>
  <r>
    <x v="195"/>
  </r>
  <r>
    <x v="296"/>
  </r>
  <r>
    <x v="296"/>
  </r>
  <r>
    <x v="296"/>
  </r>
  <r>
    <x v="296"/>
  </r>
  <r>
    <x v="296"/>
  </r>
  <r>
    <x v="296"/>
  </r>
  <r>
    <x v="296"/>
  </r>
  <r>
    <x v="296"/>
  </r>
  <r>
    <x v="195"/>
  </r>
  <r>
    <x v="195"/>
  </r>
  <r>
    <x v="195"/>
  </r>
  <r>
    <x v="195"/>
  </r>
  <r>
    <x v="195"/>
  </r>
  <r>
    <x v="195"/>
  </r>
  <r>
    <x v="195"/>
  </r>
  <r>
    <x v="297"/>
  </r>
  <r>
    <x v="297"/>
  </r>
  <r>
    <x v="297"/>
  </r>
  <r>
    <x v="297"/>
  </r>
  <r>
    <x v="297"/>
  </r>
  <r>
    <x v="298"/>
  </r>
  <r>
    <x v="298"/>
  </r>
  <r>
    <x v="298"/>
  </r>
  <r>
    <x v="298"/>
  </r>
  <r>
    <x v="215"/>
  </r>
  <r>
    <x v="215"/>
  </r>
  <r>
    <x v="215"/>
  </r>
  <r>
    <x v="215"/>
  </r>
  <r>
    <x v="215"/>
  </r>
  <r>
    <x v="180"/>
  </r>
  <r>
    <x v="180"/>
  </r>
  <r>
    <x v="180"/>
  </r>
  <r>
    <x v="180"/>
  </r>
  <r>
    <x v="180"/>
  </r>
  <r>
    <x v="180"/>
  </r>
  <r>
    <x v="180"/>
  </r>
  <r>
    <x v="180"/>
  </r>
  <r>
    <x v="299"/>
  </r>
  <r>
    <x v="299"/>
  </r>
  <r>
    <x v="299"/>
  </r>
  <r>
    <x v="299"/>
  </r>
  <r>
    <x v="299"/>
  </r>
  <r>
    <x v="2"/>
  </r>
  <r>
    <x v="2"/>
  </r>
  <r>
    <x v="2"/>
  </r>
  <r>
    <x v="2"/>
  </r>
  <r>
    <x v="2"/>
  </r>
  <r>
    <x v="2"/>
  </r>
  <r>
    <x v="2"/>
  </r>
  <r>
    <x v="2"/>
  </r>
  <r>
    <x v="2"/>
  </r>
  <r>
    <x v="2"/>
  </r>
  <r>
    <x v="180"/>
  </r>
  <r>
    <x v="180"/>
  </r>
  <r>
    <x v="180"/>
  </r>
  <r>
    <x v="180"/>
  </r>
  <r>
    <x v="180"/>
  </r>
  <r>
    <x v="180"/>
  </r>
  <r>
    <x v="300"/>
  </r>
  <r>
    <x v="300"/>
  </r>
  <r>
    <x v="300"/>
  </r>
  <r>
    <x v="300"/>
  </r>
  <r>
    <x v="300"/>
  </r>
  <r>
    <x v="195"/>
  </r>
  <r>
    <x v="195"/>
  </r>
  <r>
    <x v="195"/>
  </r>
  <r>
    <x v="195"/>
  </r>
  <r>
    <x v="195"/>
  </r>
  <r>
    <x v="195"/>
  </r>
  <r>
    <x v="195"/>
  </r>
  <r>
    <x v="301"/>
  </r>
  <r>
    <x v="301"/>
  </r>
  <r>
    <x v="301"/>
  </r>
  <r>
    <x v="301"/>
  </r>
  <r>
    <x v="35"/>
  </r>
  <r>
    <x v="35"/>
  </r>
  <r>
    <x v="35"/>
  </r>
  <r>
    <x v="35"/>
  </r>
  <r>
    <x v="143"/>
  </r>
  <r>
    <x v="302"/>
  </r>
  <r>
    <x v="302"/>
  </r>
  <r>
    <x v="302"/>
  </r>
  <r>
    <x v="302"/>
  </r>
  <r>
    <x v="302"/>
  </r>
  <r>
    <x v="5"/>
  </r>
  <r>
    <x v="5"/>
  </r>
  <r>
    <x v="5"/>
  </r>
  <r>
    <x v="5"/>
  </r>
  <r>
    <x v="5"/>
  </r>
  <r>
    <x v="5"/>
  </r>
  <r>
    <x v="5"/>
  </r>
  <r>
    <x v="5"/>
  </r>
  <r>
    <x v="5"/>
  </r>
  <r>
    <x v="5"/>
  </r>
  <r>
    <x v="5"/>
  </r>
  <r>
    <x v="5"/>
  </r>
  <r>
    <x v="5"/>
  </r>
  <r>
    <x v="5"/>
  </r>
  <r>
    <x v="5"/>
  </r>
  <r>
    <x v="5"/>
  </r>
  <r>
    <x v="5"/>
  </r>
  <r>
    <x v="5"/>
  </r>
  <r>
    <x v="5"/>
  </r>
  <r>
    <x v="303"/>
  </r>
  <r>
    <x v="303"/>
  </r>
  <r>
    <x v="303"/>
  </r>
  <r>
    <x v="303"/>
  </r>
  <r>
    <x v="303"/>
  </r>
  <r>
    <x v="303"/>
  </r>
  <r>
    <x v="303"/>
  </r>
  <r>
    <x v="23"/>
  </r>
  <r>
    <x v="23"/>
  </r>
  <r>
    <x v="23"/>
  </r>
  <r>
    <x v="23"/>
  </r>
  <r>
    <x v="23"/>
  </r>
  <r>
    <x v="304"/>
  </r>
  <r>
    <x v="304"/>
  </r>
  <r>
    <x v="304"/>
  </r>
  <r>
    <x v="304"/>
  </r>
  <r>
    <x v="217"/>
  </r>
  <r>
    <x v="217"/>
  </r>
  <r>
    <x v="217"/>
  </r>
  <r>
    <x v="180"/>
  </r>
  <r>
    <x v="180"/>
  </r>
  <r>
    <x v="180"/>
  </r>
  <r>
    <x v="180"/>
  </r>
  <r>
    <x v="180"/>
  </r>
  <r>
    <x v="146"/>
  </r>
  <r>
    <x v="146"/>
  </r>
  <r>
    <x v="146"/>
  </r>
  <r>
    <x v="146"/>
  </r>
  <r>
    <x v="146"/>
  </r>
  <r>
    <x v="146"/>
  </r>
  <r>
    <x v="146"/>
  </r>
  <r>
    <x v="146"/>
  </r>
  <r>
    <x v="146"/>
  </r>
  <r>
    <x v="146"/>
  </r>
  <r>
    <x v="107"/>
  </r>
  <r>
    <x v="107"/>
  </r>
  <r>
    <x v="107"/>
  </r>
  <r>
    <x v="107"/>
  </r>
  <r>
    <x v="107"/>
  </r>
  <r>
    <x v="107"/>
  </r>
  <r>
    <x v="107"/>
  </r>
  <r>
    <x v="215"/>
  </r>
  <r>
    <x v="215"/>
  </r>
  <r>
    <x v="215"/>
  </r>
  <r>
    <x v="215"/>
  </r>
  <r>
    <x v="215"/>
  </r>
  <r>
    <x v="215"/>
  </r>
  <r>
    <x v="215"/>
  </r>
  <r>
    <x v="215"/>
  </r>
  <r>
    <x v="215"/>
  </r>
  <r>
    <x v="180"/>
  </r>
  <r>
    <x v="180"/>
  </r>
  <r>
    <x v="305"/>
  </r>
  <r>
    <x v="305"/>
  </r>
  <r>
    <x v="305"/>
  </r>
  <r>
    <x v="306"/>
  </r>
  <r>
    <x v="306"/>
  </r>
  <r>
    <x v="306"/>
  </r>
  <r>
    <x v="306"/>
  </r>
  <r>
    <x v="306"/>
  </r>
  <r>
    <x v="170"/>
  </r>
  <r>
    <x v="170"/>
  </r>
  <r>
    <x v="170"/>
  </r>
  <r>
    <x v="170"/>
  </r>
  <r>
    <x v="170"/>
  </r>
  <r>
    <x v="170"/>
  </r>
  <r>
    <x v="307"/>
  </r>
  <r>
    <x v="307"/>
  </r>
  <r>
    <x v="307"/>
  </r>
  <r>
    <x v="307"/>
  </r>
  <r>
    <x v="307"/>
  </r>
  <r>
    <x v="307"/>
  </r>
  <r>
    <x v="134"/>
  </r>
  <r>
    <x v="134"/>
  </r>
  <r>
    <x v="134"/>
  </r>
  <r>
    <x v="165"/>
  </r>
  <r>
    <x v="165"/>
  </r>
  <r>
    <x v="165"/>
  </r>
  <r>
    <x v="165"/>
  </r>
  <r>
    <x v="165"/>
  </r>
  <r>
    <x v="165"/>
  </r>
  <r>
    <x v="165"/>
  </r>
  <r>
    <x v="165"/>
  </r>
  <r>
    <x v="215"/>
  </r>
  <r>
    <x v="215"/>
  </r>
  <r>
    <x v="215"/>
  </r>
  <r>
    <x v="5"/>
  </r>
  <r>
    <x v="5"/>
  </r>
  <r>
    <x v="5"/>
  </r>
  <r>
    <x v="5"/>
  </r>
  <r>
    <x v="5"/>
  </r>
  <r>
    <x v="5"/>
  </r>
  <r>
    <x v="5"/>
  </r>
  <r>
    <x v="5"/>
  </r>
  <r>
    <x v="5"/>
  </r>
  <r>
    <x v="5"/>
  </r>
  <r>
    <x v="5"/>
  </r>
  <r>
    <x v="180"/>
  </r>
  <r>
    <x v="180"/>
  </r>
  <r>
    <x v="180"/>
  </r>
  <r>
    <x v="180"/>
  </r>
  <r>
    <x v="180"/>
  </r>
  <r>
    <x v="180"/>
  </r>
  <r>
    <x v="180"/>
  </r>
  <r>
    <x v="180"/>
  </r>
  <r>
    <x v="297"/>
  </r>
  <r>
    <x v="297"/>
  </r>
  <r>
    <x v="297"/>
  </r>
  <r>
    <x v="297"/>
  </r>
  <r>
    <x v="297"/>
  </r>
  <r>
    <x v="297"/>
  </r>
  <r>
    <x v="297"/>
  </r>
  <r>
    <x v="297"/>
  </r>
  <r>
    <x v="297"/>
  </r>
  <r>
    <x v="203"/>
  </r>
  <r>
    <x v="203"/>
  </r>
  <r>
    <x v="203"/>
  </r>
  <r>
    <x v="203"/>
  </r>
  <r>
    <x v="203"/>
  </r>
  <r>
    <x v="7"/>
  </r>
  <r>
    <x v="7"/>
  </r>
  <r>
    <x v="7"/>
  </r>
  <r>
    <x v="7"/>
  </r>
  <r>
    <x v="7"/>
  </r>
  <r>
    <x v="7"/>
  </r>
  <r>
    <x v="7"/>
  </r>
  <r>
    <x v="3"/>
  </r>
  <r>
    <x v="3"/>
  </r>
  <r>
    <x v="3"/>
  </r>
  <r>
    <x v="217"/>
  </r>
  <r>
    <x v="217"/>
  </r>
  <r>
    <x v="217"/>
  </r>
  <r>
    <x v="217"/>
  </r>
  <r>
    <x v="217"/>
  </r>
  <r>
    <x v="217"/>
  </r>
  <r>
    <x v="3"/>
  </r>
  <r>
    <x v="3"/>
  </r>
  <r>
    <x v="3"/>
  </r>
  <r>
    <x v="3"/>
  </r>
  <r>
    <x v="180"/>
  </r>
  <r>
    <x v="180"/>
  </r>
  <r>
    <x v="180"/>
  </r>
  <r>
    <x v="180"/>
  </r>
  <r>
    <x v="180"/>
  </r>
  <r>
    <x v="7"/>
  </r>
  <r>
    <x v="7"/>
  </r>
  <r>
    <x v="7"/>
  </r>
  <r>
    <x v="7"/>
  </r>
  <r>
    <x v="7"/>
  </r>
  <r>
    <x v="7"/>
  </r>
  <r>
    <x v="7"/>
  </r>
  <r>
    <x v="7"/>
  </r>
  <r>
    <x v="7"/>
  </r>
  <r>
    <x v="7"/>
  </r>
  <r>
    <x v="7"/>
  </r>
  <r>
    <x v="180"/>
  </r>
  <r>
    <x v="180"/>
  </r>
  <r>
    <x v="180"/>
  </r>
  <r>
    <x v="180"/>
  </r>
  <r>
    <x v="180"/>
  </r>
  <r>
    <x v="180"/>
  </r>
  <r>
    <x v="180"/>
  </r>
  <r>
    <x v="308"/>
  </r>
  <r>
    <x v="308"/>
  </r>
  <r>
    <x v="308"/>
  </r>
  <r>
    <x v="308"/>
  </r>
  <r>
    <x v="308"/>
  </r>
  <r>
    <x v="180"/>
  </r>
  <r>
    <x v="180"/>
  </r>
  <r>
    <x v="180"/>
  </r>
  <r>
    <x v="180"/>
  </r>
  <r>
    <x v="180"/>
  </r>
  <r>
    <x v="180"/>
  </r>
  <r>
    <x v="180"/>
  </r>
  <r>
    <x v="180"/>
  </r>
  <r>
    <x v="180"/>
  </r>
  <r>
    <x v="180"/>
  </r>
  <r>
    <x v="180"/>
  </r>
  <r>
    <x v="180"/>
  </r>
  <r>
    <x v="180"/>
  </r>
  <r>
    <x v="180"/>
  </r>
  <r>
    <x v="180"/>
  </r>
  <r>
    <x v="180"/>
  </r>
  <r>
    <x v="180"/>
  </r>
  <r>
    <x v="180"/>
  </r>
  <r>
    <x v="58"/>
  </r>
  <r>
    <x v="58"/>
  </r>
  <r>
    <x v="58"/>
  </r>
  <r>
    <x v="58"/>
  </r>
  <r>
    <x v="58"/>
  </r>
  <r>
    <x v="58"/>
  </r>
  <r>
    <x v="58"/>
  </r>
  <r>
    <x v="58"/>
  </r>
  <r>
    <x v="58"/>
  </r>
  <r>
    <x v="134"/>
  </r>
  <r>
    <x v="134"/>
  </r>
  <r>
    <x v="134"/>
  </r>
  <r>
    <x v="134"/>
  </r>
  <r>
    <x v="134"/>
  </r>
  <r>
    <x v="134"/>
  </r>
  <r>
    <x v="134"/>
  </r>
  <r>
    <x v="243"/>
  </r>
  <r>
    <x v="243"/>
  </r>
  <r>
    <x v="243"/>
  </r>
  <r>
    <x v="243"/>
  </r>
  <r>
    <x v="243"/>
  </r>
  <r>
    <x v="243"/>
  </r>
  <r>
    <x v="243"/>
  </r>
  <r>
    <x v="243"/>
  </r>
  <r>
    <x v="243"/>
  </r>
  <r>
    <x v="243"/>
  </r>
  <r>
    <x v="243"/>
  </r>
  <r>
    <x v="243"/>
  </r>
  <r>
    <x v="243"/>
  </r>
  <r>
    <x v="243"/>
  </r>
  <r>
    <x v="243"/>
  </r>
  <r>
    <x v="243"/>
  </r>
  <r>
    <x v="309"/>
  </r>
  <r>
    <x v="309"/>
  </r>
  <r>
    <x v="309"/>
  </r>
  <r>
    <x v="309"/>
  </r>
  <r>
    <x v="309"/>
  </r>
  <r>
    <x v="46"/>
  </r>
  <r>
    <x v="46"/>
  </r>
  <r>
    <x v="46"/>
  </r>
  <r>
    <x v="46"/>
  </r>
  <r>
    <x v="46"/>
  </r>
  <r>
    <x v="46"/>
  </r>
  <r>
    <x v="180"/>
  </r>
  <r>
    <x v="180"/>
  </r>
  <r>
    <x v="180"/>
  </r>
  <r>
    <x v="180"/>
  </r>
  <r>
    <x v="180"/>
  </r>
  <r>
    <x v="180"/>
  </r>
  <r>
    <x v="180"/>
  </r>
  <r>
    <x v="180"/>
  </r>
  <r>
    <x v="180"/>
  </r>
  <r>
    <x v="180"/>
  </r>
  <r>
    <x v="180"/>
  </r>
  <r>
    <x v="180"/>
  </r>
  <r>
    <x v="180"/>
  </r>
  <r>
    <x v="180"/>
  </r>
  <r>
    <x v="180"/>
  </r>
  <r>
    <x v="180"/>
  </r>
  <r>
    <x v="180"/>
  </r>
  <r>
    <x v="180"/>
  </r>
  <r>
    <x v="180"/>
  </r>
  <r>
    <x v="180"/>
  </r>
  <r>
    <x v="7"/>
  </r>
  <r>
    <x v="7"/>
  </r>
  <r>
    <x v="7"/>
  </r>
  <r>
    <x v="7"/>
  </r>
  <r>
    <x v="7"/>
  </r>
  <r>
    <x v="7"/>
  </r>
  <r>
    <x v="310"/>
  </r>
  <r>
    <x v="310"/>
  </r>
  <r>
    <x v="310"/>
  </r>
  <r>
    <x v="310"/>
  </r>
  <r>
    <x v="310"/>
  </r>
  <r>
    <x v="310"/>
  </r>
  <r>
    <x v="310"/>
  </r>
  <r>
    <x v="310"/>
  </r>
  <r>
    <x v="310"/>
  </r>
  <r>
    <x v="289"/>
  </r>
  <r>
    <x v="289"/>
  </r>
  <r>
    <x v="289"/>
  </r>
  <r>
    <x v="289"/>
  </r>
  <r>
    <x v="289"/>
  </r>
  <r>
    <x v="7"/>
  </r>
  <r>
    <x v="7"/>
  </r>
  <r>
    <x v="7"/>
  </r>
  <r>
    <x v="7"/>
  </r>
  <r>
    <x v="7"/>
  </r>
  <r>
    <x v="7"/>
  </r>
  <r>
    <x v="7"/>
  </r>
  <r>
    <x v="7"/>
  </r>
  <r>
    <x v="7"/>
  </r>
  <r>
    <x v="115"/>
  </r>
  <r>
    <x v="115"/>
  </r>
  <r>
    <x v="115"/>
  </r>
  <r>
    <x v="115"/>
  </r>
  <r>
    <x v="115"/>
  </r>
  <r>
    <x v="77"/>
  </r>
  <r>
    <x v="77"/>
  </r>
  <r>
    <x v="77"/>
  </r>
  <r>
    <x v="77"/>
  </r>
  <r>
    <x v="77"/>
  </r>
  <r>
    <x v="77"/>
  </r>
  <r>
    <x v="77"/>
  </r>
  <r>
    <x v="77"/>
  </r>
  <r>
    <x v="77"/>
  </r>
  <r>
    <x v="77"/>
  </r>
  <r>
    <x v="77"/>
  </r>
  <r>
    <x v="60"/>
  </r>
  <r>
    <x v="60"/>
  </r>
  <r>
    <x v="60"/>
  </r>
  <r>
    <x v="311"/>
  </r>
  <r>
    <x v="311"/>
  </r>
  <r>
    <x v="311"/>
  </r>
  <r>
    <x v="311"/>
  </r>
  <r>
    <x v="311"/>
  </r>
  <r>
    <x v="311"/>
  </r>
  <r>
    <x v="311"/>
  </r>
  <r>
    <x v="311"/>
  </r>
  <r>
    <x v="311"/>
  </r>
  <r>
    <x v="311"/>
  </r>
  <r>
    <x v="311"/>
  </r>
  <r>
    <x v="3"/>
  </r>
  <r>
    <x v="3"/>
  </r>
  <r>
    <x v="3"/>
  </r>
  <r>
    <x v="312"/>
  </r>
  <r>
    <x v="312"/>
  </r>
  <r>
    <x v="312"/>
  </r>
  <r>
    <x v="312"/>
  </r>
  <r>
    <x v="217"/>
  </r>
  <r>
    <x v="217"/>
  </r>
  <r>
    <x v="217"/>
  </r>
  <r>
    <x v="217"/>
  </r>
  <r>
    <x v="46"/>
  </r>
  <r>
    <x v="46"/>
  </r>
  <r>
    <x v="46"/>
  </r>
  <r>
    <x v="46"/>
  </r>
  <r>
    <x v="46"/>
  </r>
  <r>
    <x v="46"/>
  </r>
  <r>
    <x v="46"/>
  </r>
  <r>
    <x v="46"/>
  </r>
  <r>
    <x v="46"/>
  </r>
  <r>
    <x v="46"/>
  </r>
  <r>
    <x v="3"/>
  </r>
  <r>
    <x v="3"/>
  </r>
  <r>
    <x v="3"/>
  </r>
  <r>
    <x v="215"/>
  </r>
  <r>
    <x v="215"/>
  </r>
  <r>
    <x v="215"/>
  </r>
  <r>
    <x v="215"/>
  </r>
  <r>
    <x v="215"/>
  </r>
  <r>
    <x v="313"/>
  </r>
  <r>
    <x v="313"/>
  </r>
  <r>
    <x v="313"/>
  </r>
  <r>
    <x v="313"/>
  </r>
  <r>
    <x v="313"/>
  </r>
  <r>
    <x v="313"/>
  </r>
  <r>
    <x v="313"/>
  </r>
  <r>
    <x v="313"/>
  </r>
  <r>
    <x v="78"/>
  </r>
  <r>
    <x v="78"/>
  </r>
  <r>
    <x v="78"/>
  </r>
  <r>
    <x v="78"/>
  </r>
  <r>
    <x v="78"/>
  </r>
  <r>
    <x v="78"/>
  </r>
  <r>
    <x v="78"/>
  </r>
  <r>
    <x v="78"/>
  </r>
  <r>
    <x v="280"/>
  </r>
  <r>
    <x v="280"/>
  </r>
  <r>
    <x v="280"/>
  </r>
  <r>
    <x v="180"/>
  </r>
  <r>
    <x v="180"/>
  </r>
  <r>
    <x v="180"/>
  </r>
  <r>
    <x v="180"/>
  </r>
  <r>
    <x v="180"/>
  </r>
  <r>
    <x v="180"/>
  </r>
  <r>
    <x v="61"/>
  </r>
  <r>
    <x v="61"/>
  </r>
  <r>
    <x v="61"/>
  </r>
  <r>
    <x v="61"/>
  </r>
  <r>
    <x v="61"/>
  </r>
  <r>
    <x v="61"/>
  </r>
  <r>
    <x v="61"/>
  </r>
  <r>
    <x v="61"/>
  </r>
  <r>
    <x v="217"/>
  </r>
  <r>
    <x v="217"/>
  </r>
  <r>
    <x v="217"/>
  </r>
  <r>
    <x v="217"/>
  </r>
  <r>
    <x v="217"/>
  </r>
  <r>
    <x v="217"/>
  </r>
  <r>
    <x v="213"/>
  </r>
  <r>
    <x v="213"/>
  </r>
  <r>
    <x v="180"/>
  </r>
  <r>
    <x v="180"/>
  </r>
  <r>
    <x v="180"/>
  </r>
  <r>
    <x v="180"/>
  </r>
  <r>
    <x v="180"/>
  </r>
  <r>
    <x v="180"/>
  </r>
  <r>
    <x v="180"/>
  </r>
  <r>
    <x v="180"/>
  </r>
  <r>
    <x v="180"/>
  </r>
  <r>
    <x v="180"/>
  </r>
  <r>
    <x v="180"/>
  </r>
  <r>
    <x v="180"/>
  </r>
  <r>
    <x v="180"/>
  </r>
  <r>
    <x v="180"/>
  </r>
  <r>
    <x v="180"/>
  </r>
  <r>
    <x v="180"/>
  </r>
  <r>
    <x v="180"/>
  </r>
  <r>
    <x v="7"/>
  </r>
  <r>
    <x v="7"/>
  </r>
  <r>
    <x v="7"/>
  </r>
  <r>
    <x v="7"/>
  </r>
  <r>
    <x v="7"/>
  </r>
  <r>
    <x v="7"/>
  </r>
  <r>
    <x v="303"/>
  </r>
  <r>
    <x v="303"/>
  </r>
  <r>
    <x v="303"/>
  </r>
  <r>
    <x v="303"/>
  </r>
  <r>
    <x v="303"/>
  </r>
  <r>
    <x v="143"/>
  </r>
  <r>
    <x v="143"/>
  </r>
  <r>
    <x v="143"/>
  </r>
  <r>
    <x v="143"/>
  </r>
  <r>
    <x v="134"/>
  </r>
  <r>
    <x v="134"/>
  </r>
  <r>
    <x v="134"/>
  </r>
  <r>
    <x v="134"/>
  </r>
  <r>
    <x v="134"/>
  </r>
  <r>
    <x v="134"/>
  </r>
  <r>
    <x v="134"/>
  </r>
  <r>
    <x v="134"/>
  </r>
  <r>
    <x v="134"/>
  </r>
  <r>
    <x v="93"/>
  </r>
  <r>
    <x v="93"/>
  </r>
  <r>
    <x v="93"/>
  </r>
  <r>
    <x v="93"/>
  </r>
  <r>
    <x v="93"/>
  </r>
  <r>
    <x v="93"/>
  </r>
  <r>
    <x v="93"/>
  </r>
  <r>
    <x v="93"/>
  </r>
  <r>
    <x v="93"/>
  </r>
  <r>
    <x v="93"/>
  </r>
  <r>
    <x v="93"/>
  </r>
  <r>
    <x v="217"/>
  </r>
  <r>
    <x v="217"/>
  </r>
  <r>
    <x v="217"/>
  </r>
  <r>
    <x v="217"/>
  </r>
  <r>
    <x v="217"/>
  </r>
  <r>
    <x v="217"/>
  </r>
  <r>
    <x v="217"/>
  </r>
  <r>
    <x v="217"/>
  </r>
  <r>
    <x v="217"/>
  </r>
  <r>
    <x v="217"/>
  </r>
  <r>
    <x v="217"/>
  </r>
  <r>
    <x v="217"/>
  </r>
  <r>
    <x v="217"/>
  </r>
  <r>
    <x v="217"/>
  </r>
  <r>
    <x v="217"/>
  </r>
  <r>
    <x v="297"/>
  </r>
  <r>
    <x v="297"/>
  </r>
  <r>
    <x v="297"/>
  </r>
  <r>
    <x v="297"/>
  </r>
  <r>
    <x v="297"/>
  </r>
  <r>
    <x v="297"/>
  </r>
  <r>
    <x v="297"/>
  </r>
  <r>
    <x v="297"/>
  </r>
  <r>
    <x v="297"/>
  </r>
  <r>
    <x v="297"/>
  </r>
  <r>
    <x v="217"/>
  </r>
  <r>
    <x v="217"/>
  </r>
  <r>
    <x v="217"/>
  </r>
  <r>
    <x v="217"/>
  </r>
  <r>
    <x v="217"/>
  </r>
  <r>
    <x v="217"/>
  </r>
  <r>
    <x v="217"/>
  </r>
  <r>
    <x v="217"/>
  </r>
  <r>
    <x v="146"/>
  </r>
  <r>
    <x v="146"/>
  </r>
  <r>
    <x v="146"/>
  </r>
  <r>
    <x v="146"/>
  </r>
  <r>
    <x v="146"/>
  </r>
  <r>
    <x v="146"/>
  </r>
  <r>
    <x v="146"/>
  </r>
  <r>
    <x v="146"/>
  </r>
  <r>
    <x v="146"/>
  </r>
  <r>
    <x v="146"/>
  </r>
  <r>
    <x v="146"/>
  </r>
  <r>
    <x v="146"/>
  </r>
  <r>
    <x v="146"/>
  </r>
  <r>
    <x v="146"/>
  </r>
  <r>
    <x v="146"/>
  </r>
  <r>
    <x v="146"/>
  </r>
  <r>
    <x v="146"/>
  </r>
  <r>
    <x v="146"/>
  </r>
  <r>
    <x v="146"/>
  </r>
  <r>
    <x v="146"/>
  </r>
  <r>
    <x v="146"/>
  </r>
  <r>
    <x v="146"/>
  </r>
  <r>
    <x v="146"/>
  </r>
  <r>
    <x v="146"/>
  </r>
  <r>
    <x v="146"/>
  </r>
  <r>
    <x v="146"/>
  </r>
  <r>
    <x v="146"/>
  </r>
  <r>
    <x v="217"/>
  </r>
  <r>
    <x v="217"/>
  </r>
  <r>
    <x v="217"/>
  </r>
  <r>
    <x v="217"/>
  </r>
  <r>
    <x v="314"/>
  </r>
  <r>
    <x v="314"/>
  </r>
  <r>
    <x v="314"/>
  </r>
  <r>
    <x v="314"/>
  </r>
  <r>
    <x v="314"/>
  </r>
  <r>
    <x v="314"/>
  </r>
  <r>
    <x v="315"/>
  </r>
  <r>
    <x v="315"/>
  </r>
  <r>
    <x v="315"/>
  </r>
  <r>
    <x v="315"/>
  </r>
  <r>
    <x v="315"/>
  </r>
  <r>
    <x v="315"/>
  </r>
  <r>
    <x v="315"/>
  </r>
  <r>
    <x v="315"/>
  </r>
  <r>
    <x v="46"/>
  </r>
  <r>
    <x v="46"/>
  </r>
  <r>
    <x v="46"/>
  </r>
  <r>
    <x v="46"/>
  </r>
  <r>
    <x v="180"/>
  </r>
  <r>
    <x v="180"/>
  </r>
  <r>
    <x v="180"/>
  </r>
  <r>
    <x v="180"/>
  </r>
  <r>
    <x v="19"/>
  </r>
  <r>
    <x v="19"/>
  </r>
  <r>
    <x v="19"/>
  </r>
  <r>
    <x v="19"/>
  </r>
  <r>
    <x v="19"/>
  </r>
  <r>
    <x v="19"/>
  </r>
  <r>
    <x v="223"/>
  </r>
  <r>
    <x v="223"/>
  </r>
  <r>
    <x v="223"/>
  </r>
  <r>
    <x v="223"/>
  </r>
  <r>
    <x v="223"/>
  </r>
  <r>
    <x v="223"/>
  </r>
  <r>
    <x v="223"/>
  </r>
  <r>
    <x v="223"/>
  </r>
  <r>
    <x v="223"/>
  </r>
  <r>
    <x v="223"/>
  </r>
  <r>
    <x v="223"/>
  </r>
  <r>
    <x v="291"/>
  </r>
  <r>
    <x v="291"/>
  </r>
  <r>
    <x v="291"/>
  </r>
  <r>
    <x v="291"/>
  </r>
  <r>
    <x v="291"/>
  </r>
  <r>
    <x v="291"/>
  </r>
  <r>
    <x v="291"/>
  </r>
  <r>
    <x v="217"/>
  </r>
  <r>
    <x v="217"/>
  </r>
  <r>
    <x v="217"/>
  </r>
  <r>
    <x v="217"/>
  </r>
  <r>
    <x v="3"/>
  </r>
  <r>
    <x v="3"/>
  </r>
  <r>
    <x v="3"/>
  </r>
  <r>
    <x v="3"/>
  </r>
  <r>
    <x v="3"/>
  </r>
  <r>
    <x v="3"/>
  </r>
  <r>
    <x v="3"/>
  </r>
  <r>
    <x v="3"/>
  </r>
  <r>
    <x v="3"/>
  </r>
  <r>
    <x v="3"/>
  </r>
  <r>
    <x v="3"/>
  </r>
  <r>
    <x v="3"/>
  </r>
  <r>
    <x v="3"/>
  </r>
  <r>
    <x v="3"/>
  </r>
  <r>
    <x v="3"/>
  </r>
  <r>
    <x v="3"/>
  </r>
  <r>
    <x v="3"/>
  </r>
  <r>
    <x v="220"/>
  </r>
  <r>
    <x v="220"/>
  </r>
  <r>
    <x v="220"/>
  </r>
  <r>
    <x v="220"/>
  </r>
  <r>
    <x v="220"/>
  </r>
  <r>
    <x v="220"/>
  </r>
  <r>
    <x v="195"/>
  </r>
  <r>
    <x v="195"/>
  </r>
  <r>
    <x v="195"/>
  </r>
  <r>
    <x v="195"/>
  </r>
  <r>
    <x v="195"/>
  </r>
  <r>
    <x v="195"/>
  </r>
  <r>
    <x v="298"/>
  </r>
  <r>
    <x v="298"/>
  </r>
  <r>
    <x v="298"/>
  </r>
  <r>
    <x v="298"/>
  </r>
  <r>
    <x v="298"/>
  </r>
  <r>
    <x v="298"/>
  </r>
  <r>
    <x v="298"/>
  </r>
  <r>
    <x v="298"/>
  </r>
  <r>
    <x v="298"/>
  </r>
  <r>
    <x v="195"/>
  </r>
  <r>
    <x v="195"/>
  </r>
  <r>
    <x v="195"/>
  </r>
  <r>
    <x v="195"/>
  </r>
  <r>
    <x v="195"/>
  </r>
  <r>
    <x v="195"/>
  </r>
  <r>
    <x v="195"/>
  </r>
  <r>
    <x v="195"/>
  </r>
  <r>
    <x v="316"/>
  </r>
  <r>
    <x v="316"/>
  </r>
  <r>
    <x v="316"/>
  </r>
  <r>
    <x v="316"/>
  </r>
  <r>
    <x v="316"/>
  </r>
  <r>
    <x v="316"/>
  </r>
  <r>
    <x v="316"/>
  </r>
  <r>
    <x v="317"/>
  </r>
  <r>
    <x v="317"/>
  </r>
  <r>
    <x v="317"/>
  </r>
  <r>
    <x v="317"/>
  </r>
  <r>
    <x v="317"/>
  </r>
  <r>
    <x v="317"/>
  </r>
  <r>
    <x v="317"/>
  </r>
  <r>
    <x v="317"/>
  </r>
  <r>
    <x v="85"/>
  </r>
  <r>
    <x v="85"/>
  </r>
  <r>
    <x v="85"/>
  </r>
  <r>
    <x v="85"/>
  </r>
  <r>
    <x v="85"/>
  </r>
  <r>
    <x v="85"/>
  </r>
  <r>
    <x v="318"/>
  </r>
  <r>
    <x v="318"/>
  </r>
  <r>
    <x v="318"/>
  </r>
  <r>
    <x v="318"/>
  </r>
  <r>
    <x v="318"/>
  </r>
  <r>
    <x v="318"/>
  </r>
  <r>
    <x v="318"/>
  </r>
  <r>
    <x v="318"/>
  </r>
  <r>
    <x v="318"/>
  </r>
  <r>
    <x v="318"/>
  </r>
  <r>
    <x v="318"/>
  </r>
  <r>
    <x v="197"/>
  </r>
  <r>
    <x v="197"/>
  </r>
  <r>
    <x v="197"/>
  </r>
  <r>
    <x v="197"/>
  </r>
  <r>
    <x v="197"/>
  </r>
  <r>
    <x v="197"/>
  </r>
  <r>
    <x v="197"/>
  </r>
  <r>
    <x v="197"/>
  </r>
  <r>
    <x v="107"/>
  </r>
  <r>
    <x v="107"/>
  </r>
  <r>
    <x v="107"/>
  </r>
  <r>
    <x v="107"/>
  </r>
  <r>
    <x v="107"/>
  </r>
  <r>
    <x v="107"/>
  </r>
  <r>
    <x v="107"/>
  </r>
  <r>
    <x v="107"/>
  </r>
  <r>
    <x v="107"/>
  </r>
  <r>
    <x v="107"/>
  </r>
  <r>
    <x v="107"/>
  </r>
  <r>
    <x v="107"/>
  </r>
  <r>
    <x v="107"/>
  </r>
  <r>
    <x v="107"/>
  </r>
  <r>
    <x v="107"/>
  </r>
  <r>
    <x v="107"/>
  </r>
  <r>
    <x v="107"/>
  </r>
  <r>
    <x v="107"/>
  </r>
  <r>
    <x v="107"/>
  </r>
  <r>
    <x v="107"/>
  </r>
  <r>
    <x v="217"/>
  </r>
  <r>
    <x v="217"/>
  </r>
  <r>
    <x v="217"/>
  </r>
  <r>
    <x v="217"/>
  </r>
  <r>
    <x v="217"/>
  </r>
  <r>
    <x v="217"/>
  </r>
  <r>
    <x v="217"/>
  </r>
  <r>
    <x v="217"/>
  </r>
  <r>
    <x v="217"/>
  </r>
  <r>
    <x v="217"/>
  </r>
  <r>
    <x v="217"/>
  </r>
  <r>
    <x v="217"/>
  </r>
  <r>
    <x v="217"/>
  </r>
  <r>
    <x v="217"/>
  </r>
  <r>
    <x v="217"/>
  </r>
  <r>
    <x v="217"/>
  </r>
  <r>
    <x v="217"/>
  </r>
  <r>
    <x v="217"/>
  </r>
  <r>
    <x v="217"/>
  </r>
  <r>
    <x v="278"/>
  </r>
  <r>
    <x v="278"/>
  </r>
  <r>
    <x v="278"/>
  </r>
  <r>
    <x v="278"/>
  </r>
  <r>
    <x v="278"/>
  </r>
  <r>
    <x v="278"/>
  </r>
  <r>
    <x v="278"/>
  </r>
  <r>
    <x v="215"/>
  </r>
  <r>
    <x v="215"/>
  </r>
  <r>
    <x v="215"/>
  </r>
  <r>
    <x v="215"/>
  </r>
  <r>
    <x v="215"/>
  </r>
  <r>
    <x v="278"/>
  </r>
  <r>
    <x v="278"/>
  </r>
  <r>
    <x v="278"/>
  </r>
  <r>
    <x v="278"/>
  </r>
  <r>
    <x v="278"/>
  </r>
  <r>
    <x v="278"/>
  </r>
  <r>
    <x v="278"/>
  </r>
  <r>
    <x v="278"/>
  </r>
  <r>
    <x v="278"/>
  </r>
  <r>
    <x v="278"/>
  </r>
  <r>
    <x v="278"/>
  </r>
  <r>
    <x v="278"/>
  </r>
  <r>
    <x v="217"/>
  </r>
  <r>
    <x v="217"/>
  </r>
  <r>
    <x v="217"/>
  </r>
  <r>
    <x v="217"/>
  </r>
  <r>
    <x v="217"/>
  </r>
  <r>
    <x v="66"/>
  </r>
  <r>
    <x v="66"/>
  </r>
  <r>
    <x v="66"/>
  </r>
  <r>
    <x v="66"/>
  </r>
  <r>
    <x v="66"/>
  </r>
  <r>
    <x v="66"/>
  </r>
  <r>
    <x v="66"/>
  </r>
  <r>
    <x v="13"/>
  </r>
  <r>
    <x v="13"/>
  </r>
  <r>
    <x v="13"/>
  </r>
  <r>
    <x v="13"/>
  </r>
  <r>
    <x v="13"/>
  </r>
  <r>
    <x v="13"/>
  </r>
  <r>
    <x v="13"/>
  </r>
  <r>
    <x v="215"/>
  </r>
  <r>
    <x v="215"/>
  </r>
  <r>
    <x v="215"/>
  </r>
  <r>
    <x v="215"/>
  </r>
  <r>
    <x v="215"/>
  </r>
  <r>
    <x v="215"/>
  </r>
  <r>
    <x v="215"/>
  </r>
  <r>
    <x v="58"/>
  </r>
  <r>
    <x v="58"/>
  </r>
  <r>
    <x v="58"/>
  </r>
  <r>
    <x v="58"/>
  </r>
  <r>
    <x v="58"/>
  </r>
  <r>
    <x v="58"/>
  </r>
  <r>
    <x v="58"/>
  </r>
  <r>
    <x v="58"/>
  </r>
  <r>
    <x v="58"/>
  </r>
  <r>
    <x v="134"/>
  </r>
  <r>
    <x v="134"/>
  </r>
  <r>
    <x v="134"/>
  </r>
  <r>
    <x v="134"/>
  </r>
  <r>
    <x v="134"/>
  </r>
  <r>
    <x v="220"/>
  </r>
  <r>
    <x v="220"/>
  </r>
  <r>
    <x v="220"/>
  </r>
  <r>
    <x v="158"/>
  </r>
  <r>
    <x v="158"/>
  </r>
  <r>
    <x v="158"/>
  </r>
  <r>
    <x v="158"/>
  </r>
  <r>
    <x v="158"/>
  </r>
  <r>
    <x v="319"/>
  </r>
  <r>
    <x v="67"/>
  </r>
  <r>
    <x v="67"/>
  </r>
  <r>
    <x v="67"/>
  </r>
  <r>
    <x v="67"/>
  </r>
  <r>
    <x v="67"/>
  </r>
  <r>
    <x v="67"/>
  </r>
  <r>
    <x v="67"/>
  </r>
  <r>
    <x v="67"/>
  </r>
  <r>
    <x v="67"/>
  </r>
  <r>
    <x v="21"/>
  </r>
  <r>
    <x v="21"/>
  </r>
  <r>
    <x v="21"/>
  </r>
  <r>
    <x v="21"/>
  </r>
  <r>
    <x v="21"/>
  </r>
  <r>
    <x v="21"/>
  </r>
  <r>
    <x v="21"/>
  </r>
  <r>
    <x v="21"/>
  </r>
  <r>
    <x v="21"/>
  </r>
  <r>
    <x v="243"/>
  </r>
  <r>
    <x v="243"/>
  </r>
  <r>
    <x v="243"/>
  </r>
  <r>
    <x v="243"/>
  </r>
  <r>
    <x v="243"/>
  </r>
  <r>
    <x v="243"/>
  </r>
  <r>
    <x v="280"/>
  </r>
  <r>
    <x v="280"/>
  </r>
  <r>
    <x v="280"/>
  </r>
  <r>
    <x v="280"/>
  </r>
  <r>
    <x v="217"/>
  </r>
  <r>
    <x v="217"/>
  </r>
  <r>
    <x v="217"/>
  </r>
  <r>
    <x v="217"/>
  </r>
  <r>
    <x v="217"/>
  </r>
  <r>
    <x v="217"/>
  </r>
  <r>
    <x v="217"/>
  </r>
  <r>
    <x v="217"/>
  </r>
  <r>
    <x v="320"/>
  </r>
  <r>
    <x v="320"/>
  </r>
  <r>
    <x v="320"/>
  </r>
  <r>
    <x v="320"/>
  </r>
  <r>
    <x v="180"/>
  </r>
  <r>
    <x v="180"/>
  </r>
  <r>
    <x v="180"/>
  </r>
  <r>
    <x v="180"/>
  </r>
  <r>
    <x v="180"/>
  </r>
  <r>
    <x v="180"/>
  </r>
  <r>
    <x v="180"/>
  </r>
  <r>
    <x v="180"/>
  </r>
  <r>
    <x v="180"/>
  </r>
  <r>
    <x v="180"/>
  </r>
  <r>
    <x v="180"/>
  </r>
  <r>
    <x v="180"/>
  </r>
  <r>
    <x v="180"/>
  </r>
  <r>
    <x v="180"/>
  </r>
  <r>
    <x v="180"/>
  </r>
  <r>
    <x v="135"/>
  </r>
  <r>
    <x v="135"/>
  </r>
  <r>
    <x v="135"/>
  </r>
  <r>
    <x v="135"/>
  </r>
  <r>
    <x v="135"/>
  </r>
  <r>
    <x v="135"/>
  </r>
  <r>
    <x v="135"/>
  </r>
  <r>
    <x v="135"/>
  </r>
  <r>
    <x v="135"/>
  </r>
  <r>
    <x v="135"/>
  </r>
  <r>
    <x v="135"/>
  </r>
  <r>
    <x v="135"/>
  </r>
  <r>
    <x v="180"/>
  </r>
  <r>
    <x v="180"/>
  </r>
  <r>
    <x v="180"/>
  </r>
  <r>
    <x v="180"/>
  </r>
  <r>
    <x v="321"/>
  </r>
  <r>
    <x v="321"/>
  </r>
  <r>
    <x v="321"/>
  </r>
  <r>
    <x v="321"/>
  </r>
  <r>
    <x v="321"/>
  </r>
  <r>
    <x v="321"/>
  </r>
  <r>
    <x v="321"/>
  </r>
  <r>
    <x v="321"/>
  </r>
  <r>
    <x v="321"/>
  </r>
  <r>
    <x v="321"/>
  </r>
  <r>
    <x v="322"/>
  </r>
  <r>
    <x v="322"/>
  </r>
  <r>
    <x v="322"/>
  </r>
  <r>
    <x v="322"/>
  </r>
  <r>
    <x v="322"/>
  </r>
  <r>
    <x v="278"/>
  </r>
  <r>
    <x v="278"/>
  </r>
  <r>
    <x v="278"/>
  </r>
  <r>
    <x v="278"/>
  </r>
  <r>
    <x v="278"/>
  </r>
  <r>
    <x v="278"/>
  </r>
  <r>
    <x v="278"/>
  </r>
  <r>
    <x v="278"/>
  </r>
  <r>
    <x v="217"/>
  </r>
  <r>
    <x v="217"/>
  </r>
  <r>
    <x v="217"/>
  </r>
  <r>
    <x v="217"/>
  </r>
  <r>
    <x v="217"/>
  </r>
  <r>
    <x v="217"/>
  </r>
  <r>
    <x v="217"/>
  </r>
  <r>
    <x v="217"/>
  </r>
  <r>
    <x v="217"/>
  </r>
  <r>
    <x v="217"/>
  </r>
  <r>
    <x v="217"/>
  </r>
  <r>
    <x v="146"/>
  </r>
  <r>
    <x v="146"/>
  </r>
  <r>
    <x v="146"/>
  </r>
  <r>
    <x v="146"/>
  </r>
  <r>
    <x v="146"/>
  </r>
  <r>
    <x v="146"/>
  </r>
  <r>
    <x v="146"/>
  </r>
  <r>
    <x v="323"/>
  </r>
  <r>
    <x v="323"/>
  </r>
  <r>
    <x v="323"/>
  </r>
  <r>
    <x v="323"/>
  </r>
  <r>
    <x v="323"/>
  </r>
  <r>
    <x v="323"/>
  </r>
  <r>
    <x v="323"/>
  </r>
  <r>
    <x v="323"/>
  </r>
  <r>
    <x v="323"/>
  </r>
  <r>
    <x v="323"/>
  </r>
  <r>
    <x v="323"/>
  </r>
  <r>
    <x v="323"/>
  </r>
  <r>
    <x v="323"/>
  </r>
  <r>
    <x v="323"/>
  </r>
  <r>
    <x v="324"/>
  </r>
  <r>
    <x v="324"/>
  </r>
  <r>
    <x v="324"/>
  </r>
  <r>
    <x v="324"/>
  </r>
  <r>
    <x v="324"/>
  </r>
  <r>
    <x v="23"/>
  </r>
  <r>
    <x v="23"/>
  </r>
  <r>
    <x v="23"/>
  </r>
  <r>
    <x v="23"/>
  </r>
  <r>
    <x v="304"/>
  </r>
  <r>
    <x v="304"/>
  </r>
  <r>
    <x v="304"/>
  </r>
  <r>
    <x v="304"/>
  </r>
  <r>
    <x v="304"/>
  </r>
  <r>
    <x v="304"/>
  </r>
  <r>
    <x v="304"/>
  </r>
  <r>
    <x v="160"/>
  </r>
  <r>
    <x v="160"/>
  </r>
  <r>
    <x v="160"/>
  </r>
  <r>
    <x v="195"/>
  </r>
  <r>
    <x v="195"/>
  </r>
  <r>
    <x v="195"/>
  </r>
  <r>
    <x v="195"/>
  </r>
  <r>
    <x v="195"/>
  </r>
  <r>
    <x v="180"/>
  </r>
  <r>
    <x v="180"/>
  </r>
  <r>
    <x v="180"/>
  </r>
  <r>
    <x v="180"/>
  </r>
  <r>
    <x v="180"/>
  </r>
  <r>
    <x v="146"/>
  </r>
  <r>
    <x v="146"/>
  </r>
  <r>
    <x v="146"/>
  </r>
  <r>
    <x v="146"/>
  </r>
  <r>
    <x v="146"/>
  </r>
  <r>
    <x v="146"/>
  </r>
  <r>
    <x v="146"/>
  </r>
  <r>
    <x v="146"/>
  </r>
  <r>
    <x v="146"/>
  </r>
  <r>
    <x v="146"/>
  </r>
  <r>
    <x v="278"/>
  </r>
  <r>
    <x v="278"/>
  </r>
  <r>
    <x v="278"/>
  </r>
  <r>
    <x v="278"/>
  </r>
  <r>
    <x v="278"/>
  </r>
  <r>
    <x v="278"/>
  </r>
  <r>
    <x v="278"/>
  </r>
  <r>
    <x v="278"/>
  </r>
  <r>
    <x v="278"/>
  </r>
  <r>
    <x v="278"/>
  </r>
  <r>
    <x v="2"/>
  </r>
  <r>
    <x v="2"/>
  </r>
  <r>
    <x v="2"/>
  </r>
  <r>
    <x v="2"/>
  </r>
  <r>
    <x v="2"/>
  </r>
  <r>
    <x v="2"/>
  </r>
  <r>
    <x v="180"/>
  </r>
  <r>
    <x v="180"/>
  </r>
  <r>
    <x v="180"/>
  </r>
  <r>
    <x v="180"/>
  </r>
  <r>
    <x v="180"/>
  </r>
  <r>
    <x v="180"/>
  </r>
  <r>
    <x v="180"/>
  </r>
  <r>
    <x v="180"/>
  </r>
  <r>
    <x v="180"/>
  </r>
  <r>
    <x v="325"/>
  </r>
  <r>
    <x v="325"/>
  </r>
  <r>
    <x v="325"/>
  </r>
  <r>
    <x v="325"/>
  </r>
  <r>
    <x v="325"/>
  </r>
  <r>
    <x v="325"/>
  </r>
  <r>
    <x v="3"/>
  </r>
  <r>
    <x v="3"/>
  </r>
  <r>
    <x v="3"/>
  </r>
  <r>
    <x v="3"/>
  </r>
  <r>
    <x v="3"/>
  </r>
  <r>
    <x v="303"/>
  </r>
  <r>
    <x v="303"/>
  </r>
  <r>
    <x v="303"/>
  </r>
  <r>
    <x v="303"/>
  </r>
  <r>
    <x v="303"/>
  </r>
  <r>
    <x v="303"/>
  </r>
  <r>
    <x v="303"/>
  </r>
  <r>
    <x v="291"/>
  </r>
  <r>
    <x v="291"/>
  </r>
  <r>
    <x v="291"/>
  </r>
  <r>
    <x v="291"/>
  </r>
  <r>
    <x v="291"/>
  </r>
  <r>
    <x v="291"/>
  </r>
  <r>
    <x v="291"/>
  </r>
  <r>
    <x v="291"/>
  </r>
  <r>
    <x v="291"/>
  </r>
  <r>
    <x v="278"/>
  </r>
  <r>
    <x v="278"/>
  </r>
  <r>
    <x v="278"/>
  </r>
  <r>
    <x v="278"/>
  </r>
  <r>
    <x v="278"/>
  </r>
  <r>
    <x v="278"/>
  </r>
  <r>
    <x v="278"/>
  </r>
  <r>
    <x v="278"/>
  </r>
  <r>
    <x v="278"/>
  </r>
  <r>
    <x v="278"/>
  </r>
  <r>
    <x v="278"/>
  </r>
  <r>
    <x v="278"/>
  </r>
  <r>
    <x v="278"/>
  </r>
  <r>
    <x v="326"/>
  </r>
  <r>
    <x v="326"/>
  </r>
  <r>
    <x v="326"/>
  </r>
  <r>
    <x v="326"/>
  </r>
  <r>
    <x v="326"/>
  </r>
  <r>
    <x v="326"/>
  </r>
  <r>
    <x v="327"/>
  </r>
  <r>
    <x v="327"/>
  </r>
  <r>
    <x v="327"/>
  </r>
  <r>
    <x v="327"/>
  </r>
  <r>
    <x v="327"/>
  </r>
  <r>
    <x v="327"/>
  </r>
  <r>
    <x v="291"/>
  </r>
  <r>
    <x v="291"/>
  </r>
  <r>
    <x v="291"/>
  </r>
  <r>
    <x v="291"/>
  </r>
  <r>
    <x v="291"/>
  </r>
  <r>
    <x v="291"/>
  </r>
  <r>
    <x v="291"/>
  </r>
  <r>
    <x v="328"/>
  </r>
  <r>
    <x v="328"/>
  </r>
  <r>
    <x v="328"/>
  </r>
  <r>
    <x v="328"/>
  </r>
  <r>
    <x v="328"/>
  </r>
  <r>
    <x v="107"/>
  </r>
  <r>
    <x v="107"/>
  </r>
  <r>
    <x v="107"/>
  </r>
  <r>
    <x v="107"/>
  </r>
  <r>
    <x v="107"/>
  </r>
  <r>
    <x v="107"/>
  </r>
  <r>
    <x v="107"/>
  </r>
  <r>
    <x v="107"/>
  </r>
  <r>
    <x v="107"/>
  </r>
  <r>
    <x v="107"/>
  </r>
  <r>
    <x v="180"/>
  </r>
  <r>
    <x v="180"/>
  </r>
  <r>
    <x v="180"/>
  </r>
  <r>
    <x v="180"/>
  </r>
  <r>
    <x v="180"/>
  </r>
  <r>
    <x v="180"/>
  </r>
  <r>
    <x v="329"/>
  </r>
  <r>
    <x v="329"/>
  </r>
  <r>
    <x v="329"/>
  </r>
  <r>
    <x v="329"/>
  </r>
  <r>
    <x v="329"/>
  </r>
  <r>
    <x v="330"/>
  </r>
  <r>
    <x v="330"/>
  </r>
  <r>
    <x v="330"/>
  </r>
  <r>
    <x v="330"/>
  </r>
  <r>
    <x v="330"/>
  </r>
  <r>
    <x v="330"/>
  </r>
  <r>
    <x v="330"/>
  </r>
  <r>
    <x v="330"/>
  </r>
  <r>
    <x v="244"/>
  </r>
  <r>
    <x v="244"/>
  </r>
  <r>
    <x v="244"/>
  </r>
  <r>
    <x v="244"/>
  </r>
  <r>
    <x v="244"/>
  </r>
  <r>
    <x v="244"/>
  </r>
  <r>
    <x v="244"/>
  </r>
  <r>
    <x v="244"/>
  </r>
  <r>
    <x v="244"/>
  </r>
  <r>
    <x v="244"/>
  </r>
  <r>
    <x v="331"/>
  </r>
  <r>
    <x v="331"/>
  </r>
  <r>
    <x v="331"/>
  </r>
  <r>
    <x v="331"/>
  </r>
  <r>
    <x v="331"/>
  </r>
  <r>
    <x v="331"/>
  </r>
  <r>
    <x v="331"/>
  </r>
  <r>
    <x v="331"/>
  </r>
  <r>
    <x v="331"/>
  </r>
  <r>
    <x v="331"/>
  </r>
  <r>
    <x v="331"/>
  </r>
  <r>
    <x v="331"/>
  </r>
  <r>
    <x v="332"/>
  </r>
  <r>
    <x v="332"/>
  </r>
  <r>
    <x v="332"/>
  </r>
  <r>
    <x v="78"/>
  </r>
  <r>
    <x v="78"/>
  </r>
  <r>
    <x v="78"/>
  </r>
  <r>
    <x v="78"/>
  </r>
  <r>
    <x v="78"/>
  </r>
  <r>
    <x v="78"/>
  </r>
  <r>
    <x v="78"/>
  </r>
  <r>
    <x v="268"/>
  </r>
  <r>
    <x v="268"/>
  </r>
  <r>
    <x v="268"/>
  </r>
  <r>
    <x v="268"/>
  </r>
  <r>
    <x v="268"/>
  </r>
  <r>
    <x v="268"/>
  </r>
  <r>
    <x v="244"/>
  </r>
  <r>
    <x v="244"/>
  </r>
  <r>
    <x v="244"/>
  </r>
  <r>
    <x v="180"/>
  </r>
  <r>
    <x v="180"/>
  </r>
  <r>
    <x v="180"/>
  </r>
  <r>
    <x v="180"/>
  </r>
  <r>
    <x v="180"/>
  </r>
  <r>
    <x v="180"/>
  </r>
  <r>
    <x v="332"/>
  </r>
  <r>
    <x v="332"/>
  </r>
  <r>
    <x v="332"/>
  </r>
  <r>
    <x v="332"/>
  </r>
  <r>
    <x v="332"/>
  </r>
  <r>
    <x v="134"/>
  </r>
  <r>
    <x v="134"/>
  </r>
  <r>
    <x v="309"/>
  </r>
  <r>
    <x v="309"/>
  </r>
  <r>
    <x v="309"/>
  </r>
  <r>
    <x v="333"/>
  </r>
  <r>
    <x v="333"/>
  </r>
  <r>
    <x v="333"/>
  </r>
  <r>
    <x v="333"/>
  </r>
  <r>
    <x v="333"/>
  </r>
  <r>
    <x v="333"/>
  </r>
  <r>
    <x v="333"/>
  </r>
  <r>
    <x v="333"/>
  </r>
  <r>
    <x v="2"/>
  </r>
  <r>
    <x v="2"/>
  </r>
  <r>
    <x v="2"/>
  </r>
  <r>
    <x v="2"/>
  </r>
  <r>
    <x v="287"/>
  </r>
  <r>
    <x v="287"/>
  </r>
  <r>
    <x v="287"/>
  </r>
  <r>
    <x v="287"/>
  </r>
  <r>
    <x v="287"/>
  </r>
  <r>
    <x v="287"/>
  </r>
  <r>
    <x v="287"/>
  </r>
  <r>
    <x v="287"/>
  </r>
  <r>
    <x v="287"/>
  </r>
  <r>
    <x v="287"/>
  </r>
  <r>
    <x v="287"/>
  </r>
  <r>
    <x v="115"/>
  </r>
  <r>
    <x v="115"/>
  </r>
  <r>
    <x v="115"/>
  </r>
  <r>
    <x v="115"/>
  </r>
  <r>
    <x v="115"/>
  </r>
  <r>
    <x v="180"/>
  </r>
  <r>
    <x v="180"/>
  </r>
  <r>
    <x v="180"/>
  </r>
  <r>
    <x v="180"/>
  </r>
  <r>
    <x v="180"/>
  </r>
  <r>
    <x v="180"/>
  </r>
  <r>
    <x v="180"/>
  </r>
  <r>
    <x v="180"/>
  </r>
  <r>
    <x v="180"/>
  </r>
  <r>
    <x v="180"/>
  </r>
  <r>
    <x v="146"/>
  </r>
  <r>
    <x v="146"/>
  </r>
  <r>
    <x v="146"/>
  </r>
  <r>
    <x v="146"/>
  </r>
  <r>
    <x v="146"/>
  </r>
  <r>
    <x v="146"/>
  </r>
  <r>
    <x v="146"/>
  </r>
  <r>
    <x v="146"/>
  </r>
  <r>
    <x v="334"/>
  </r>
  <r>
    <x v="334"/>
  </r>
  <r>
    <x v="334"/>
  </r>
  <r>
    <x v="334"/>
  </r>
  <r>
    <x v="334"/>
  </r>
  <r>
    <x v="334"/>
  </r>
  <r>
    <x v="334"/>
  </r>
  <r>
    <x v="334"/>
  </r>
  <r>
    <x v="220"/>
  </r>
  <r>
    <x v="220"/>
  </r>
  <r>
    <x v="220"/>
  </r>
  <r>
    <x v="220"/>
  </r>
  <r>
    <x v="203"/>
  </r>
  <r>
    <x v="203"/>
  </r>
  <r>
    <x v="203"/>
  </r>
  <r>
    <x v="203"/>
  </r>
  <r>
    <x v="203"/>
  </r>
  <r>
    <x v="203"/>
  </r>
  <r>
    <x v="180"/>
  </r>
  <r>
    <x v="180"/>
  </r>
  <r>
    <x v="180"/>
  </r>
  <r>
    <x v="180"/>
  </r>
  <r>
    <x v="180"/>
  </r>
  <r>
    <x v="180"/>
  </r>
  <r>
    <x v="180"/>
  </r>
  <r>
    <x v="180"/>
  </r>
  <r>
    <x v="180"/>
  </r>
  <r>
    <x v="281"/>
  </r>
  <r>
    <x v="281"/>
  </r>
  <r>
    <x v="281"/>
  </r>
  <r>
    <x v="281"/>
  </r>
  <r>
    <x v="281"/>
  </r>
  <r>
    <x v="281"/>
  </r>
  <r>
    <x v="46"/>
  </r>
  <r>
    <x v="46"/>
  </r>
  <r>
    <x v="46"/>
  </r>
  <r>
    <x v="46"/>
  </r>
  <r>
    <x v="46"/>
  </r>
  <r>
    <x v="46"/>
  </r>
  <r>
    <x v="2"/>
  </r>
  <r>
    <x v="2"/>
  </r>
  <r>
    <x v="2"/>
  </r>
  <r>
    <x v="2"/>
  </r>
  <r>
    <x v="2"/>
  </r>
  <r>
    <x v="2"/>
  </r>
  <r>
    <x v="2"/>
  </r>
  <r>
    <x v="2"/>
  </r>
  <r>
    <x v="2"/>
  </r>
  <r>
    <x v="2"/>
  </r>
  <r>
    <x v="332"/>
  </r>
  <r>
    <x v="332"/>
  </r>
  <r>
    <x v="332"/>
  </r>
  <r>
    <x v="332"/>
  </r>
  <r>
    <x v="332"/>
  </r>
  <r>
    <x v="332"/>
  </r>
  <r>
    <x v="332"/>
  </r>
  <r>
    <x v="332"/>
  </r>
  <r>
    <x v="332"/>
  </r>
  <r>
    <x v="332"/>
  </r>
  <r>
    <x v="13"/>
  </r>
  <r>
    <x v="13"/>
  </r>
  <r>
    <x v="13"/>
  </r>
  <r>
    <x v="13"/>
  </r>
  <r>
    <x v="195"/>
  </r>
  <r>
    <x v="195"/>
  </r>
  <r>
    <x v="195"/>
  </r>
  <r>
    <x v="195"/>
  </r>
  <r>
    <x v="195"/>
  </r>
  <r>
    <x v="77"/>
  </r>
  <r>
    <x v="77"/>
  </r>
  <r>
    <x v="77"/>
  </r>
  <r>
    <x v="77"/>
  </r>
  <r>
    <x v="77"/>
  </r>
  <r>
    <x v="77"/>
  </r>
  <r>
    <x v="77"/>
  </r>
  <r>
    <x v="180"/>
  </r>
  <r>
    <x v="180"/>
  </r>
  <r>
    <x v="180"/>
  </r>
  <r>
    <x v="180"/>
  </r>
  <r>
    <x v="180"/>
  </r>
  <r>
    <x v="180"/>
  </r>
  <r>
    <x v="77"/>
  </r>
  <r>
    <x v="77"/>
  </r>
  <r>
    <x v="77"/>
  </r>
  <r>
    <x v="77"/>
  </r>
  <r>
    <x v="77"/>
  </r>
  <r>
    <x v="77"/>
  </r>
  <r>
    <x v="77"/>
  </r>
  <r>
    <x v="77"/>
  </r>
  <r>
    <x v="195"/>
  </r>
  <r>
    <x v="195"/>
  </r>
  <r>
    <x v="195"/>
  </r>
  <r>
    <x v="195"/>
  </r>
  <r>
    <x v="195"/>
  </r>
  <r>
    <x v="195"/>
  </r>
  <r>
    <x v="195"/>
  </r>
  <r>
    <x v="195"/>
  </r>
  <r>
    <x v="134"/>
  </r>
  <r>
    <x v="134"/>
  </r>
  <r>
    <x v="134"/>
  </r>
  <r>
    <x v="134"/>
  </r>
  <r>
    <x v="134"/>
  </r>
  <r>
    <x v="134"/>
  </r>
  <r>
    <x v="134"/>
  </r>
  <r>
    <x v="134"/>
  </r>
  <r>
    <x v="134"/>
  </r>
  <r>
    <x v="134"/>
  </r>
  <r>
    <x v="134"/>
  </r>
  <r>
    <x v="134"/>
  </r>
  <r>
    <x v="134"/>
  </r>
  <r>
    <x v="134"/>
  </r>
  <r>
    <x v="134"/>
  </r>
  <r>
    <x v="134"/>
  </r>
  <r>
    <x v="134"/>
  </r>
  <r>
    <x v="165"/>
  </r>
  <r>
    <x v="165"/>
  </r>
  <r>
    <x v="165"/>
  </r>
  <r>
    <x v="165"/>
  </r>
  <r>
    <x v="165"/>
  </r>
  <r>
    <x v="165"/>
  </r>
  <r>
    <x v="165"/>
  </r>
  <r>
    <x v="165"/>
  </r>
  <r>
    <x v="165"/>
  </r>
  <r>
    <x v="165"/>
  </r>
  <r>
    <x v="165"/>
  </r>
  <r>
    <x v="165"/>
  </r>
  <r>
    <x v="165"/>
  </r>
  <r>
    <x v="165"/>
  </r>
  <r>
    <x v="180"/>
  </r>
  <r>
    <x v="180"/>
  </r>
  <r>
    <x v="180"/>
  </r>
  <r>
    <x v="180"/>
  </r>
  <r>
    <x v="180"/>
  </r>
  <r>
    <x v="217"/>
  </r>
  <r>
    <x v="217"/>
  </r>
  <r>
    <x v="217"/>
  </r>
  <r>
    <x v="217"/>
  </r>
  <r>
    <x v="217"/>
  </r>
  <r>
    <x v="217"/>
  </r>
  <r>
    <x v="217"/>
  </r>
  <r>
    <x v="305"/>
  </r>
  <r>
    <x v="305"/>
  </r>
  <r>
    <x v="305"/>
  </r>
  <r>
    <x v="305"/>
  </r>
  <r>
    <x v="335"/>
  </r>
  <r>
    <x v="335"/>
  </r>
  <r>
    <x v="335"/>
  </r>
  <r>
    <x v="335"/>
  </r>
  <r>
    <x v="261"/>
  </r>
  <r>
    <x v="261"/>
  </r>
  <r>
    <x v="261"/>
  </r>
  <r>
    <x v="261"/>
  </r>
  <r>
    <x v="261"/>
  </r>
  <r>
    <x v="261"/>
  </r>
  <r>
    <x v="2"/>
  </r>
  <r>
    <x v="2"/>
  </r>
  <r>
    <x v="2"/>
  </r>
  <r>
    <x v="2"/>
  </r>
  <r>
    <x v="2"/>
  </r>
  <r>
    <x v="2"/>
  </r>
  <r>
    <x v="2"/>
  </r>
  <r>
    <x v="2"/>
  </r>
  <r>
    <x v="2"/>
  </r>
  <r>
    <x v="2"/>
  </r>
  <r>
    <x v="2"/>
  </r>
  <r>
    <x v="2"/>
  </r>
  <r>
    <x v="2"/>
  </r>
  <r>
    <x v="2"/>
  </r>
  <r>
    <x v="2"/>
  </r>
  <r>
    <x v="180"/>
  </r>
  <r>
    <x v="180"/>
  </r>
  <r>
    <x v="180"/>
  </r>
  <r>
    <x v="180"/>
  </r>
  <r>
    <x v="180"/>
  </r>
  <r>
    <x v="289"/>
  </r>
  <r>
    <x v="289"/>
  </r>
  <r>
    <x v="289"/>
  </r>
  <r>
    <x v="289"/>
  </r>
  <r>
    <x v="289"/>
  </r>
  <r>
    <x v="289"/>
  </r>
  <r>
    <x v="107"/>
  </r>
  <r>
    <x v="107"/>
  </r>
  <r>
    <x v="107"/>
  </r>
  <r>
    <x v="107"/>
  </r>
  <r>
    <x v="107"/>
  </r>
  <r>
    <x v="107"/>
  </r>
  <r>
    <x v="107"/>
  </r>
  <r>
    <x v="336"/>
  </r>
  <r>
    <x v="336"/>
  </r>
  <r>
    <x v="336"/>
  </r>
  <r>
    <x v="336"/>
  </r>
  <r>
    <x v="336"/>
  </r>
  <r>
    <x v="146"/>
  </r>
  <r>
    <x v="146"/>
  </r>
  <r>
    <x v="146"/>
  </r>
  <r>
    <x v="146"/>
  </r>
  <r>
    <x v="146"/>
  </r>
  <r>
    <x v="146"/>
  </r>
  <r>
    <x v="146"/>
  </r>
  <r>
    <x v="146"/>
  </r>
  <r>
    <x v="146"/>
  </r>
  <r>
    <x v="146"/>
  </r>
  <r>
    <x v="146"/>
  </r>
  <r>
    <x v="146"/>
  </r>
  <r>
    <x v="146"/>
  </r>
  <r>
    <x v="146"/>
  </r>
  <r>
    <x v="146"/>
  </r>
  <r>
    <x v="146"/>
  </r>
  <r>
    <x v="146"/>
  </r>
  <r>
    <x v="146"/>
  </r>
  <r>
    <x v="146"/>
  </r>
  <r>
    <x v="146"/>
  </r>
  <r>
    <x v="146"/>
  </r>
  <r>
    <x v="146"/>
  </r>
  <r>
    <x v="146"/>
  </r>
  <r>
    <x v="146"/>
  </r>
  <r>
    <x v="337"/>
  </r>
  <r>
    <x v="337"/>
  </r>
  <r>
    <x v="337"/>
  </r>
  <r>
    <x v="337"/>
  </r>
  <r>
    <x v="304"/>
  </r>
  <r>
    <x v="304"/>
  </r>
  <r>
    <x v="304"/>
  </r>
  <r>
    <x v="304"/>
  </r>
  <r>
    <x v="304"/>
  </r>
  <r>
    <x v="304"/>
  </r>
  <r>
    <x v="304"/>
  </r>
  <r>
    <x v="304"/>
  </r>
  <r>
    <x v="304"/>
  </r>
  <r>
    <x v="304"/>
  </r>
  <r>
    <x v="304"/>
  </r>
  <r>
    <x v="304"/>
  </r>
  <r>
    <x v="217"/>
  </r>
  <r>
    <x v="217"/>
  </r>
  <r>
    <x v="217"/>
  </r>
  <r>
    <x v="217"/>
  </r>
  <r>
    <x v="217"/>
  </r>
  <r>
    <x v="217"/>
  </r>
  <r>
    <x v="217"/>
  </r>
  <r>
    <x v="158"/>
  </r>
  <r>
    <x v="158"/>
  </r>
  <r>
    <x v="158"/>
  </r>
  <r>
    <x v="158"/>
  </r>
  <r>
    <x v="158"/>
  </r>
  <r>
    <x v="158"/>
  </r>
  <r>
    <x v="217"/>
  </r>
  <r>
    <x v="217"/>
  </r>
  <r>
    <x v="217"/>
  </r>
  <r>
    <x v="217"/>
  </r>
  <r>
    <x v="217"/>
  </r>
  <r>
    <x v="217"/>
  </r>
  <r>
    <x v="180"/>
  </r>
  <r>
    <x v="180"/>
  </r>
  <r>
    <x v="180"/>
  </r>
  <r>
    <x v="180"/>
  </r>
  <r>
    <x v="180"/>
  </r>
  <r>
    <x v="262"/>
  </r>
  <r>
    <x v="262"/>
  </r>
  <r>
    <x v="262"/>
  </r>
  <r>
    <x v="262"/>
  </r>
  <r>
    <x v="262"/>
  </r>
  <r>
    <x v="262"/>
  </r>
  <r>
    <x v="197"/>
  </r>
  <r>
    <x v="197"/>
  </r>
  <r>
    <x v="197"/>
  </r>
  <r>
    <x v="197"/>
  </r>
  <r>
    <x v="197"/>
  </r>
  <r>
    <x v="328"/>
  </r>
  <r>
    <x v="328"/>
  </r>
  <r>
    <x v="328"/>
  </r>
  <r>
    <x v="328"/>
  </r>
  <r>
    <x v="328"/>
  </r>
  <r>
    <x v="338"/>
  </r>
  <r>
    <x v="338"/>
  </r>
  <r>
    <x v="338"/>
  </r>
  <r>
    <x v="338"/>
  </r>
  <r>
    <x v="338"/>
  </r>
  <r>
    <x v="338"/>
  </r>
  <r>
    <x v="180"/>
  </r>
  <r>
    <x v="180"/>
  </r>
  <r>
    <x v="180"/>
  </r>
  <r>
    <x v="180"/>
  </r>
  <r>
    <x v="180"/>
  </r>
  <r>
    <x v="180"/>
  </r>
  <r>
    <x v="180"/>
  </r>
  <r>
    <x v="180"/>
  </r>
  <r>
    <x v="180"/>
  </r>
  <r>
    <x v="330"/>
  </r>
  <r>
    <x v="330"/>
  </r>
  <r>
    <x v="330"/>
  </r>
  <r>
    <x v="330"/>
  </r>
  <r>
    <x v="330"/>
  </r>
  <r>
    <x v="330"/>
  </r>
  <r>
    <x v="330"/>
  </r>
  <r>
    <x v="330"/>
  </r>
  <r>
    <x v="330"/>
  </r>
  <r>
    <x v="330"/>
  </r>
  <r>
    <x v="330"/>
  </r>
  <r>
    <x v="330"/>
  </r>
  <r>
    <x v="330"/>
  </r>
  <r>
    <x v="330"/>
  </r>
  <r>
    <x v="134"/>
  </r>
  <r>
    <x v="134"/>
  </r>
  <r>
    <x v="134"/>
  </r>
  <r>
    <x v="243"/>
  </r>
  <r>
    <x v="243"/>
  </r>
  <r>
    <x v="243"/>
  </r>
  <r>
    <x v="243"/>
  </r>
  <r>
    <x v="243"/>
  </r>
  <r>
    <x v="243"/>
  </r>
  <r>
    <x v="217"/>
  </r>
  <r>
    <x v="217"/>
  </r>
  <r>
    <x v="217"/>
  </r>
  <r>
    <x v="217"/>
  </r>
  <r>
    <x v="217"/>
  </r>
  <r>
    <x v="217"/>
  </r>
  <r>
    <x v="217"/>
  </r>
  <r>
    <x v="217"/>
  </r>
  <r>
    <x v="217"/>
  </r>
  <r>
    <x v="217"/>
  </r>
  <r>
    <x v="217"/>
  </r>
  <r>
    <x v="217"/>
  </r>
  <r>
    <x v="217"/>
  </r>
  <r>
    <x v="217"/>
  </r>
  <r>
    <x v="217"/>
  </r>
  <r>
    <x v="217"/>
  </r>
  <r>
    <x v="195"/>
  </r>
  <r>
    <x v="195"/>
  </r>
  <r>
    <x v="180"/>
  </r>
  <r>
    <x v="180"/>
  </r>
  <r>
    <x v="180"/>
  </r>
  <r>
    <x v="180"/>
  </r>
  <r>
    <x v="180"/>
  </r>
  <r>
    <x v="180"/>
  </r>
  <r>
    <x v="180"/>
  </r>
  <r>
    <x v="19"/>
  </r>
  <r>
    <x v="19"/>
  </r>
  <r>
    <x v="19"/>
  </r>
  <r>
    <x v="19"/>
  </r>
  <r>
    <x v="19"/>
  </r>
  <r>
    <x v="19"/>
  </r>
  <r>
    <x v="19"/>
  </r>
  <r>
    <x v="19"/>
  </r>
  <r>
    <x v="2"/>
  </r>
  <r>
    <x v="2"/>
  </r>
  <r>
    <x v="2"/>
  </r>
  <r>
    <x v="2"/>
  </r>
  <r>
    <x v="2"/>
  </r>
  <r>
    <x v="2"/>
  </r>
  <r>
    <x v="201"/>
  </r>
  <r>
    <x v="201"/>
  </r>
  <r>
    <x v="201"/>
  </r>
  <r>
    <x v="201"/>
  </r>
  <r>
    <x v="201"/>
  </r>
  <r>
    <x v="201"/>
  </r>
  <r>
    <x v="195"/>
  </r>
  <r>
    <x v="195"/>
  </r>
  <r>
    <x v="195"/>
  </r>
  <r>
    <x v="195"/>
  </r>
  <r>
    <x v="195"/>
  </r>
  <r>
    <x v="195"/>
  </r>
  <r>
    <x v="195"/>
  </r>
  <r>
    <x v="195"/>
  </r>
  <r>
    <x v="195"/>
  </r>
  <r>
    <x v="215"/>
  </r>
  <r>
    <x v="215"/>
  </r>
  <r>
    <x v="215"/>
  </r>
  <r>
    <x v="215"/>
  </r>
  <r>
    <x v="215"/>
  </r>
  <r>
    <x v="215"/>
  </r>
  <r>
    <x v="180"/>
  </r>
  <r>
    <x v="180"/>
  </r>
  <r>
    <x v="180"/>
  </r>
  <r>
    <x v="180"/>
  </r>
  <r>
    <x v="180"/>
  </r>
  <r>
    <x v="180"/>
  </r>
  <r>
    <x v="203"/>
  </r>
  <r>
    <x v="203"/>
  </r>
  <r>
    <x v="203"/>
  </r>
  <r>
    <x v="203"/>
  </r>
  <r>
    <x v="203"/>
  </r>
  <r>
    <x v="203"/>
  </r>
  <r>
    <x v="339"/>
  </r>
  <r>
    <x v="339"/>
  </r>
  <r>
    <x v="217"/>
  </r>
  <r>
    <x v="217"/>
  </r>
  <r>
    <x v="217"/>
  </r>
  <r>
    <x v="217"/>
  </r>
  <r>
    <x v="217"/>
  </r>
  <r>
    <x v="217"/>
  </r>
  <r>
    <x v="217"/>
  </r>
  <r>
    <x v="217"/>
  </r>
  <r>
    <x v="217"/>
  </r>
  <r>
    <x v="217"/>
  </r>
  <r>
    <x v="217"/>
  </r>
  <r>
    <x v="217"/>
  </r>
  <r>
    <x v="340"/>
  </r>
  <r>
    <x v="340"/>
  </r>
  <r>
    <x v="340"/>
  </r>
  <r>
    <x v="340"/>
  </r>
  <r>
    <x v="340"/>
  </r>
  <r>
    <x v="340"/>
  </r>
  <r>
    <x v="340"/>
  </r>
  <r>
    <x v="340"/>
  </r>
  <r>
    <x v="340"/>
  </r>
  <r>
    <x v="340"/>
  </r>
  <r>
    <x v="341"/>
  </r>
  <r>
    <x v="341"/>
  </r>
  <r>
    <x v="341"/>
  </r>
  <r>
    <x v="341"/>
  </r>
  <r>
    <x v="341"/>
  </r>
  <r>
    <x v="154"/>
  </r>
  <r>
    <x v="154"/>
  </r>
  <r>
    <x v="154"/>
  </r>
  <r>
    <x v="154"/>
  </r>
  <r>
    <x v="154"/>
  </r>
  <r>
    <x v="154"/>
  </r>
  <r>
    <x v="154"/>
  </r>
  <r>
    <x v="154"/>
  </r>
  <r>
    <x v="154"/>
  </r>
  <r>
    <x v="154"/>
  </r>
  <r>
    <x v="154"/>
  </r>
  <r>
    <x v="154"/>
  </r>
  <r>
    <x v="154"/>
  </r>
  <r>
    <x v="342"/>
  </r>
  <r>
    <x v="342"/>
  </r>
  <r>
    <x v="342"/>
  </r>
  <r>
    <x v="342"/>
  </r>
  <r>
    <x v="342"/>
  </r>
  <r>
    <x v="342"/>
  </r>
  <r>
    <x v="342"/>
  </r>
  <r>
    <x v="342"/>
  </r>
  <r>
    <x v="277"/>
  </r>
  <r>
    <x v="277"/>
  </r>
  <r>
    <x v="277"/>
  </r>
  <r>
    <x v="277"/>
  </r>
  <r>
    <x v="277"/>
  </r>
  <r>
    <x v="277"/>
  </r>
  <r>
    <x v="277"/>
  </r>
  <r>
    <x v="277"/>
  </r>
  <r>
    <x v="277"/>
  </r>
  <r>
    <x v="13"/>
  </r>
  <r>
    <x v="13"/>
  </r>
  <r>
    <x v="13"/>
  </r>
  <r>
    <x v="13"/>
  </r>
  <r>
    <x v="254"/>
  </r>
  <r>
    <x v="254"/>
  </r>
  <r>
    <x v="254"/>
  </r>
  <r>
    <x v="343"/>
  </r>
  <r>
    <x v="343"/>
  </r>
  <r>
    <x v="343"/>
  </r>
  <r>
    <x v="343"/>
  </r>
  <r>
    <x v="343"/>
  </r>
  <r>
    <x v="343"/>
  </r>
  <r>
    <x v="344"/>
  </r>
  <r>
    <x v="344"/>
  </r>
  <r>
    <x v="344"/>
  </r>
  <r>
    <x v="344"/>
  </r>
  <r>
    <x v="344"/>
  </r>
  <r>
    <x v="344"/>
  </r>
  <r>
    <x v="344"/>
  </r>
  <r>
    <x v="344"/>
  </r>
  <r>
    <x v="344"/>
  </r>
  <r>
    <x v="344"/>
  </r>
  <r>
    <x v="344"/>
  </r>
  <r>
    <x v="344"/>
  </r>
  <r>
    <x v="344"/>
  </r>
  <r>
    <x v="344"/>
  </r>
  <r>
    <x v="344"/>
  </r>
  <r>
    <x v="344"/>
  </r>
  <r>
    <x v="344"/>
  </r>
  <r>
    <x v="345"/>
  </r>
  <r>
    <x v="345"/>
  </r>
  <r>
    <x v="345"/>
  </r>
  <r>
    <x v="345"/>
  </r>
  <r>
    <x v="345"/>
  </r>
  <r>
    <x v="345"/>
  </r>
  <r>
    <x v="345"/>
  </r>
  <r>
    <x v="345"/>
  </r>
  <r>
    <x v="345"/>
  </r>
  <r>
    <x v="345"/>
  </r>
  <r>
    <x v="281"/>
  </r>
  <r>
    <x v="281"/>
  </r>
  <r>
    <x v="281"/>
  </r>
  <r>
    <x v="281"/>
  </r>
  <r>
    <x v="281"/>
  </r>
  <r>
    <x v="281"/>
  </r>
  <r>
    <x v="281"/>
  </r>
  <r>
    <x v="146"/>
  </r>
  <r>
    <x v="146"/>
  </r>
  <r>
    <x v="146"/>
  </r>
  <r>
    <x v="146"/>
  </r>
  <r>
    <x v="146"/>
  </r>
  <r>
    <x v="146"/>
  </r>
  <r>
    <x v="146"/>
  </r>
  <r>
    <x v="146"/>
  </r>
  <r>
    <x v="146"/>
  </r>
  <r>
    <x v="335"/>
  </r>
  <r>
    <x v="335"/>
  </r>
  <r>
    <x v="335"/>
  </r>
  <r>
    <x v="335"/>
  </r>
  <r>
    <x v="335"/>
  </r>
  <r>
    <x v="66"/>
  </r>
  <r>
    <x v="66"/>
  </r>
  <r>
    <x v="66"/>
  </r>
  <r>
    <x v="180"/>
  </r>
  <r>
    <x v="180"/>
  </r>
  <r>
    <x v="180"/>
  </r>
  <r>
    <x v="180"/>
  </r>
  <r>
    <x v="180"/>
  </r>
  <r>
    <x v="197"/>
  </r>
  <r>
    <x v="197"/>
  </r>
  <r>
    <x v="197"/>
  </r>
  <r>
    <x v="197"/>
  </r>
  <r>
    <x v="197"/>
  </r>
  <r>
    <x v="180"/>
  </r>
  <r>
    <x v="180"/>
  </r>
  <r>
    <x v="180"/>
  </r>
  <r>
    <x v="180"/>
  </r>
  <r>
    <x v="180"/>
  </r>
  <r>
    <x v="180"/>
  </r>
  <r>
    <x v="180"/>
  </r>
  <r>
    <x v="180"/>
  </r>
  <r>
    <x v="1"/>
  </r>
  <r>
    <x v="1"/>
  </r>
  <r>
    <x v="1"/>
  </r>
  <r>
    <x v="1"/>
  </r>
  <r>
    <x v="1"/>
  </r>
  <r>
    <x v="1"/>
  </r>
  <r>
    <x v="48"/>
  </r>
  <r>
    <x v="48"/>
  </r>
  <r>
    <x v="48"/>
  </r>
  <r>
    <x v="48"/>
  </r>
  <r>
    <x v="22"/>
  </r>
  <r>
    <x v="22"/>
  </r>
  <r>
    <x v="22"/>
  </r>
  <r>
    <x v="22"/>
  </r>
  <r>
    <x v="22"/>
  </r>
  <r>
    <x v="22"/>
  </r>
  <r>
    <x v="22"/>
  </r>
  <r>
    <x v="22"/>
  </r>
  <r>
    <x v="22"/>
  </r>
  <r>
    <x v="22"/>
  </r>
  <r>
    <x v="22"/>
  </r>
  <r>
    <x v="22"/>
  </r>
  <r>
    <x v="22"/>
  </r>
  <r>
    <x v="22"/>
  </r>
  <r>
    <x v="22"/>
  </r>
  <r>
    <x v="346"/>
  </r>
  <r>
    <x v="346"/>
  </r>
  <r>
    <x v="346"/>
  </r>
  <r>
    <x v="346"/>
  </r>
  <r>
    <x v="346"/>
  </r>
  <r>
    <x v="346"/>
  </r>
  <r>
    <x v="346"/>
  </r>
  <r>
    <x v="346"/>
  </r>
  <r>
    <x v="346"/>
  </r>
  <r>
    <x v="346"/>
  </r>
  <r>
    <x v="158"/>
  </r>
  <r>
    <x v="158"/>
  </r>
  <r>
    <x v="158"/>
  </r>
  <r>
    <x v="158"/>
  </r>
  <r>
    <x v="158"/>
  </r>
  <r>
    <x v="158"/>
  </r>
  <r>
    <x v="292"/>
  </r>
  <r>
    <x v="292"/>
  </r>
  <r>
    <x v="292"/>
  </r>
  <r>
    <x v="292"/>
  </r>
  <r>
    <x v="292"/>
  </r>
  <r>
    <x v="292"/>
  </r>
  <r>
    <x v="292"/>
  </r>
  <r>
    <x v="292"/>
  </r>
  <r>
    <x v="347"/>
  </r>
  <r>
    <x v="347"/>
  </r>
  <r>
    <x v="347"/>
  </r>
  <r>
    <x v="347"/>
  </r>
  <r>
    <x v="348"/>
  </r>
  <r>
    <x v="348"/>
  </r>
  <r>
    <x v="348"/>
  </r>
  <r>
    <x v="348"/>
  </r>
  <r>
    <x v="348"/>
  </r>
  <r>
    <x v="348"/>
  </r>
  <r>
    <x v="348"/>
  </r>
  <r>
    <x v="348"/>
  </r>
  <r>
    <x v="348"/>
  </r>
  <r>
    <x v="348"/>
  </r>
  <r>
    <x v="2"/>
  </r>
  <r>
    <x v="2"/>
  </r>
  <r>
    <x v="2"/>
  </r>
  <r>
    <x v="2"/>
  </r>
  <r>
    <x v="2"/>
  </r>
  <r>
    <x v="2"/>
  </r>
  <r>
    <x v="2"/>
  </r>
  <r>
    <x v="2"/>
  </r>
  <r>
    <x v="2"/>
  </r>
  <r>
    <x v="2"/>
  </r>
  <r>
    <x v="2"/>
  </r>
  <r>
    <x v="2"/>
  </r>
  <r>
    <x v="2"/>
  </r>
  <r>
    <x v="2"/>
  </r>
  <r>
    <x v="2"/>
  </r>
  <r>
    <x v="2"/>
  </r>
  <r>
    <x v="2"/>
  </r>
  <r>
    <x v="2"/>
  </r>
  <r>
    <x v="2"/>
  </r>
  <r>
    <x v="2"/>
  </r>
  <r>
    <x v="2"/>
  </r>
  <r>
    <x v="2"/>
  </r>
  <r>
    <x v="2"/>
  </r>
  <r>
    <x v="197"/>
  </r>
  <r>
    <x v="197"/>
  </r>
  <r>
    <x v="229"/>
  </r>
  <r>
    <x v="229"/>
  </r>
  <r>
    <x v="229"/>
  </r>
  <r>
    <x v="229"/>
  </r>
  <r>
    <x v="349"/>
  </r>
  <r>
    <x v="349"/>
  </r>
  <r>
    <x v="349"/>
  </r>
  <r>
    <x v="296"/>
  </r>
  <r>
    <x v="296"/>
  </r>
  <r>
    <x v="296"/>
  </r>
  <r>
    <x v="296"/>
  </r>
  <r>
    <x v="296"/>
  </r>
  <r>
    <x v="296"/>
  </r>
  <r>
    <x v="296"/>
  </r>
  <r>
    <x v="296"/>
  </r>
  <r>
    <x v="10"/>
  </r>
  <r>
    <x v="10"/>
  </r>
  <r>
    <x v="10"/>
  </r>
  <r>
    <x v="10"/>
  </r>
  <r>
    <x v="146"/>
  </r>
  <r>
    <x v="146"/>
  </r>
  <r>
    <x v="146"/>
  </r>
  <r>
    <x v="146"/>
  </r>
  <r>
    <x v="146"/>
  </r>
  <r>
    <x v="146"/>
  </r>
  <r>
    <x v="146"/>
  </r>
  <r>
    <x v="146"/>
  </r>
  <r>
    <x v="146"/>
  </r>
  <r>
    <x v="146"/>
  </r>
  <r>
    <x v="146"/>
  </r>
  <r>
    <x v="127"/>
  </r>
  <r>
    <x v="127"/>
  </r>
  <r>
    <x v="127"/>
  </r>
  <r>
    <x v="127"/>
  </r>
  <r>
    <x v="127"/>
  </r>
  <r>
    <x v="127"/>
  </r>
  <r>
    <x v="127"/>
  </r>
  <r>
    <x v="127"/>
  </r>
  <r>
    <x v="127"/>
  </r>
  <r>
    <x v="127"/>
  </r>
  <r>
    <x v="127"/>
  </r>
  <r>
    <x v="180"/>
  </r>
  <r>
    <x v="180"/>
  </r>
  <r>
    <x v="180"/>
  </r>
  <r>
    <x v="180"/>
  </r>
  <r>
    <x v="180"/>
  </r>
  <r>
    <x v="180"/>
  </r>
  <r>
    <x v="180"/>
  </r>
  <r>
    <x v="180"/>
  </r>
  <r>
    <x v="180"/>
  </r>
  <r>
    <x v="180"/>
  </r>
  <r>
    <x v="180"/>
  </r>
  <r>
    <x v="180"/>
  </r>
  <r>
    <x v="180"/>
  </r>
  <r>
    <x v="180"/>
  </r>
  <r>
    <x v="180"/>
  </r>
  <r>
    <x v="180"/>
  </r>
  <r>
    <x v="180"/>
  </r>
  <r>
    <x v="180"/>
  </r>
  <r>
    <x v="180"/>
  </r>
  <r>
    <x v="180"/>
  </r>
  <r>
    <x v="180"/>
  </r>
  <r>
    <x v="180"/>
  </r>
  <r>
    <x v="180"/>
  </r>
  <r>
    <x v="180"/>
  </r>
  <r>
    <x v="180"/>
  </r>
  <r>
    <x v="180"/>
  </r>
  <r>
    <x v="180"/>
  </r>
  <r>
    <x v="180"/>
  </r>
  <r>
    <x v="180"/>
  </r>
  <r>
    <x v="180"/>
  </r>
  <r>
    <x v="180"/>
  </r>
  <r>
    <x v="180"/>
  </r>
  <r>
    <x v="350"/>
  </r>
  <r>
    <x v="350"/>
  </r>
  <r>
    <x v="13"/>
  </r>
  <r>
    <x v="13"/>
  </r>
  <r>
    <x v="13"/>
  </r>
  <r>
    <x v="13"/>
  </r>
  <r>
    <x v="13"/>
  </r>
  <r>
    <x v="13"/>
  </r>
  <r>
    <x v="13"/>
  </r>
  <r>
    <x v="13"/>
  </r>
  <r>
    <x v="13"/>
  </r>
  <r>
    <x v="13"/>
  </r>
  <r>
    <x v="13"/>
  </r>
  <r>
    <x v="13"/>
  </r>
  <r>
    <x v="220"/>
  </r>
  <r>
    <x v="220"/>
  </r>
  <r>
    <x v="220"/>
  </r>
  <r>
    <x v="220"/>
  </r>
  <r>
    <x v="220"/>
  </r>
  <r>
    <x v="220"/>
  </r>
  <r>
    <x v="217"/>
  </r>
  <r>
    <x v="217"/>
  </r>
  <r>
    <x v="217"/>
  </r>
  <r>
    <x v="217"/>
  </r>
  <r>
    <x v="217"/>
  </r>
  <r>
    <x v="217"/>
  </r>
  <r>
    <x v="217"/>
  </r>
  <r>
    <x v="217"/>
  </r>
  <r>
    <x v="217"/>
  </r>
  <r>
    <x v="217"/>
  </r>
  <r>
    <x v="217"/>
  </r>
  <r>
    <x v="217"/>
  </r>
  <r>
    <x v="217"/>
  </r>
  <r>
    <x v="217"/>
  </r>
  <r>
    <x v="178"/>
  </r>
  <r>
    <x v="178"/>
  </r>
  <r>
    <x v="178"/>
  </r>
  <r>
    <x v="178"/>
  </r>
  <r>
    <x v="178"/>
  </r>
  <r>
    <x v="178"/>
  </r>
  <r>
    <x v="178"/>
  </r>
  <r>
    <x v="178"/>
  </r>
  <r>
    <x v="178"/>
  </r>
  <r>
    <x v="178"/>
  </r>
  <r>
    <x v="178"/>
  </r>
  <r>
    <x v="46"/>
  </r>
  <r>
    <x v="46"/>
  </r>
  <r>
    <x v="46"/>
  </r>
  <r>
    <x v="46"/>
  </r>
  <r>
    <x v="46"/>
  </r>
  <r>
    <x v="192"/>
  </r>
  <r>
    <x v="192"/>
  </r>
  <r>
    <x v="192"/>
  </r>
  <r>
    <x v="192"/>
  </r>
  <r>
    <x v="192"/>
  </r>
  <r>
    <x v="192"/>
  </r>
  <r>
    <x v="192"/>
  </r>
  <r>
    <x v="192"/>
  </r>
  <r>
    <x v="192"/>
  </r>
  <r>
    <x v="192"/>
  </r>
  <r>
    <x v="351"/>
  </r>
  <r>
    <x v="351"/>
  </r>
  <r>
    <x v="351"/>
  </r>
  <r>
    <x v="351"/>
  </r>
  <r>
    <x v="332"/>
  </r>
  <r>
    <x v="332"/>
  </r>
  <r>
    <x v="332"/>
  </r>
  <r>
    <x v="332"/>
  </r>
  <r>
    <x v="332"/>
  </r>
  <r>
    <x v="332"/>
  </r>
  <r>
    <x v="332"/>
  </r>
  <r>
    <x v="332"/>
  </r>
  <r>
    <x v="332"/>
  </r>
  <r>
    <x v="158"/>
  </r>
  <r>
    <x v="158"/>
  </r>
  <r>
    <x v="158"/>
  </r>
  <r>
    <x v="352"/>
  </r>
  <r>
    <x v="352"/>
  </r>
  <r>
    <x v="352"/>
  </r>
  <r>
    <x v="352"/>
  </r>
  <r>
    <x v="352"/>
  </r>
  <r>
    <x v="352"/>
  </r>
  <r>
    <x v="217"/>
  </r>
  <r>
    <x v="217"/>
  </r>
  <r>
    <x v="217"/>
  </r>
  <r>
    <x v="217"/>
  </r>
  <r>
    <x v="217"/>
  </r>
  <r>
    <x v="217"/>
  </r>
  <r>
    <x v="217"/>
  </r>
  <r>
    <x v="217"/>
  </r>
  <r>
    <x v="217"/>
  </r>
  <r>
    <x v="130"/>
  </r>
  <r>
    <x v="130"/>
  </r>
  <r>
    <x v="130"/>
  </r>
  <r>
    <x v="130"/>
  </r>
  <r>
    <x v="130"/>
  </r>
  <r>
    <x v="130"/>
  </r>
  <r>
    <x v="130"/>
  </r>
  <r>
    <x v="130"/>
  </r>
  <r>
    <x v="130"/>
  </r>
  <r>
    <x v="353"/>
  </r>
  <r>
    <x v="353"/>
  </r>
  <r>
    <x v="353"/>
  </r>
  <r>
    <x v="353"/>
  </r>
  <r>
    <x v="353"/>
  </r>
  <r>
    <x v="353"/>
  </r>
  <r>
    <x v="353"/>
  </r>
  <r>
    <x v="353"/>
  </r>
  <r>
    <x v="201"/>
  </r>
  <r>
    <x v="201"/>
  </r>
  <r>
    <x v="201"/>
  </r>
  <r>
    <x v="201"/>
  </r>
  <r>
    <x v="201"/>
  </r>
  <r>
    <x v="201"/>
  </r>
  <r>
    <x v="201"/>
  </r>
  <r>
    <x v="354"/>
  </r>
  <r>
    <x v="354"/>
  </r>
  <r>
    <x v="354"/>
  </r>
  <r>
    <x v="354"/>
  </r>
  <r>
    <x v="354"/>
  </r>
  <r>
    <x v="355"/>
  </r>
  <r>
    <x v="355"/>
  </r>
  <r>
    <x v="355"/>
  </r>
  <r>
    <x v="356"/>
  </r>
  <r>
    <x v="357"/>
  </r>
  <r>
    <x v="357"/>
  </r>
  <r>
    <x v="357"/>
  </r>
  <r>
    <x v="146"/>
  </r>
  <r>
    <x v="146"/>
  </r>
  <r>
    <x v="146"/>
  </r>
  <r>
    <x v="146"/>
  </r>
  <r>
    <x v="146"/>
  </r>
  <r>
    <x v="146"/>
  </r>
  <r>
    <x v="146"/>
  </r>
  <r>
    <x v="146"/>
  </r>
  <r>
    <x v="358"/>
  </r>
  <r>
    <x v="358"/>
  </r>
  <r>
    <x v="358"/>
  </r>
  <r>
    <x v="358"/>
  </r>
  <r>
    <x v="217"/>
  </r>
  <r>
    <x v="217"/>
  </r>
  <r>
    <x v="217"/>
  </r>
  <r>
    <x v="217"/>
  </r>
  <r>
    <x v="158"/>
  </r>
  <r>
    <x v="158"/>
  </r>
  <r>
    <x v="158"/>
  </r>
  <r>
    <x v="244"/>
  </r>
  <r>
    <x v="244"/>
  </r>
  <r>
    <x v="244"/>
  </r>
  <r>
    <x v="244"/>
  </r>
  <r>
    <x v="244"/>
  </r>
  <r>
    <x v="244"/>
  </r>
  <r>
    <x v="244"/>
  </r>
  <r>
    <x v="244"/>
  </r>
  <r>
    <x v="244"/>
  </r>
  <r>
    <x v="229"/>
  </r>
  <r>
    <x v="229"/>
  </r>
  <r>
    <x v="229"/>
  </r>
  <r>
    <x v="229"/>
  </r>
  <r>
    <x v="217"/>
  </r>
  <r>
    <x v="217"/>
  </r>
  <r>
    <x v="217"/>
  </r>
  <r>
    <x v="217"/>
  </r>
  <r>
    <x v="217"/>
  </r>
  <r>
    <x v="217"/>
  </r>
  <r>
    <x v="313"/>
  </r>
  <r>
    <x v="313"/>
  </r>
  <r>
    <x v="313"/>
  </r>
  <r>
    <x v="313"/>
  </r>
  <r>
    <x v="359"/>
  </r>
  <r>
    <x v="359"/>
  </r>
  <r>
    <x v="359"/>
  </r>
  <r>
    <x v="359"/>
  </r>
  <r>
    <x v="359"/>
  </r>
  <r>
    <x v="359"/>
  </r>
  <r>
    <x v="359"/>
  </r>
  <r>
    <x v="359"/>
  </r>
  <r>
    <x v="134"/>
  </r>
  <r>
    <x v="134"/>
  </r>
  <r>
    <x v="134"/>
  </r>
  <r>
    <x v="134"/>
  </r>
  <r>
    <x v="134"/>
  </r>
  <r>
    <x v="134"/>
  </r>
  <r>
    <x v="134"/>
  </r>
  <r>
    <x v="134"/>
  </r>
  <r>
    <x v="134"/>
  </r>
  <r>
    <x v="134"/>
  </r>
  <r>
    <x v="134"/>
  </r>
  <r>
    <x v="134"/>
  </r>
  <r>
    <x v="360"/>
  </r>
  <r>
    <x v="360"/>
  </r>
  <r>
    <x v="360"/>
  </r>
  <r>
    <x v="360"/>
  </r>
  <r>
    <x v="7"/>
  </r>
  <r>
    <x v="7"/>
  </r>
  <r>
    <x v="7"/>
  </r>
  <r>
    <x v="7"/>
  </r>
  <r>
    <x v="7"/>
  </r>
  <r>
    <x v="7"/>
  </r>
  <r>
    <x v="7"/>
  </r>
  <r>
    <x v="7"/>
  </r>
  <r>
    <x v="7"/>
  </r>
  <r>
    <x v="7"/>
  </r>
  <r>
    <x v="7"/>
  </r>
  <r>
    <x v="7"/>
  </r>
  <r>
    <x v="7"/>
  </r>
  <r>
    <x v="7"/>
  </r>
  <r>
    <x v="7"/>
  </r>
  <r>
    <x v="7"/>
  </r>
  <r>
    <x v="7"/>
  </r>
  <r>
    <x v="7"/>
  </r>
  <r>
    <x v="7"/>
  </r>
  <r>
    <x v="7"/>
  </r>
  <r>
    <x v="7"/>
  </r>
  <r>
    <x v="7"/>
  </r>
  <r>
    <x v="7"/>
  </r>
  <r>
    <x v="146"/>
  </r>
  <r>
    <x v="146"/>
  </r>
  <r>
    <x v="146"/>
  </r>
  <r>
    <x v="146"/>
  </r>
  <r>
    <x v="146"/>
  </r>
  <r>
    <x v="146"/>
  </r>
  <r>
    <x v="146"/>
  </r>
  <r>
    <x v="146"/>
  </r>
  <r>
    <x v="146"/>
  </r>
  <r>
    <x v="146"/>
  </r>
  <r>
    <x v="146"/>
  </r>
  <r>
    <x v="146"/>
  </r>
  <r>
    <x v="146"/>
  </r>
  <r>
    <x v="146"/>
  </r>
  <r>
    <x v="146"/>
  </r>
  <r>
    <x v="217"/>
  </r>
  <r>
    <x v="217"/>
  </r>
  <r>
    <x v="217"/>
  </r>
  <r>
    <x v="7"/>
  </r>
  <r>
    <x v="7"/>
  </r>
  <r>
    <x v="7"/>
  </r>
  <r>
    <x v="7"/>
  </r>
  <r>
    <x v="7"/>
  </r>
  <r>
    <x v="7"/>
  </r>
  <r>
    <x v="361"/>
  </r>
  <r>
    <x v="361"/>
  </r>
  <r>
    <x v="361"/>
  </r>
  <r>
    <x v="361"/>
  </r>
  <r>
    <x v="361"/>
  </r>
  <r>
    <x v="361"/>
  </r>
  <r>
    <x v="361"/>
  </r>
  <r>
    <x v="361"/>
  </r>
  <r>
    <x v="361"/>
  </r>
  <r>
    <x v="195"/>
  </r>
  <r>
    <x v="195"/>
  </r>
  <r>
    <x v="195"/>
  </r>
  <r>
    <x v="195"/>
  </r>
  <r>
    <x v="195"/>
  </r>
  <r>
    <x v="195"/>
  </r>
  <r>
    <x v="195"/>
  </r>
  <r>
    <x v="195"/>
  </r>
  <r>
    <x v="195"/>
  </r>
  <r>
    <x v="195"/>
  </r>
  <r>
    <x v="195"/>
  </r>
  <r>
    <x v="195"/>
  </r>
  <r>
    <x v="195"/>
  </r>
  <r>
    <x v="165"/>
  </r>
  <r>
    <x v="165"/>
  </r>
  <r>
    <x v="165"/>
  </r>
  <r>
    <x v="165"/>
  </r>
  <r>
    <x v="165"/>
  </r>
  <r>
    <x v="165"/>
  </r>
  <r>
    <x v="165"/>
  </r>
  <r>
    <x v="281"/>
  </r>
  <r>
    <x v="281"/>
  </r>
  <r>
    <x v="281"/>
  </r>
  <r>
    <x v="281"/>
  </r>
  <r>
    <x v="281"/>
  </r>
  <r>
    <x v="281"/>
  </r>
  <r>
    <x v="165"/>
  </r>
  <r>
    <x v="165"/>
  </r>
  <r>
    <x v="165"/>
  </r>
  <r>
    <x v="165"/>
  </r>
  <r>
    <x v="165"/>
  </r>
  <r>
    <x v="165"/>
  </r>
  <r>
    <x v="165"/>
  </r>
  <r>
    <x v="362"/>
  </r>
  <r>
    <x v="362"/>
  </r>
  <r>
    <x v="362"/>
  </r>
  <r>
    <x v="362"/>
  </r>
  <r>
    <x v="362"/>
  </r>
  <r>
    <x v="362"/>
  </r>
  <r>
    <x v="3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Pivot Table 1" cacheId="9" applyNumberFormats="0" applyBorderFormats="0" applyFontFormats="0" applyPatternFormats="0" applyAlignmentFormats="0" applyWidthHeightFormats="0" dataCaption="" updatedVersion="8" compact="0" compactData="0">
  <location ref="A1:A365" firstHeaderRow="1" firstDataRow="1" firstDataCol="1"/>
  <pivotFields count="1">
    <pivotField name="SourceName" axis="axisRow" compact="0" outline="0" multipleItemSelectionAllowed="1" showAll="0" sortType="ascending">
      <items count="364">
        <item x="228"/>
        <item x="88"/>
        <item x="41"/>
        <item x="171"/>
        <item x="97"/>
        <item x="280"/>
        <item x="176"/>
        <item x="77"/>
        <item x="150"/>
        <item x="147"/>
        <item x="164"/>
        <item x="29"/>
        <item x="18"/>
        <item x="178"/>
        <item x="309"/>
        <item x="362"/>
        <item x="262"/>
        <item x="181"/>
        <item x="157"/>
        <item x="327"/>
        <item x="217"/>
        <item x="320"/>
        <item x="226"/>
        <item x="239"/>
        <item x="323"/>
        <item x="255"/>
        <item x="210"/>
        <item x="165"/>
        <item x="31"/>
        <item x="115"/>
        <item x="202"/>
        <item x="128"/>
        <item x="63"/>
        <item x="0"/>
        <item x="352"/>
        <item x="246"/>
        <item x="131"/>
        <item x="4"/>
        <item x="166"/>
        <item x="44"/>
        <item x="305"/>
        <item x="191"/>
        <item x="332"/>
        <item x="27"/>
        <item x="345"/>
        <item x="318"/>
        <item x="346"/>
        <item x="47"/>
        <item x="224"/>
        <item x="144"/>
        <item x="252"/>
        <item x="326"/>
        <item x="242"/>
        <item x="1"/>
        <item x="170"/>
        <item x="342"/>
        <item x="161"/>
        <item x="263"/>
        <item x="114"/>
        <item x="233"/>
        <item x="308"/>
        <item x="265"/>
        <item x="152"/>
        <item x="112"/>
        <item x="33"/>
        <item x="304"/>
        <item x="92"/>
        <item x="302"/>
        <item x="133"/>
        <item x="28"/>
        <item x="273"/>
        <item x="135"/>
        <item x="322"/>
        <item x="206"/>
        <item x="275"/>
        <item x="36"/>
        <item x="340"/>
        <item x="324"/>
        <item x="64"/>
        <item x="297"/>
        <item x="140"/>
        <item x="105"/>
        <item x="270"/>
        <item x="284"/>
        <item x="282"/>
        <item x="307"/>
        <item x="89"/>
        <item x="110"/>
        <item x="37"/>
        <item x="57"/>
        <item x="25"/>
        <item x="300"/>
        <item x="258"/>
        <item x="40"/>
        <item x="14"/>
        <item x="334"/>
        <item x="93"/>
        <item x="335"/>
        <item x="243"/>
        <item x="336"/>
        <item x="294"/>
        <item x="274"/>
        <item x="222"/>
        <item x="232"/>
        <item x="291"/>
        <item x="319"/>
        <item x="315"/>
        <item x="338"/>
        <item x="288"/>
        <item x="223"/>
        <item x="349"/>
        <item x="295"/>
        <item x="215"/>
        <item x="347"/>
        <item x="329"/>
        <item x="344"/>
        <item x="24"/>
        <item x="214"/>
        <item x="359"/>
        <item x="236"/>
        <item x="188"/>
        <item x="62"/>
        <item x="254"/>
        <item x="241"/>
        <item x="279"/>
        <item x="251"/>
        <item x="220"/>
        <item x="94"/>
        <item x="269"/>
        <item x="260"/>
        <item x="287"/>
        <item x="221"/>
        <item x="253"/>
        <item x="183"/>
        <item x="301"/>
        <item x="276"/>
        <item x="30"/>
        <item x="117"/>
        <item x="256"/>
        <item x="113"/>
        <item x="160"/>
        <item x="286"/>
        <item x="173"/>
        <item x="212"/>
        <item x="328"/>
        <item x="231"/>
        <item x="83"/>
        <item x="48"/>
        <item x="32"/>
        <item x="310"/>
        <item x="277"/>
        <item x="201"/>
        <item x="185"/>
        <item x="148"/>
        <item x="272"/>
        <item x="213"/>
        <item x="74"/>
        <item x="267"/>
        <item x="259"/>
        <item x="354"/>
        <item x="149"/>
        <item x="79"/>
        <item x="85"/>
        <item x="306"/>
        <item x="218"/>
        <item x="266"/>
        <item x="283"/>
        <item x="19"/>
        <item x="350"/>
        <item x="355"/>
        <item x="134"/>
        <item x="204"/>
        <item x="99"/>
        <item x="353"/>
        <item x="281"/>
        <item x="341"/>
        <item x="230"/>
        <item x="145"/>
        <item x="39"/>
        <item x="285"/>
        <item x="209"/>
        <item x="190"/>
        <item x="49"/>
        <item x="122"/>
        <item x="69"/>
        <item x="136"/>
        <item x="235"/>
        <item x="155"/>
        <item x="42"/>
        <item x="68"/>
        <item x="257"/>
        <item x="76"/>
        <item x="118"/>
        <item x="10"/>
        <item x="298"/>
        <item x="139"/>
        <item x="55"/>
        <item x="100"/>
        <item x="219"/>
        <item x="71"/>
        <item x="316"/>
        <item x="46"/>
        <item x="205"/>
        <item x="7"/>
        <item x="13"/>
        <item x="84"/>
        <item x="199"/>
        <item x="159"/>
        <item x="120"/>
        <item x="177"/>
        <item x="59"/>
        <item x="6"/>
        <item x="106"/>
        <item x="156"/>
        <item x="56"/>
        <item x="38"/>
        <item x="91"/>
        <item x="234"/>
        <item x="123"/>
        <item x="129"/>
        <item x="90"/>
        <item x="211"/>
        <item x="154"/>
        <item x="240"/>
        <item x="227"/>
        <item x="339"/>
        <item x="293"/>
        <item x="70"/>
        <item x="142"/>
        <item x="65"/>
        <item x="86"/>
        <item x="87"/>
        <item x="151"/>
        <item x="119"/>
        <item x="111"/>
        <item x="109"/>
        <item x="73"/>
        <item x="314"/>
        <item x="67"/>
        <item x="193"/>
        <item x="197"/>
        <item x="72"/>
        <item x="321"/>
        <item x="22"/>
        <item x="311"/>
        <item x="172"/>
        <item x="125"/>
        <item x="225"/>
        <item x="244"/>
        <item x="203"/>
        <item x="61"/>
        <item x="146"/>
        <item x="126"/>
        <item x="20"/>
        <item x="23"/>
        <item x="124"/>
        <item x="162"/>
        <item x="169"/>
        <item x="249"/>
        <item x="95"/>
        <item x="196"/>
        <item x="58"/>
        <item x="358"/>
        <item x="330"/>
        <item x="167"/>
        <item x="289"/>
        <item x="264"/>
        <item x="132"/>
        <item x="317"/>
        <item x="158"/>
        <item x="333"/>
        <item x="194"/>
        <item x="102"/>
        <item x="189"/>
        <item x="15"/>
        <item x="82"/>
        <item x="3"/>
        <item x="360"/>
        <item x="182"/>
        <item x="104"/>
        <item x="130"/>
        <item x="9"/>
        <item x="81"/>
        <item x="325"/>
        <item x="141"/>
        <item x="331"/>
        <item x="78"/>
        <item x="245"/>
        <item x="153"/>
        <item x="313"/>
        <item x="108"/>
        <item x="278"/>
        <item x="45"/>
        <item x="43"/>
        <item x="216"/>
        <item x="53"/>
        <item x="348"/>
        <item x="261"/>
        <item x="12"/>
        <item x="292"/>
        <item x="168"/>
        <item x="98"/>
        <item x="186"/>
        <item x="200"/>
        <item x="184"/>
        <item x="195"/>
        <item x="80"/>
        <item x="296"/>
        <item x="66"/>
        <item x="21"/>
        <item x="101"/>
        <item x="248"/>
        <item x="192"/>
        <item x="54"/>
        <item x="187"/>
        <item x="343"/>
        <item x="299"/>
        <item x="351"/>
        <item x="107"/>
        <item x="356"/>
        <item x="357"/>
        <item x="180"/>
        <item x="17"/>
        <item x="361"/>
        <item x="2"/>
        <item x="290"/>
        <item x="127"/>
        <item x="268"/>
        <item x="250"/>
        <item x="121"/>
        <item x="312"/>
        <item x="16"/>
        <item x="247"/>
        <item x="60"/>
        <item x="103"/>
        <item x="75"/>
        <item x="52"/>
        <item x="229"/>
        <item x="337"/>
        <item x="50"/>
        <item x="179"/>
        <item x="175"/>
        <item x="174"/>
        <item x="198"/>
        <item x="271"/>
        <item x="163"/>
        <item x="138"/>
        <item x="137"/>
        <item x="34"/>
        <item x="237"/>
        <item x="5"/>
        <item x="51"/>
        <item x="303"/>
        <item x="143"/>
        <item x="207"/>
        <item x="26"/>
        <item x="116"/>
        <item x="8"/>
        <item x="208"/>
        <item x="238"/>
        <item x="96"/>
        <item x="11"/>
        <item x="35"/>
        <item t="default"/>
      </items>
    </pivotField>
  </pivotFields>
  <rowFields count="1">
    <field x="0"/>
  </rowFields>
  <rowItems count="3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t="grand">
      <x/>
    </i>
  </rowItems>
  <colItems count="1">
    <i/>
  </colItem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E00-000001000000}" name="Pivot Table 2" cacheId="5" applyNumberFormats="0" applyBorderFormats="0" applyFontFormats="0" applyPatternFormats="0" applyAlignmentFormats="0" applyWidthHeightFormats="0" dataCaption="" updatedVersion="8" compact="0" compactData="0">
  <location ref="A1:B35" firstHeaderRow="1" firstDataRow="1" firstDataCol="1"/>
  <pivotFields count="1">
    <pivotField name="รายชื่อ อาจารย์ผู้รับผิดชอบหลักสูตร" axis="axisRow" dataField="1" compact="0" outline="0" multipleItemSelectionAllowed="1" showAll="0" sortType="ascending">
      <items count="34">
        <item x="20"/>
        <item x="23"/>
        <item x="2"/>
        <item x="1"/>
        <item x="24"/>
        <item x="27"/>
        <item x="9"/>
        <item x="14"/>
        <item x="0"/>
        <item x="10"/>
        <item x="18"/>
        <item x="21"/>
        <item x="25"/>
        <item x="13"/>
        <item x="29"/>
        <item x="22"/>
        <item x="11"/>
        <item x="12"/>
        <item x="16"/>
        <item x="17"/>
        <item x="30"/>
        <item x="26"/>
        <item x="19"/>
        <item x="5"/>
        <item x="6"/>
        <item x="28"/>
        <item x="7"/>
        <item x="3"/>
        <item x="15"/>
        <item x="8"/>
        <item x="31"/>
        <item x="4"/>
        <item x="32"/>
        <item t="default"/>
      </items>
    </pivotField>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COUNTA of รายชื่อ อาจารย์ผู้รับผิดชอบหลักสูตร"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Tahoma"/>
        <a:ea typeface="Tahoma"/>
        <a:cs typeface="Tahoma"/>
      </a:majorFont>
      <a:minorFont>
        <a:latin typeface="Tahoma"/>
        <a:ea typeface="Tahoma"/>
        <a:cs typeface="Taho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8"/>
  <sheetViews>
    <sheetView workbookViewId="0">
      <pane ySplit="1" topLeftCell="A2" activePane="bottomLeft" state="frozen"/>
      <selection pane="bottomLeft" activeCell="B13" sqref="B13"/>
    </sheetView>
  </sheetViews>
  <sheetFormatPr defaultColWidth="12.625" defaultRowHeight="15" customHeight="1"/>
  <cols>
    <col min="1" max="3" width="13.5" customWidth="1"/>
    <col min="4" max="4" width="24.25" customWidth="1"/>
    <col min="5" max="5" width="16.25" customWidth="1"/>
    <col min="6" max="6" width="60.75" customWidth="1"/>
    <col min="7" max="11" width="13.5" customWidth="1"/>
    <col min="12" max="12" width="36.125" customWidth="1"/>
    <col min="13" max="15" width="13.5" customWidth="1"/>
    <col min="16" max="16" width="20.375" customWidth="1"/>
    <col min="17" max="17" width="23.875" customWidth="1"/>
    <col min="18" max="18" width="57.375" customWidth="1"/>
    <col min="19" max="20" width="13.5" customWidth="1"/>
    <col min="21" max="21" width="30" customWidth="1"/>
    <col min="22" max="23" width="13.5" customWidth="1"/>
    <col min="24" max="24" width="18" customWidth="1"/>
    <col min="25" max="25" width="13.5" customWidth="1"/>
    <col min="26" max="26" width="17.625" customWidth="1"/>
    <col min="27" max="27" width="13.5" customWidth="1"/>
    <col min="28" max="28" width="18.125" customWidth="1"/>
    <col min="29" max="29" width="44.5" customWidth="1"/>
    <col min="30" max="30" width="13.5" customWidth="1"/>
    <col min="31" max="31" width="26.5" customWidth="1"/>
    <col min="32" max="35" width="22.625" customWidth="1"/>
    <col min="36" max="36" width="13.5" customWidth="1"/>
    <col min="37" max="37" width="29.625" customWidth="1"/>
    <col min="38" max="39" width="13.5" customWidth="1"/>
  </cols>
  <sheetData>
    <row r="1" spans="1:39" ht="16.5" customHeight="1">
      <c r="A1" s="1" t="s">
        <v>0</v>
      </c>
      <c r="B1" s="1" t="s">
        <v>1</v>
      </c>
      <c r="C1" s="1" t="s">
        <v>2</v>
      </c>
      <c r="D1" s="1" t="s">
        <v>3</v>
      </c>
      <c r="E1" s="2" t="s">
        <v>4</v>
      </c>
      <c r="F1" s="1" t="s">
        <v>5</v>
      </c>
      <c r="G1" s="1" t="s">
        <v>6</v>
      </c>
      <c r="H1" s="1" t="s">
        <v>7</v>
      </c>
      <c r="I1" s="3" t="s">
        <v>8</v>
      </c>
      <c r="J1" s="1" t="s">
        <v>9</v>
      </c>
      <c r="K1" s="1" t="s">
        <v>10</v>
      </c>
      <c r="L1" s="1" t="s">
        <v>11</v>
      </c>
      <c r="M1" s="1" t="s">
        <v>12</v>
      </c>
      <c r="N1" s="1" t="s">
        <v>13</v>
      </c>
      <c r="O1" s="1" t="s">
        <v>14</v>
      </c>
      <c r="P1" s="1" t="s">
        <v>15</v>
      </c>
      <c r="Q1" s="1" t="s">
        <v>16</v>
      </c>
      <c r="R1" s="1" t="s">
        <v>17</v>
      </c>
      <c r="S1" s="1" t="s">
        <v>18</v>
      </c>
      <c r="T1" s="1" t="s">
        <v>19</v>
      </c>
      <c r="U1" s="1" t="s">
        <v>20</v>
      </c>
      <c r="V1" s="4" t="s">
        <v>21</v>
      </c>
      <c r="W1" s="1" t="s">
        <v>22</v>
      </c>
      <c r="X1" s="1" t="s">
        <v>23</v>
      </c>
      <c r="Y1" s="5" t="s">
        <v>24</v>
      </c>
      <c r="Z1" s="1" t="s">
        <v>25</v>
      </c>
      <c r="AA1" s="6" t="s">
        <v>26</v>
      </c>
      <c r="AB1" s="7" t="s">
        <v>27</v>
      </c>
      <c r="AC1" s="3" t="s">
        <v>28</v>
      </c>
      <c r="AD1" s="6" t="s">
        <v>29</v>
      </c>
      <c r="AE1" s="8" t="s">
        <v>30</v>
      </c>
      <c r="AF1" s="9" t="s">
        <v>31</v>
      </c>
      <c r="AG1" s="6" t="s">
        <v>32</v>
      </c>
      <c r="AH1" s="8" t="s">
        <v>33</v>
      </c>
      <c r="AI1" s="8" t="s">
        <v>34</v>
      </c>
      <c r="AJ1" s="1" t="s">
        <v>35</v>
      </c>
      <c r="AK1" s="1" t="s">
        <v>36</v>
      </c>
      <c r="AL1" s="1" t="s">
        <v>37</v>
      </c>
      <c r="AM1" s="1" t="s">
        <v>38</v>
      </c>
    </row>
    <row r="2" spans="1:39" ht="16.5" customHeight="1">
      <c r="A2" s="10">
        <v>2015</v>
      </c>
      <c r="B2" s="10">
        <v>2015</v>
      </c>
      <c r="C2" s="10">
        <v>1</v>
      </c>
      <c r="D2" s="11" t="s">
        <v>39</v>
      </c>
      <c r="E2" s="10">
        <v>10112367</v>
      </c>
      <c r="F2" s="12" t="s">
        <v>40</v>
      </c>
      <c r="G2" s="10">
        <v>28</v>
      </c>
      <c r="H2" s="10">
        <v>1</v>
      </c>
      <c r="I2" s="10">
        <v>14</v>
      </c>
      <c r="J2" s="10">
        <v>19</v>
      </c>
      <c r="K2" s="10">
        <v>14813</v>
      </c>
      <c r="L2" s="11" t="s">
        <v>41</v>
      </c>
      <c r="M2" s="11" t="s">
        <v>42</v>
      </c>
      <c r="N2" s="13" t="s">
        <v>43</v>
      </c>
      <c r="O2" s="10">
        <v>7</v>
      </c>
      <c r="P2" s="14"/>
      <c r="Q2" s="11" t="s">
        <v>47</v>
      </c>
      <c r="R2" s="14"/>
      <c r="S2" s="14"/>
      <c r="T2" s="14"/>
      <c r="U2" s="14"/>
      <c r="V2" s="18" t="e">
        <f t="array" aca="1" ref="V2" ca="1">_xludf.XLOOKUP(W2,KUVET_Researcher!E:E,KUVET_Researcher!L:L," ",0)</f>
        <v>#NAME?</v>
      </c>
      <c r="W2" s="15" t="e">
        <f t="array" aca="1" ref="W2" ca="1">_xludf.XLOOKUP(P2,KUVET_Researcher!A:A,KUVET_Researcher!E:E," ",0)</f>
        <v>#NAME?</v>
      </c>
      <c r="X2" s="15" t="e">
        <f t="array" aca="1" ref="X2" ca="1">_xludf.XLOOKUP(P2,KUVET_Researcher!A:A,KUVET_Researcher!F:F," ",0)</f>
        <v>#NAME?</v>
      </c>
      <c r="Y2" s="21" t="e">
        <f t="array" aca="1" ref="Y2" ca="1">_xludf.XLOOKUP(W2,KUVET_Researcher!E:E,KUVET_Researcher!G:G," ",0)</f>
        <v>#NAME?</v>
      </c>
      <c r="Z2" s="21" t="e">
        <f t="array" aca="1" ref="Z2" ca="1">_xludf.XLOOKUP(X2,KUVET_Researcher!F:F,KUVET_Researcher!H:H," ",0)</f>
        <v>#NAME?</v>
      </c>
      <c r="AA2" s="17" t="e">
        <f t="array" aca="1" ref="AA2" ca="1">_xludf.XLOOKUP(F2,Sheet6!A:A,Sheet6!D:D,"ไม่พบ",0)</f>
        <v>#NAME?</v>
      </c>
      <c r="AB2" s="18" t="e">
        <f t="array" aca="1" ref="AB2" ca="1">_xludf.XLOOKUP(F2,SNAreseachV1!G:G,SNAreseachV1!N:N," ",0)</f>
        <v>#NAME?</v>
      </c>
      <c r="AC2" s="15"/>
      <c r="AD2" s="18" t="e">
        <f t="array" aca="1" ref="AD2" ca="1">_xludf.XLOOKUP(F2,SNAreseachV1!G:G,SNAreseachV1!O:O,"ไม่พบ",0)</f>
        <v>#NAME?</v>
      </c>
      <c r="AE2" s="18" t="e">
        <f t="array" aca="1" ref="AE2" ca="1">_xludf.XLOOKUP(L2,SNAreseachV1!C:C,SNAreseachV1!F:F,"ไม่พบ",0)</f>
        <v>#NAME?</v>
      </c>
      <c r="AF2" s="15"/>
      <c r="AG2" s="15"/>
      <c r="AH2" s="18" t="e">
        <f t="array" aca="1" ref="AH2" ca="1">_xludf.XLOOKUP(K2,PubFromDB!A:A,PubFromDB!K:K," ",0)</f>
        <v>#NAME?</v>
      </c>
      <c r="AI2" s="17" t="e">
        <f t="array" aca="1" ref="AI2" ca="1">_xludf.XLOOKUP(F2,Sheet6!A:A,Sheet6!C:C,"ไม่พบ",0)</f>
        <v>#NAME?</v>
      </c>
      <c r="AJ2" s="19"/>
      <c r="AK2" s="19"/>
      <c r="AL2" s="20">
        <v>1</v>
      </c>
      <c r="AM2" s="15"/>
    </row>
    <row r="3" spans="1:39" ht="16.5" customHeight="1">
      <c r="A3" s="10">
        <v>2015</v>
      </c>
      <c r="B3" s="10">
        <v>2015</v>
      </c>
      <c r="C3" s="10">
        <v>1</v>
      </c>
      <c r="D3" s="11" t="s">
        <v>48</v>
      </c>
      <c r="E3" s="10">
        <v>17466148</v>
      </c>
      <c r="F3" s="12" t="s">
        <v>49</v>
      </c>
      <c r="G3" s="10">
        <v>11</v>
      </c>
      <c r="H3" s="10">
        <v>5</v>
      </c>
      <c r="I3" s="10">
        <v>1</v>
      </c>
      <c r="J3" s="10">
        <v>7</v>
      </c>
      <c r="K3" s="10">
        <v>14952</v>
      </c>
      <c r="L3" s="11" t="s">
        <v>50</v>
      </c>
      <c r="M3" s="11" t="s">
        <v>51</v>
      </c>
      <c r="N3" s="13" t="s">
        <v>43</v>
      </c>
      <c r="O3" s="10">
        <v>1</v>
      </c>
      <c r="P3" s="10">
        <v>510108</v>
      </c>
      <c r="Q3" s="11" t="s">
        <v>52</v>
      </c>
      <c r="R3" s="12" t="s">
        <v>53</v>
      </c>
      <c r="S3" s="10">
        <v>10</v>
      </c>
      <c r="T3" s="10">
        <v>15</v>
      </c>
      <c r="U3" s="11" t="s">
        <v>54</v>
      </c>
      <c r="V3" s="18" t="e">
        <f t="array" aca="1" ref="V3" ca="1">_xludf.XLOOKUP(W3,KUVET_Researcher!E:E,KUVET_Researcher!L:L," ",0)</f>
        <v>#NAME?</v>
      </c>
      <c r="W3" s="15" t="e">
        <f t="array" aca="1" ref="W3" ca="1">_xludf.XLOOKUP(P3,KUVET_Researcher!A:A,KUVET_Researcher!E:E," ",0)</f>
        <v>#NAME?</v>
      </c>
      <c r="X3" s="15" t="e">
        <f t="array" aca="1" ref="X3" ca="1">_xludf.XLOOKUP(P3,KUVET_Researcher!A:A,KUVET_Researcher!F:F," ",0)</f>
        <v>#NAME?</v>
      </c>
      <c r="Y3" s="21" t="e">
        <f t="array" aca="1" ref="Y3" ca="1">_xludf.XLOOKUP(W3,KUVET_Researcher!E:E,KUVET_Researcher!G:G," ",0)</f>
        <v>#NAME?</v>
      </c>
      <c r="Z3" s="21" t="e">
        <f t="array" aca="1" ref="Z3" ca="1">_xludf.XLOOKUP(X3,KUVET_Researcher!F:F,KUVET_Researcher!H:H," ",0)</f>
        <v>#NAME?</v>
      </c>
      <c r="AA3" s="17" t="e">
        <f t="array" aca="1" ref="AA3" ca="1">_xludf.XLOOKUP(F3,Sheet6!A:A,Sheet6!D:D,"ไม่พบ",0)</f>
        <v>#NAME?</v>
      </c>
      <c r="AB3" s="18" t="e">
        <f t="array" aca="1" ref="AB3" ca="1">_xludf.XLOOKUP(F3,SNAreseachV1!G:G,SNAreseachV1!N:N," ",0)</f>
        <v>#NAME?</v>
      </c>
      <c r="AC3" s="11" t="s">
        <v>54</v>
      </c>
      <c r="AD3" s="18" t="e">
        <f t="array" aca="1" ref="AD3" ca="1">_xludf.XLOOKUP(F3,SNAreseachV1!G:G,SNAreseachV1!O:O,"ไม่พบ",0)</f>
        <v>#NAME?</v>
      </c>
      <c r="AE3" s="18" t="e">
        <f t="array" aca="1" ref="AE3" ca="1">_xludf.XLOOKUP(L3,SNAreseachV1!C:C,SNAreseachV1!F:F,"ไม่พบ",0)</f>
        <v>#NAME?</v>
      </c>
      <c r="AF3" s="15" t="e">
        <f t="array" aca="1" ref="AF3" ca="1">_xludf.XLOOKUP(L3,SNAreseachV1!C:C,SNAreseachV1!I:I," ",0)</f>
        <v>#NAME?</v>
      </c>
      <c r="AG3" s="22" t="s">
        <v>46</v>
      </c>
      <c r="AH3" s="15" t="e">
        <f t="array" aca="1" ref="AH3" ca="1">_xludf.XLOOKUP(K3,PubFromDB!A:A,PubFromDB!K:K," ",0)</f>
        <v>#NAME?</v>
      </c>
      <c r="AI3" s="17" t="e">
        <f t="array" aca="1" ref="AI3" ca="1">_xludf.XLOOKUP(F3,Sheet6!A:A,Sheet6!C:C,"ไม่พบ",0)</f>
        <v>#NAME?</v>
      </c>
      <c r="AJ3" s="15" t="s">
        <v>49</v>
      </c>
      <c r="AK3" s="15" t="s">
        <v>50</v>
      </c>
      <c r="AL3" s="20">
        <v>1</v>
      </c>
      <c r="AM3" s="15"/>
    </row>
    <row r="4" spans="1:39" ht="16.5" customHeight="1">
      <c r="A4" s="10">
        <v>2015</v>
      </c>
      <c r="B4" s="10">
        <v>2015</v>
      </c>
      <c r="C4" s="10">
        <v>1</v>
      </c>
      <c r="D4" s="11" t="s">
        <v>60</v>
      </c>
      <c r="E4" s="10">
        <v>1256491</v>
      </c>
      <c r="F4" s="11" t="s">
        <v>61</v>
      </c>
      <c r="G4" s="10">
        <v>45</v>
      </c>
      <c r="H4" s="10">
        <v>1</v>
      </c>
      <c r="I4" s="10">
        <v>1</v>
      </c>
      <c r="J4" s="10">
        <v>10</v>
      </c>
      <c r="K4" s="10">
        <v>15410</v>
      </c>
      <c r="L4" s="11" t="s">
        <v>62</v>
      </c>
      <c r="M4" s="11" t="s">
        <v>63</v>
      </c>
      <c r="N4" s="13" t="s">
        <v>43</v>
      </c>
      <c r="O4" s="10">
        <v>1</v>
      </c>
      <c r="P4" s="10">
        <v>420141</v>
      </c>
      <c r="Q4" s="11" t="s">
        <v>64</v>
      </c>
      <c r="R4" s="11" t="s">
        <v>65</v>
      </c>
      <c r="S4" s="10">
        <v>10</v>
      </c>
      <c r="T4" s="10">
        <v>17</v>
      </c>
      <c r="U4" s="11" t="s">
        <v>66</v>
      </c>
      <c r="V4" s="18" t="e">
        <f t="array" aca="1" ref="V4" ca="1">_xludf.XLOOKUP(W4,KUVET_Researcher!E:E,KUVET_Researcher!L:L," ",0)</f>
        <v>#NAME?</v>
      </c>
      <c r="W4" s="15" t="e">
        <f t="array" aca="1" ref="W4" ca="1">_xludf.XLOOKUP(P4,KUVET_Researcher!A:A,KUVET_Researcher!E:E," ",0)</f>
        <v>#NAME?</v>
      </c>
      <c r="X4" s="15" t="e">
        <f t="array" aca="1" ref="X4" ca="1">_xludf.XLOOKUP(P4,KUVET_Researcher!A:A,KUVET_Researcher!F:F," ",0)</f>
        <v>#NAME?</v>
      </c>
      <c r="Y4" s="21" t="e">
        <f t="array" aca="1" ref="Y4" ca="1">_xludf.XLOOKUP(W4,KUVET_Researcher!E:E,KUVET_Researcher!G:G," ",0)</f>
        <v>#NAME?</v>
      </c>
      <c r="Z4" s="21" t="e">
        <f t="array" aca="1" ref="Z4" ca="1">_xludf.XLOOKUP(X4,KUVET_Researcher!F:F,KUVET_Researcher!H:H," ",0)</f>
        <v>#NAME?</v>
      </c>
      <c r="AA4" s="17" t="e">
        <f t="array" aca="1" ref="AA4" ca="1">_xludf.XLOOKUP(F4,Sheet6!A:A,Sheet6!D:D,"ไม่พบ",0)</f>
        <v>#NAME?</v>
      </c>
      <c r="AB4" s="18" t="e">
        <f t="array" aca="1" ref="AB4" ca="1">_xludf.XLOOKUP(F4,SNAreseachV1!G:G,SNAreseachV1!N:N," ",0)</f>
        <v>#NAME?</v>
      </c>
      <c r="AC4" s="11" t="s">
        <v>66</v>
      </c>
      <c r="AD4" s="18" t="e">
        <f t="array" aca="1" ref="AD4" ca="1">_xludf.XLOOKUP(F4,SNAreseachV1!G:G,SNAreseachV1!O:O,"ไม่พบ",0)</f>
        <v>#NAME?</v>
      </c>
      <c r="AE4" s="18" t="e">
        <f t="array" aca="1" ref="AE4" ca="1">_xludf.XLOOKUP(L4,SNAreseachV1!C:C,SNAreseachV1!F:F,"ไม่พบ",0)</f>
        <v>#NAME?</v>
      </c>
      <c r="AF4" s="15" t="e">
        <f t="array" aca="1" ref="AF4" ca="1">_xludf.XLOOKUP(L4,SNAreseachV1!C:C,SNAreseachV1!I:I," ",0)</f>
        <v>#NAME?</v>
      </c>
      <c r="AG4" s="22" t="s">
        <v>46</v>
      </c>
      <c r="AH4" s="18" t="e">
        <f t="array" aca="1" ref="AH4" ca="1">_xludf.XLOOKUP(K4,PubFromDB!A:A,PubFromDB!K:K," ",0)</f>
        <v>#NAME?</v>
      </c>
      <c r="AI4" s="17" t="e">
        <f t="array" aca="1" ref="AI4" ca="1">_xludf.XLOOKUP(F4,Sheet6!A:A,Sheet6!C:C,"ไม่พบ",0)</f>
        <v>#NAME?</v>
      </c>
      <c r="AJ4" s="15" t="s">
        <v>61</v>
      </c>
      <c r="AK4" s="15" t="s">
        <v>62</v>
      </c>
      <c r="AL4" s="20">
        <v>1</v>
      </c>
      <c r="AM4" s="15"/>
    </row>
    <row r="5" spans="1:39" ht="16.5" customHeight="1">
      <c r="A5" s="10">
        <v>2015</v>
      </c>
      <c r="B5" s="10">
        <v>2015</v>
      </c>
      <c r="C5" s="10">
        <v>2</v>
      </c>
      <c r="D5" s="11" t="s">
        <v>71</v>
      </c>
      <c r="E5" s="10">
        <v>1407783</v>
      </c>
      <c r="F5" s="12" t="s">
        <v>72</v>
      </c>
      <c r="G5" s="10">
        <v>38</v>
      </c>
      <c r="H5" s="10">
        <v>1</v>
      </c>
      <c r="I5" s="10">
        <v>101</v>
      </c>
      <c r="J5" s="10">
        <v>104</v>
      </c>
      <c r="K5" s="10">
        <v>15252</v>
      </c>
      <c r="L5" s="11" t="s">
        <v>73</v>
      </c>
      <c r="M5" s="11" t="s">
        <v>74</v>
      </c>
      <c r="N5" s="13" t="s">
        <v>43</v>
      </c>
      <c r="O5" s="10">
        <v>1</v>
      </c>
      <c r="P5" s="10">
        <v>480578</v>
      </c>
      <c r="Q5" s="11" t="s">
        <v>75</v>
      </c>
      <c r="R5" s="11" t="s">
        <v>76</v>
      </c>
      <c r="S5" s="10">
        <v>10</v>
      </c>
      <c r="T5" s="10">
        <v>5</v>
      </c>
      <c r="U5" s="11" t="s">
        <v>77</v>
      </c>
      <c r="V5" s="18" t="e">
        <f t="array" aca="1" ref="V5" ca="1">_xludf.XLOOKUP(W5,KUVET_Researcher!E:E,KUVET_Researcher!L:L," ",0)</f>
        <v>#NAME?</v>
      </c>
      <c r="W5" s="15" t="e">
        <f t="array" aca="1" ref="W5" ca="1">_xludf.XLOOKUP(P5,KUVET_Researcher!A:A,KUVET_Researcher!E:E," ",0)</f>
        <v>#NAME?</v>
      </c>
      <c r="X5" s="15" t="e">
        <f t="array" aca="1" ref="X5" ca="1">_xludf.XLOOKUP(P5,KUVET_Researcher!A:A,KUVET_Researcher!F:F," ",0)</f>
        <v>#NAME?</v>
      </c>
      <c r="Y5" s="21" t="e">
        <f t="array" aca="1" ref="Y5" ca="1">_xludf.XLOOKUP(W5,KUVET_Researcher!E:E,KUVET_Researcher!G:G," ",0)</f>
        <v>#NAME?</v>
      </c>
      <c r="Z5" s="21" t="e">
        <f t="array" aca="1" ref="Z5" ca="1">_xludf.XLOOKUP(X5,KUVET_Researcher!F:F,KUVET_Researcher!H:H," ",0)</f>
        <v>#NAME?</v>
      </c>
      <c r="AA5" s="17" t="e">
        <f t="array" aca="1" ref="AA5" ca="1">_xludf.XLOOKUP(F5,Sheet6!A:A,Sheet6!D:D,"ไม่พบ",0)</f>
        <v>#NAME?</v>
      </c>
      <c r="AB5" s="18" t="e">
        <f t="array" aca="1" ref="AB5" ca="1">_xludf.XLOOKUP(F5,SNAreseachV1!G:G,SNAreseachV1!N:N," ",0)</f>
        <v>#NAME?</v>
      </c>
      <c r="AC5" s="11" t="s">
        <v>77</v>
      </c>
      <c r="AD5" s="18" t="e">
        <f t="array" aca="1" ref="AD5" ca="1">_xludf.XLOOKUP(F5,SNAreseachV1!G:G,SNAreseachV1!O:O,"ไม่พบ",0)</f>
        <v>#NAME?</v>
      </c>
      <c r="AE5" s="18" t="e">
        <f t="array" aca="1" ref="AE5" ca="1">_xludf.XLOOKUP(L5,SNAreseachV1!C:C,SNAreseachV1!F:F,"ไม่พบ",0)</f>
        <v>#NAME?</v>
      </c>
      <c r="AF5" s="15" t="e">
        <f t="array" aca="1" ref="AF5" ca="1">_xludf.XLOOKUP(L5,SNAreseachV1!C:C,SNAreseachV1!I:I," ",0)</f>
        <v>#NAME?</v>
      </c>
      <c r="AG5" s="22" t="s">
        <v>46</v>
      </c>
      <c r="AH5" s="18" t="e">
        <f t="array" aca="1" ref="AH5" ca="1">_xludf.XLOOKUP(K5,PubFromDB!A:A,PubFromDB!K:K," ",0)</f>
        <v>#NAME?</v>
      </c>
      <c r="AI5" s="17" t="e">
        <f t="array" aca="1" ref="AI5" ca="1">_xludf.XLOOKUP(F5,Sheet6!A:A,Sheet6!C:C,"ไม่พบ",0)</f>
        <v>#NAME?</v>
      </c>
      <c r="AJ5" s="15" t="s">
        <v>78</v>
      </c>
      <c r="AK5" s="15" t="s">
        <v>73</v>
      </c>
      <c r="AL5" s="20">
        <v>1</v>
      </c>
      <c r="AM5" s="15"/>
    </row>
    <row r="6" spans="1:39" ht="16.5" customHeight="1">
      <c r="A6" s="10">
        <v>2015</v>
      </c>
      <c r="B6" s="10">
        <v>2015</v>
      </c>
      <c r="C6" s="10">
        <v>2</v>
      </c>
      <c r="D6" s="11" t="s">
        <v>88</v>
      </c>
      <c r="E6" s="10">
        <v>22147500</v>
      </c>
      <c r="F6" s="11" t="s">
        <v>89</v>
      </c>
      <c r="G6" s="10">
        <v>2</v>
      </c>
      <c r="H6" s="10">
        <v>1</v>
      </c>
      <c r="I6" s="10">
        <v>351</v>
      </c>
      <c r="J6" s="10">
        <v>356</v>
      </c>
      <c r="K6" s="10">
        <v>15829</v>
      </c>
      <c r="L6" s="11" t="s">
        <v>90</v>
      </c>
      <c r="M6" s="11" t="s">
        <v>91</v>
      </c>
      <c r="N6" s="13" t="s">
        <v>43</v>
      </c>
      <c r="O6" s="10">
        <v>1</v>
      </c>
      <c r="P6" s="14"/>
      <c r="Q6" s="11" t="s">
        <v>92</v>
      </c>
      <c r="R6" s="11" t="s">
        <v>93</v>
      </c>
      <c r="S6" s="14"/>
      <c r="T6" s="14"/>
      <c r="U6" s="14"/>
      <c r="V6" s="18" t="e">
        <f t="array" aca="1" ref="V6" ca="1">_xludf.XLOOKUP(W6,KUVET_Researcher!E:E,KUVET_Researcher!L:L," ",0)</f>
        <v>#NAME?</v>
      </c>
      <c r="W6" s="15" t="e">
        <f t="array" aca="1" ref="W6" ca="1">_xludf.XLOOKUP(P6,KUVET_Researcher!A:A,KUVET_Researcher!E:E," ",0)</f>
        <v>#NAME?</v>
      </c>
      <c r="X6" s="15" t="e">
        <f t="array" aca="1" ref="X6" ca="1">_xludf.XLOOKUP(P6,KUVET_Researcher!A:A,KUVET_Researcher!F:F," ",0)</f>
        <v>#NAME?</v>
      </c>
      <c r="Y6" s="21" t="e">
        <f t="array" aca="1" ref="Y6" ca="1">_xludf.XLOOKUP(W6,KUVET_Researcher!E:E,KUVET_Researcher!G:G," ",0)</f>
        <v>#NAME?</v>
      </c>
      <c r="Z6" s="21" t="e">
        <f t="array" aca="1" ref="Z6" ca="1">_xludf.XLOOKUP(X6,KUVET_Researcher!F:F,KUVET_Researcher!H:H," ",0)</f>
        <v>#NAME?</v>
      </c>
      <c r="AA6" s="17" t="e">
        <f t="array" aca="1" ref="AA6" ca="1">_xludf.XLOOKUP(F6,Sheet6!A:A,Sheet6!D:D,"ไม่พบ",0)</f>
        <v>#NAME?</v>
      </c>
      <c r="AB6" s="18" t="e">
        <f t="array" aca="1" ref="AB6" ca="1">_xludf.XLOOKUP(F6,SNAreseachV1!G:G,SNAreseachV1!N:N," ",0)</f>
        <v>#NAME?</v>
      </c>
      <c r="AC6" s="15"/>
      <c r="AD6" s="18" t="e">
        <f t="array" aca="1" ref="AD6" ca="1">_xludf.XLOOKUP(F6,SNAreseachV1!G:G,SNAreseachV1!O:O,"ไม่พบ",0)</f>
        <v>#NAME?</v>
      </c>
      <c r="AE6" s="18" t="e">
        <f t="array" aca="1" ref="AE6" ca="1">_xludf.XLOOKUP(L6,SNAreseachV1!C:C,SNAreseachV1!F:F,"ไม่พบ",0)</f>
        <v>#NAME?</v>
      </c>
      <c r="AF6" s="15"/>
      <c r="AG6" s="15"/>
      <c r="AH6" s="18" t="e">
        <f t="array" aca="1" ref="AH6" ca="1">_xludf.XLOOKUP(K6,PubFromDB!A:A,PubFromDB!K:K," ",0)</f>
        <v>#NAME?</v>
      </c>
      <c r="AI6" s="17" t="e">
        <f t="array" aca="1" ref="AI6" ca="1">_xludf.XLOOKUP(F6,Sheet6!A:A,Sheet6!C:C,"ไม่พบ",0)</f>
        <v>#NAME?</v>
      </c>
      <c r="AJ6" s="19"/>
      <c r="AK6" s="19"/>
      <c r="AL6" s="20">
        <v>1</v>
      </c>
      <c r="AM6" s="15"/>
    </row>
    <row r="7" spans="1:39" ht="16.5" customHeight="1">
      <c r="A7" s="10">
        <v>2015</v>
      </c>
      <c r="B7" s="10">
        <v>2015</v>
      </c>
      <c r="C7" s="10">
        <v>2</v>
      </c>
      <c r="D7" s="11" t="s">
        <v>94</v>
      </c>
      <c r="E7" s="10">
        <v>224510</v>
      </c>
      <c r="F7" s="12" t="s">
        <v>95</v>
      </c>
      <c r="G7" s="10">
        <v>56</v>
      </c>
      <c r="H7" s="10">
        <v>2</v>
      </c>
      <c r="I7" s="10">
        <v>130</v>
      </c>
      <c r="J7" s="10">
        <v>133</v>
      </c>
      <c r="K7" s="10">
        <v>15967</v>
      </c>
      <c r="L7" s="11" t="s">
        <v>96</v>
      </c>
      <c r="M7" s="11" t="s">
        <v>97</v>
      </c>
      <c r="N7" s="13" t="s">
        <v>43</v>
      </c>
      <c r="O7" s="10">
        <v>1</v>
      </c>
      <c r="P7" s="14"/>
      <c r="Q7" s="11" t="s">
        <v>98</v>
      </c>
      <c r="R7" s="14"/>
      <c r="S7" s="14"/>
      <c r="T7" s="14"/>
      <c r="U7" s="14"/>
      <c r="V7" s="18" t="e">
        <f t="array" aca="1" ref="V7" ca="1">_xludf.XLOOKUP(W7,KUVET_Researcher!E:E,KUVET_Researcher!L:L," ",0)</f>
        <v>#NAME?</v>
      </c>
      <c r="W7" s="15" t="e">
        <f t="array" aca="1" ref="W7" ca="1">_xludf.XLOOKUP(P7,KUVET_Researcher!A:A,KUVET_Researcher!E:E," ",0)</f>
        <v>#NAME?</v>
      </c>
      <c r="X7" s="15" t="e">
        <f t="array" aca="1" ref="X7" ca="1">_xludf.XLOOKUP(P7,KUVET_Researcher!A:A,KUVET_Researcher!F:F," ",0)</f>
        <v>#NAME?</v>
      </c>
      <c r="Y7" s="21" t="e">
        <f t="array" aca="1" ref="Y7" ca="1">_xludf.XLOOKUP(W7,KUVET_Researcher!E:E,KUVET_Researcher!G:G," ",0)</f>
        <v>#NAME?</v>
      </c>
      <c r="Z7" s="21" t="e">
        <f t="array" aca="1" ref="Z7" ca="1">_xludf.XLOOKUP(X7,KUVET_Researcher!F:F,KUVET_Researcher!H:H," ",0)</f>
        <v>#NAME?</v>
      </c>
      <c r="AA7" s="17" t="e">
        <f t="array" aca="1" ref="AA7" ca="1">_xludf.XLOOKUP(F7,Sheet6!A:A,Sheet6!D:D,"ไม่พบ",0)</f>
        <v>#NAME?</v>
      </c>
      <c r="AB7" s="18" t="e">
        <f t="array" aca="1" ref="AB7" ca="1">_xludf.XLOOKUP(F7,SNAreseachV1!G:G,SNAreseachV1!N:N," ",0)</f>
        <v>#NAME?</v>
      </c>
      <c r="AC7" s="15"/>
      <c r="AD7" s="18" t="e">
        <f t="array" aca="1" ref="AD7" ca="1">_xludf.XLOOKUP(F7,SNAreseachV1!G:G,SNAreseachV1!O:O,"ไม่พบ",0)</f>
        <v>#NAME?</v>
      </c>
      <c r="AE7" s="18" t="e">
        <f t="array" aca="1" ref="AE7" ca="1">_xludf.XLOOKUP(L7,SNAreseachV1!C:C,SNAreseachV1!F:F,"ไม่พบ",0)</f>
        <v>#NAME?</v>
      </c>
      <c r="AF7" s="15"/>
      <c r="AG7" s="15"/>
      <c r="AH7" s="18" t="e">
        <f t="array" aca="1" ref="AH7" ca="1">_xludf.XLOOKUP(K7,PubFromDB!A:A,PubFromDB!K:K," ",0)</f>
        <v>#NAME?</v>
      </c>
      <c r="AI7" s="17" t="e">
        <f t="array" aca="1" ref="AI7" ca="1">_xludf.XLOOKUP(F7,Sheet6!A:A,Sheet6!C:C,"ไม่พบ",0)</f>
        <v>#NAME?</v>
      </c>
      <c r="AJ7" s="19"/>
      <c r="AK7" s="19"/>
      <c r="AL7" s="20">
        <v>1</v>
      </c>
      <c r="AM7" s="15"/>
    </row>
    <row r="8" spans="1:39" ht="16.5" customHeight="1">
      <c r="A8" s="10">
        <v>2015</v>
      </c>
      <c r="B8" s="10">
        <v>2015</v>
      </c>
      <c r="C8" s="10">
        <v>3</v>
      </c>
      <c r="D8" s="11" t="s">
        <v>116</v>
      </c>
      <c r="E8" s="10">
        <v>1688162</v>
      </c>
      <c r="F8" s="11" t="s">
        <v>117</v>
      </c>
      <c r="G8" s="10">
        <v>66</v>
      </c>
      <c r="H8" s="10">
        <v>2</v>
      </c>
      <c r="I8" s="10">
        <v>247</v>
      </c>
      <c r="J8" s="10">
        <v>256</v>
      </c>
      <c r="K8" s="10">
        <v>15452</v>
      </c>
      <c r="L8" s="11" t="s">
        <v>118</v>
      </c>
      <c r="M8" s="11" t="s">
        <v>119</v>
      </c>
      <c r="N8" s="13" t="s">
        <v>43</v>
      </c>
      <c r="O8" s="10">
        <v>1</v>
      </c>
      <c r="P8" s="10">
        <v>500073</v>
      </c>
      <c r="Q8" s="11" t="s">
        <v>83</v>
      </c>
      <c r="R8" s="11" t="s">
        <v>79</v>
      </c>
      <c r="S8" s="10">
        <v>38</v>
      </c>
      <c r="T8" s="10">
        <v>4</v>
      </c>
      <c r="U8" s="11" t="s">
        <v>84</v>
      </c>
      <c r="V8" s="18" t="e">
        <f t="array" aca="1" ref="V8" ca="1">_xludf.XLOOKUP(W8,KUVET_Researcher!E:E,KUVET_Researcher!L:L," ",0)</f>
        <v>#NAME?</v>
      </c>
      <c r="W8" s="15" t="e">
        <f t="array" aca="1" ref="W8" ca="1">_xludf.XLOOKUP(P8,KUVET_Researcher!A:A,KUVET_Researcher!E:E," ",0)</f>
        <v>#NAME?</v>
      </c>
      <c r="X8" s="15" t="e">
        <f t="array" aca="1" ref="X8" ca="1">_xludf.XLOOKUP(P8,KUVET_Researcher!A:A,KUVET_Researcher!F:F," ",0)</f>
        <v>#NAME?</v>
      </c>
      <c r="Y8" s="21" t="e">
        <f t="array" aca="1" ref="Y8" ca="1">_xludf.XLOOKUP(W8,KUVET_Researcher!E:E,KUVET_Researcher!G:G," ",0)</f>
        <v>#NAME?</v>
      </c>
      <c r="Z8" s="21" t="e">
        <f t="array" aca="1" ref="Z8" ca="1">_xludf.XLOOKUP(X8,KUVET_Researcher!F:F,KUVET_Researcher!H:H," ",0)</f>
        <v>#NAME?</v>
      </c>
      <c r="AA8" s="17" t="e">
        <f t="array" aca="1" ref="AA8" ca="1">_xludf.XLOOKUP(F8,Sheet6!A:A,Sheet6!D:D,"ไม่พบ",0)</f>
        <v>#NAME?</v>
      </c>
      <c r="AB8" s="18" t="e">
        <f t="array" aca="1" ref="AB8" ca="1">_xludf.XLOOKUP(F8,SNAreseachV1!G:G,SNAreseachV1!N:N," ",0)</f>
        <v>#NAME?</v>
      </c>
      <c r="AC8" s="15"/>
      <c r="AD8" s="18" t="e">
        <f t="array" aca="1" ref="AD8" ca="1">_xludf.XLOOKUP(F8,SNAreseachV1!G:G,SNAreseachV1!O:O,"ไม่พบ",0)</f>
        <v>#NAME?</v>
      </c>
      <c r="AE8" s="18" t="e">
        <f t="array" aca="1" ref="AE8" ca="1">_xludf.XLOOKUP(L8,SNAreseachV1!C:C,SNAreseachV1!F:F,"ไม่พบ",0)</f>
        <v>#NAME?</v>
      </c>
      <c r="AF8" s="15"/>
      <c r="AG8" s="15"/>
      <c r="AH8" s="18" t="e">
        <f t="array" aca="1" ref="AH8" ca="1">_xludf.XLOOKUP(K8,PubFromDB!A:A,PubFromDB!K:K," ",0)</f>
        <v>#NAME?</v>
      </c>
      <c r="AI8" s="17" t="e">
        <f t="array" aca="1" ref="AI8" ca="1">_xludf.XLOOKUP(F8,Sheet6!A:A,Sheet6!C:C,"ไม่พบ",0)</f>
        <v>#NAME?</v>
      </c>
      <c r="AJ8" s="19"/>
      <c r="AK8" s="19"/>
      <c r="AL8" s="20">
        <v>1</v>
      </c>
      <c r="AM8" s="15"/>
    </row>
  </sheetData>
  <autoFilter ref="A1:AM8" xr:uid="{00000000-0009-0000-0000-000000000000}"/>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8"/>
  <sheetViews>
    <sheetView workbookViewId="0">
      <pane ySplit="1" topLeftCell="A2" activePane="bottomLeft" state="frozen"/>
      <selection pane="bottomLeft" activeCell="A9" sqref="A9:XFD8833"/>
    </sheetView>
  </sheetViews>
  <sheetFormatPr defaultColWidth="12.625" defaultRowHeight="15" customHeight="1"/>
  <cols>
    <col min="1" max="3" width="13.5" customWidth="1"/>
    <col min="4" max="4" width="24.25" customWidth="1"/>
    <col min="5" max="5" width="16.25" customWidth="1"/>
    <col min="6" max="6" width="60.75" customWidth="1"/>
    <col min="7" max="10" width="13.5" customWidth="1"/>
    <col min="11" max="11" width="17.125" customWidth="1"/>
    <col min="12" max="12" width="39.375" customWidth="1"/>
    <col min="13" max="13" width="55.625" customWidth="1"/>
    <col min="14" max="15" width="13.5" customWidth="1"/>
    <col min="16" max="16" width="20.375" customWidth="1"/>
    <col min="17" max="17" width="23.875" customWidth="1"/>
    <col min="18" max="18" width="57.375" customWidth="1"/>
    <col min="19" max="19" width="22.875" customWidth="1"/>
    <col min="20" max="20" width="13.5" customWidth="1"/>
    <col min="21" max="21" width="42.25" customWidth="1"/>
    <col min="22" max="23" width="13.5" customWidth="1"/>
    <col min="24" max="24" width="18" customWidth="1"/>
    <col min="25" max="25" width="13.5" customWidth="1"/>
    <col min="26" max="26" width="17.625" customWidth="1"/>
    <col min="27" max="27" width="13.5" customWidth="1"/>
    <col min="28" max="28" width="18.125" customWidth="1"/>
    <col min="29" max="29" width="44.5" customWidth="1"/>
    <col min="30" max="30" width="13.5" customWidth="1"/>
    <col min="31" max="31" width="26.5" customWidth="1"/>
    <col min="32" max="33" width="22.625" customWidth="1"/>
    <col min="34" max="34" width="16.625" customWidth="1"/>
    <col min="35" max="35" width="22.625" customWidth="1"/>
    <col min="36" max="36" width="21.75" customWidth="1"/>
    <col min="37" max="37" width="29.625" customWidth="1"/>
    <col min="38" max="41" width="13.5" customWidth="1"/>
  </cols>
  <sheetData>
    <row r="1" spans="1:41" ht="16.5" customHeight="1">
      <c r="A1" s="1" t="s">
        <v>0</v>
      </c>
      <c r="B1" s="1" t="s">
        <v>1</v>
      </c>
      <c r="C1" s="1" t="s">
        <v>2</v>
      </c>
      <c r="D1" s="1" t="s">
        <v>3</v>
      </c>
      <c r="E1" s="2" t="s">
        <v>4</v>
      </c>
      <c r="F1" s="1" t="s">
        <v>5</v>
      </c>
      <c r="G1" s="1" t="s">
        <v>6</v>
      </c>
      <c r="H1" s="1" t="s">
        <v>7</v>
      </c>
      <c r="I1" s="2" t="s">
        <v>8</v>
      </c>
      <c r="J1" s="1" t="s">
        <v>9</v>
      </c>
      <c r="K1" s="1" t="s">
        <v>10</v>
      </c>
      <c r="L1" s="1" t="s">
        <v>11</v>
      </c>
      <c r="M1" s="1" t="s">
        <v>12</v>
      </c>
      <c r="N1" s="1" t="s">
        <v>13</v>
      </c>
      <c r="O1" s="1" t="s">
        <v>14</v>
      </c>
      <c r="P1" s="1" t="s">
        <v>15</v>
      </c>
      <c r="Q1" s="1" t="s">
        <v>487</v>
      </c>
      <c r="R1" s="25" t="s">
        <v>17</v>
      </c>
      <c r="S1" s="1" t="s">
        <v>18</v>
      </c>
      <c r="T1" s="1" t="s">
        <v>19</v>
      </c>
      <c r="U1" s="1" t="s">
        <v>20</v>
      </c>
      <c r="V1" s="4" t="s">
        <v>21</v>
      </c>
      <c r="W1" s="1" t="s">
        <v>22</v>
      </c>
      <c r="X1" s="1" t="s">
        <v>23</v>
      </c>
      <c r="Y1" s="5" t="s">
        <v>24</v>
      </c>
      <c r="Z1" s="1" t="s">
        <v>25</v>
      </c>
      <c r="AA1" s="6" t="s">
        <v>26</v>
      </c>
      <c r="AB1" s="7" t="s">
        <v>27</v>
      </c>
      <c r="AC1" s="3" t="s">
        <v>28</v>
      </c>
      <c r="AD1" s="6" t="s">
        <v>29</v>
      </c>
      <c r="AE1" s="8" t="s">
        <v>30</v>
      </c>
      <c r="AF1" s="9" t="s">
        <v>31</v>
      </c>
      <c r="AG1" s="6" t="s">
        <v>32</v>
      </c>
      <c r="AH1" s="8" t="s">
        <v>33</v>
      </c>
      <c r="AI1" s="8" t="s">
        <v>34</v>
      </c>
      <c r="AJ1" s="25" t="s">
        <v>35</v>
      </c>
      <c r="AK1" s="1" t="s">
        <v>36</v>
      </c>
      <c r="AL1" s="1" t="s">
        <v>37</v>
      </c>
      <c r="AM1" s="1" t="s">
        <v>38</v>
      </c>
      <c r="AN1" s="1" t="s">
        <v>488</v>
      </c>
      <c r="AO1" s="1" t="s">
        <v>489</v>
      </c>
    </row>
    <row r="2" spans="1:41" ht="16.5" customHeight="1">
      <c r="A2" s="26">
        <v>2015</v>
      </c>
      <c r="B2" s="26">
        <v>2015</v>
      </c>
      <c r="C2" s="26">
        <v>3</v>
      </c>
      <c r="D2" s="27" t="s">
        <v>102</v>
      </c>
      <c r="E2" s="26">
        <v>14672995</v>
      </c>
      <c r="F2" s="27" t="s">
        <v>103</v>
      </c>
      <c r="G2" s="26">
        <v>42</v>
      </c>
      <c r="H2" s="26">
        <v>2</v>
      </c>
      <c r="I2" s="26">
        <v>182</v>
      </c>
      <c r="J2" s="26">
        <v>186</v>
      </c>
      <c r="K2" s="26">
        <v>14102</v>
      </c>
      <c r="L2" s="27" t="s">
        <v>104</v>
      </c>
      <c r="M2" s="27" t="s">
        <v>105</v>
      </c>
      <c r="N2" s="27" t="s">
        <v>43</v>
      </c>
      <c r="O2" s="26">
        <v>1</v>
      </c>
      <c r="P2" s="28"/>
      <c r="Q2" s="27" t="s">
        <v>106</v>
      </c>
      <c r="R2" s="29" t="s">
        <v>107</v>
      </c>
      <c r="S2" s="28"/>
      <c r="T2" s="28"/>
      <c r="U2" s="28"/>
      <c r="V2" s="15"/>
      <c r="W2" s="28"/>
      <c r="X2" s="28"/>
      <c r="Y2" s="16" t="e">
        <f t="array" aca="1" ref="Y2" ca="1">_xludf.XLOOKUP(W2,KUVET_Researcher!E:E,KUVET_Researcher!G:G," ",0)</f>
        <v>#NAME?</v>
      </c>
      <c r="Z2" s="15" t="e">
        <f t="array" aca="1" ref="Z2" ca="1">_xludf.XLOOKUP(X2,KUVET_Researcher!F:F,KUVET_Researcher!H:H,"",0)</f>
        <v>#NAME?</v>
      </c>
      <c r="AA2" s="17" t="e">
        <f t="array" aca="1" ref="AA2" ca="1">_xludf.XLOOKUP(F2,Sheet6!A:A,Sheet6!D:D,"ไม่พบ",0)</f>
        <v>#NAME?</v>
      </c>
      <c r="AB2" s="18" t="e">
        <f t="array" aca="1" ref="AB2" ca="1">_xludf.XLOOKUP(F2,SNAreseachV1!G:G,SNAreseachV1!N:N," ",0)</f>
        <v>#NAME?</v>
      </c>
      <c r="AC2" s="15"/>
      <c r="AD2" s="18" t="e">
        <f t="array" aca="1" ref="AD2" ca="1">_xludf.XLOOKUP(F2,SNAreseachV1!G:G,SNAreseachV1!O:O,"ไม่พบ",0)</f>
        <v>#NAME?</v>
      </c>
      <c r="AE2" s="18" t="e">
        <f t="array" aca="1" ref="AE2" ca="1">_xludf.XLOOKUP(L2,SNAreseachV1!C:C,SNAreseachV1!F:F,"ไม่พบ",0)</f>
        <v>#NAME?</v>
      </c>
      <c r="AF2" s="15"/>
      <c r="AG2" s="15"/>
      <c r="AH2" s="18" t="e">
        <f t="array" aca="1" ref="AH2" ca="1">_xludf.XLOOKUP(K2,PubFromDB!A:A,PubFromDB!K:K," ",0)</f>
        <v>#NAME?</v>
      </c>
      <c r="AI2" s="17" t="e">
        <f t="array" aca="1" ref="AI2" ca="1">_xludf.XLOOKUP(F2,Sheet6!A:A,Sheet6!C:C,"ไม่พบ",0)</f>
        <v>#NAME?</v>
      </c>
      <c r="AJ2" s="19"/>
      <c r="AK2" s="19"/>
      <c r="AL2" s="20">
        <v>1</v>
      </c>
      <c r="AM2" s="15"/>
      <c r="AN2" s="15"/>
      <c r="AO2" s="15" t="e">
        <f t="array" aca="1" ref="AO2" ca="1">_xludf.XLOOKUP(AN2,Cluster!D:D,Cluster!F:F,"",0)</f>
        <v>#NAME?</v>
      </c>
    </row>
    <row r="3" spans="1:41" ht="16.5" customHeight="1">
      <c r="A3" s="26">
        <v>2015</v>
      </c>
      <c r="B3" s="26">
        <v>2015</v>
      </c>
      <c r="C3" s="26">
        <v>1</v>
      </c>
      <c r="D3" s="30" t="s">
        <v>68</v>
      </c>
      <c r="E3" s="26">
        <v>10112367</v>
      </c>
      <c r="F3" s="27" t="s">
        <v>40</v>
      </c>
      <c r="G3" s="26">
        <v>28</v>
      </c>
      <c r="H3" s="26">
        <v>1</v>
      </c>
      <c r="I3" s="26">
        <v>14</v>
      </c>
      <c r="J3" s="26">
        <v>19</v>
      </c>
      <c r="K3" s="26">
        <v>14813</v>
      </c>
      <c r="L3" s="27" t="s">
        <v>41</v>
      </c>
      <c r="M3" s="27" t="s">
        <v>42</v>
      </c>
      <c r="N3" s="27" t="s">
        <v>43</v>
      </c>
      <c r="O3" s="26">
        <v>7</v>
      </c>
      <c r="P3" s="28"/>
      <c r="Q3" s="27" t="s">
        <v>47</v>
      </c>
      <c r="R3" s="31"/>
      <c r="S3" s="28"/>
      <c r="T3" s="28"/>
      <c r="U3" s="28"/>
      <c r="V3" s="18" t="e">
        <f t="array" aca="1" ref="V3" ca="1">_xludf.XLOOKUP(W3,KUVET_Researcher!E:E,KUVET_Researcher!L:L," ",0)</f>
        <v>#NAME?</v>
      </c>
      <c r="W3" s="28"/>
      <c r="X3" s="28"/>
      <c r="Y3" s="19" t="e">
        <f t="array" aca="1" ref="Y3" ca="1">_xludf.XLOOKUP(W3,KUVET_Researcher!E:E,KUVET_Researcher!G:G," ",0)</f>
        <v>#NAME?</v>
      </c>
      <c r="Z3" s="19" t="e">
        <f t="array" aca="1" ref="Z3" ca="1">_xludf.XLOOKUP(X3,KUVET_Researcher!F:F,KUVET_Researcher!H:H," ",0)</f>
        <v>#NAME?</v>
      </c>
      <c r="AA3" s="17" t="e">
        <f t="array" aca="1" ref="AA3" ca="1">_xludf.XLOOKUP(F3,Sheet6!A:A,Sheet6!D:D,"ไม่พบ",0)</f>
        <v>#NAME?</v>
      </c>
      <c r="AB3" s="18" t="e">
        <f t="array" aca="1" ref="AB3" ca="1">_xludf.XLOOKUP(F3,SNAreseachV1!G:G,SNAreseachV1!N:N," ",0)</f>
        <v>#NAME?</v>
      </c>
      <c r="AC3" s="28"/>
      <c r="AD3" s="18" t="e">
        <f t="array" aca="1" ref="AD3" ca="1">_xludf.XLOOKUP(F3,SNAreseachV1!G:G,SNAreseachV1!O:O,"ไม่พบ",0)</f>
        <v>#NAME?</v>
      </c>
      <c r="AE3" s="18" t="e">
        <f t="array" aca="1" ref="AE3" ca="1">_xludf.XLOOKUP(L3,SNAreseachV1!C:C,SNAreseachV1!F:F,"ไม่พบ",0)</f>
        <v>#NAME?</v>
      </c>
      <c r="AF3" s="15"/>
      <c r="AG3" s="15"/>
      <c r="AH3" s="18" t="e">
        <f t="array" aca="1" ref="AH3" ca="1">_xludf.XLOOKUP(K3,PubFromDB!A:A,PubFromDB!K:K," ",0)</f>
        <v>#NAME?</v>
      </c>
      <c r="AI3" s="17" t="e">
        <f t="array" aca="1" ref="AI3" ca="1">_xludf.XLOOKUP(F3,Sheet6!A:A,Sheet6!C:C,"ไม่พบ",0)</f>
        <v>#NAME?</v>
      </c>
      <c r="AJ3" s="19"/>
      <c r="AK3" s="19"/>
      <c r="AL3" s="20">
        <v>1</v>
      </c>
      <c r="AM3" s="15"/>
      <c r="AN3" s="15"/>
      <c r="AO3" s="15" t="e">
        <f t="array" aca="1" ref="AO3" ca="1">_xludf.XLOOKUP(AN3,Cluster!D:D,Cluster!F:F,"",0)</f>
        <v>#NAME?</v>
      </c>
    </row>
    <row r="4" spans="1:41" ht="16.5" customHeight="1">
      <c r="A4" s="26">
        <v>2015</v>
      </c>
      <c r="B4" s="26">
        <v>2015</v>
      </c>
      <c r="C4" s="26">
        <v>1</v>
      </c>
      <c r="D4" s="27" t="s">
        <v>48</v>
      </c>
      <c r="E4" s="26">
        <v>17466148</v>
      </c>
      <c r="F4" s="27" t="s">
        <v>49</v>
      </c>
      <c r="G4" s="26">
        <v>11</v>
      </c>
      <c r="H4" s="26">
        <v>5</v>
      </c>
      <c r="I4" s="26">
        <v>1</v>
      </c>
      <c r="J4" s="26">
        <v>7</v>
      </c>
      <c r="K4" s="26">
        <v>14952</v>
      </c>
      <c r="L4" s="27" t="s">
        <v>50</v>
      </c>
      <c r="M4" s="27" t="s">
        <v>51</v>
      </c>
      <c r="N4" s="27" t="s">
        <v>43</v>
      </c>
      <c r="O4" s="26">
        <v>1</v>
      </c>
      <c r="P4" s="26">
        <v>510108</v>
      </c>
      <c r="Q4" s="27" t="s">
        <v>52</v>
      </c>
      <c r="R4" s="29" t="s">
        <v>53</v>
      </c>
      <c r="S4" s="26">
        <v>10</v>
      </c>
      <c r="T4" s="26">
        <v>15</v>
      </c>
      <c r="U4" s="27" t="s">
        <v>54</v>
      </c>
      <c r="V4" s="18" t="e">
        <f t="array" aca="1" ref="V4" ca="1">_xludf.XLOOKUP(W4,KUVET_Researcher!E:E,KUVET_Researcher!L:L," ",0)</f>
        <v>#NAME?</v>
      </c>
      <c r="W4" s="27" t="s">
        <v>498</v>
      </c>
      <c r="X4" s="27" t="s">
        <v>499</v>
      </c>
      <c r="Y4" s="19" t="e">
        <f t="array" aca="1" ref="Y4" ca="1">_xludf.XLOOKUP(W4,KUVET_Researcher!E:E,KUVET_Researcher!G:G," ",0)</f>
        <v>#NAME?</v>
      </c>
      <c r="Z4" s="19" t="e">
        <f t="array" aca="1" ref="Z4" ca="1">_xludf.XLOOKUP(X4,KUVET_Researcher!F:F,KUVET_Researcher!H:H," ",0)</f>
        <v>#NAME?</v>
      </c>
      <c r="AA4" s="17" t="e">
        <f t="array" aca="1" ref="AA4" ca="1">_xludf.XLOOKUP(F4,Sheet6!A:A,Sheet6!D:D,"ไม่พบ",0)</f>
        <v>#NAME?</v>
      </c>
      <c r="AB4" s="18" t="e">
        <f t="array" aca="1" ref="AB4" ca="1">_xludf.XLOOKUP(F4,SNAreseachV1!G:G,SNAreseachV1!N:N," ",0)</f>
        <v>#NAME?</v>
      </c>
      <c r="AC4" s="27" t="s">
        <v>54</v>
      </c>
      <c r="AD4" s="18" t="e">
        <f t="array" aca="1" ref="AD4" ca="1">_xludf.XLOOKUP(F4,SNAreseachV1!G:G,SNAreseachV1!O:O,"ไม่พบ",0)</f>
        <v>#NAME?</v>
      </c>
      <c r="AE4" s="18" t="e">
        <f t="array" aca="1" ref="AE4" ca="1">_xludf.XLOOKUP(L4,SNAreseachV1!C:C,SNAreseachV1!F:F,"ไม่พบ",0)</f>
        <v>#NAME?</v>
      </c>
      <c r="AF4" s="15"/>
      <c r="AG4" s="15"/>
      <c r="AH4" s="18" t="e">
        <f t="array" aca="1" ref="AH4" ca="1">_xludf.XLOOKUP(K4,PubFromDB!A:A,PubFromDB!K:K," ",0)</f>
        <v>#NAME?</v>
      </c>
      <c r="AI4" s="17" t="e">
        <f t="array" aca="1" ref="AI4" ca="1">_xludf.XLOOKUP(F4,Sheet6!A:A,Sheet6!C:C,"ไม่พบ",0)</f>
        <v>#NAME?</v>
      </c>
      <c r="AJ4" s="19"/>
      <c r="AK4" s="19" t="e">
        <f ca="1">_xludf.TEXTJOIN("",TRUE,V4,W4," ")&amp;X4</f>
        <v>#NAME?</v>
      </c>
      <c r="AL4" s="20">
        <v>1</v>
      </c>
      <c r="AM4" s="15"/>
      <c r="AN4" s="15"/>
      <c r="AO4" s="15" t="e">
        <f t="array" aca="1" ref="AO4" ca="1">_xludf.XLOOKUP(AN4,Cluster!D:D,Cluster!F:F,"",0)</f>
        <v>#NAME?</v>
      </c>
    </row>
    <row r="5" spans="1:41" ht="16.5" customHeight="1">
      <c r="A5" s="26">
        <v>2015</v>
      </c>
      <c r="B5" s="26">
        <v>2015</v>
      </c>
      <c r="C5" s="26">
        <v>2</v>
      </c>
      <c r="D5" s="27" t="s">
        <v>71</v>
      </c>
      <c r="E5" s="26">
        <v>1407783</v>
      </c>
      <c r="F5" s="27" t="s">
        <v>72</v>
      </c>
      <c r="G5" s="26">
        <v>38</v>
      </c>
      <c r="H5" s="26">
        <v>1</v>
      </c>
      <c r="I5" s="26">
        <v>101</v>
      </c>
      <c r="J5" s="26">
        <v>104</v>
      </c>
      <c r="K5" s="26">
        <v>15252</v>
      </c>
      <c r="L5" s="27" t="s">
        <v>73</v>
      </c>
      <c r="M5" s="27" t="s">
        <v>74</v>
      </c>
      <c r="N5" s="27" t="s">
        <v>43</v>
      </c>
      <c r="O5" s="26">
        <v>1</v>
      </c>
      <c r="P5" s="26">
        <v>480578</v>
      </c>
      <c r="Q5" s="27" t="s">
        <v>75</v>
      </c>
      <c r="R5" s="29" t="s">
        <v>76</v>
      </c>
      <c r="S5" s="26">
        <v>10</v>
      </c>
      <c r="T5" s="26">
        <v>5</v>
      </c>
      <c r="U5" s="27" t="s">
        <v>77</v>
      </c>
      <c r="V5" s="18" t="e">
        <f t="array" aca="1" ref="V5" ca="1">_xludf.XLOOKUP(W5,KUVET_Researcher!E:E,KUVET_Researcher!L:L," ",0)</f>
        <v>#NAME?</v>
      </c>
      <c r="W5" s="27" t="s">
        <v>500</v>
      </c>
      <c r="X5" s="27" t="s">
        <v>501</v>
      </c>
      <c r="Y5" s="19" t="e">
        <f t="array" aca="1" ref="Y5" ca="1">_xludf.XLOOKUP(W5,KUVET_Researcher!E:E,KUVET_Researcher!G:G," ",0)</f>
        <v>#NAME?</v>
      </c>
      <c r="Z5" s="19" t="e">
        <f t="array" aca="1" ref="Z5" ca="1">_xludf.XLOOKUP(X5,KUVET_Researcher!F:F,KUVET_Researcher!H:H," ",0)</f>
        <v>#NAME?</v>
      </c>
      <c r="AA5" s="17" t="e">
        <f t="array" aca="1" ref="AA5" ca="1">_xludf.XLOOKUP(F5,Sheet6!A:A,Sheet6!D:D,"ไม่พบ",0)</f>
        <v>#NAME?</v>
      </c>
      <c r="AB5" s="18" t="e">
        <f t="array" aca="1" ref="AB5" ca="1">_xludf.XLOOKUP(F5,SNAreseachV1!G:G,SNAreseachV1!N:N," ",0)</f>
        <v>#NAME?</v>
      </c>
      <c r="AC5" s="27" t="s">
        <v>77</v>
      </c>
      <c r="AD5" s="18" t="e">
        <f t="array" aca="1" ref="AD5" ca="1">_xludf.XLOOKUP(F5,SNAreseachV1!G:G,SNAreseachV1!O:O,"ไม่พบ",0)</f>
        <v>#NAME?</v>
      </c>
      <c r="AE5" s="18" t="e">
        <f t="array" aca="1" ref="AE5" ca="1">_xludf.XLOOKUP(L5,SNAreseachV1!C:C,SNAreseachV1!F:F,"ไม่พบ",0)</f>
        <v>#NAME?</v>
      </c>
      <c r="AF5" s="15"/>
      <c r="AG5" s="15"/>
      <c r="AH5" s="18" t="e">
        <f t="array" aca="1" ref="AH5" ca="1">_xludf.XLOOKUP(K5,PubFromDB!A:A,PubFromDB!K:K," ",0)</f>
        <v>#NAME?</v>
      </c>
      <c r="AI5" s="17" t="e">
        <f t="array" aca="1" ref="AI5" ca="1">_xludf.XLOOKUP(F5,Sheet6!A:A,Sheet6!C:C,"ไม่พบ",0)</f>
        <v>#NAME?</v>
      </c>
      <c r="AJ5" s="19"/>
      <c r="AK5" s="19" t="e">
        <f t="shared" ref="AK5" ca="1" si="0">_xludf.TEXTJOIN("",TRUE,V5,W5," ")&amp;X5</f>
        <v>#NAME?</v>
      </c>
      <c r="AL5" s="15"/>
      <c r="AM5" s="20">
        <v>1</v>
      </c>
      <c r="AN5" s="20"/>
      <c r="AO5" s="15" t="e">
        <f t="array" aca="1" ref="AO5" ca="1">_xludf.XLOOKUP(AN5,Cluster!D:D,Cluster!F:F,"",0)</f>
        <v>#NAME?</v>
      </c>
    </row>
    <row r="6" spans="1:41" ht="16.5" customHeight="1">
      <c r="A6" s="26">
        <v>2015</v>
      </c>
      <c r="B6" s="26">
        <v>2015</v>
      </c>
      <c r="C6" s="26">
        <v>3</v>
      </c>
      <c r="D6" s="27" t="s">
        <v>39</v>
      </c>
      <c r="E6" s="26" t="s">
        <v>110</v>
      </c>
      <c r="F6" s="27" t="s">
        <v>111</v>
      </c>
      <c r="G6" s="26">
        <v>16</v>
      </c>
      <c r="H6" s="26">
        <v>1</v>
      </c>
      <c r="I6" s="26">
        <v>67</v>
      </c>
      <c r="J6" s="26">
        <v>74</v>
      </c>
      <c r="K6" s="26">
        <v>15414</v>
      </c>
      <c r="L6" s="27" t="s">
        <v>112</v>
      </c>
      <c r="M6" s="27" t="s">
        <v>113</v>
      </c>
      <c r="N6" s="27" t="s">
        <v>43</v>
      </c>
      <c r="O6" s="26">
        <v>1</v>
      </c>
      <c r="P6" s="28"/>
      <c r="Q6" s="27" t="s">
        <v>114</v>
      </c>
      <c r="R6" s="29" t="s">
        <v>115</v>
      </c>
      <c r="S6" s="28"/>
      <c r="T6" s="28"/>
      <c r="U6" s="28"/>
      <c r="V6" s="18" t="e">
        <f t="array" aca="1" ref="V6" ca="1">_xludf.XLOOKUP(W6,KUVET_Researcher!E:E,KUVET_Researcher!L:L," ",0)</f>
        <v>#NAME?</v>
      </c>
      <c r="W6" s="28"/>
      <c r="X6" s="28"/>
      <c r="Y6" s="19" t="e">
        <f t="array" aca="1" ref="Y6" ca="1">_xludf.XLOOKUP(W6,KUVET_Researcher!E:E,KUVET_Researcher!G:G," ",0)</f>
        <v>#NAME?</v>
      </c>
      <c r="Z6" s="19" t="e">
        <f t="array" aca="1" ref="Z6" ca="1">_xludf.XLOOKUP(X6,KUVET_Researcher!F:F,KUVET_Researcher!H:H," ",0)</f>
        <v>#NAME?</v>
      </c>
      <c r="AA6" s="17" t="e">
        <f t="array" aca="1" ref="AA6" ca="1">_xludf.XLOOKUP(F6,Sheet6!A:A,Sheet6!D:D,"ไม่พบ",0)</f>
        <v>#NAME?</v>
      </c>
      <c r="AB6" s="18" t="e">
        <f t="array" aca="1" ref="AB6" ca="1">_xludf.XLOOKUP(F6,SNAreseachV1!G:G,SNAreseachV1!N:N," ",0)</f>
        <v>#NAME?</v>
      </c>
      <c r="AC6" s="28"/>
      <c r="AD6" s="18" t="e">
        <f t="array" aca="1" ref="AD6" ca="1">_xludf.XLOOKUP(F6,SNAreseachV1!G:G,SNAreseachV1!O:O,"ไม่พบ",0)</f>
        <v>#NAME?</v>
      </c>
      <c r="AE6" s="18" t="e">
        <f t="array" aca="1" ref="AE6" ca="1">_xludf.XLOOKUP(L6,SNAreseachV1!C:C,SNAreseachV1!F:F,"ไม่พบ",0)</f>
        <v>#NAME?</v>
      </c>
      <c r="AF6" s="15"/>
      <c r="AG6" s="15"/>
      <c r="AH6" s="18" t="e">
        <f t="array" aca="1" ref="AH6" ca="1">_xludf.XLOOKUP(K6,PubFromDB!A:A,PubFromDB!K:K," ",0)</f>
        <v>#NAME?</v>
      </c>
      <c r="AI6" s="17" t="e">
        <f t="array" aca="1" ref="AI6" ca="1">_xludf.XLOOKUP(F6,Sheet6!A:A,Sheet6!C:C,"ไม่พบ",0)</f>
        <v>#NAME?</v>
      </c>
      <c r="AJ6" s="19"/>
      <c r="AK6" s="19"/>
      <c r="AL6" s="20">
        <v>1</v>
      </c>
      <c r="AM6" s="15"/>
      <c r="AN6" s="15"/>
      <c r="AO6" s="15" t="e">
        <f t="array" aca="1" ref="AO6" ca="1">_xludf.XLOOKUP(AN6,Cluster!D:D,Cluster!F:F,"",0)</f>
        <v>#NAME?</v>
      </c>
    </row>
    <row r="7" spans="1:41" ht="16.5" customHeight="1">
      <c r="A7" s="26">
        <v>2015</v>
      </c>
      <c r="B7" s="26">
        <v>2015</v>
      </c>
      <c r="C7" s="26">
        <v>3</v>
      </c>
      <c r="D7" s="27" t="s">
        <v>116</v>
      </c>
      <c r="E7" s="26">
        <v>1688162</v>
      </c>
      <c r="F7" s="27" t="s">
        <v>117</v>
      </c>
      <c r="G7" s="26">
        <v>66</v>
      </c>
      <c r="H7" s="26">
        <v>2</v>
      </c>
      <c r="I7" s="26">
        <v>247</v>
      </c>
      <c r="J7" s="26">
        <v>256</v>
      </c>
      <c r="K7" s="26">
        <v>15452</v>
      </c>
      <c r="L7" s="27" t="s">
        <v>118</v>
      </c>
      <c r="M7" s="27" t="s">
        <v>119</v>
      </c>
      <c r="N7" s="27" t="s">
        <v>43</v>
      </c>
      <c r="O7" s="26">
        <v>6</v>
      </c>
      <c r="P7" s="26">
        <v>280010</v>
      </c>
      <c r="Q7" s="27" t="s">
        <v>85</v>
      </c>
      <c r="R7" s="29" t="s">
        <v>86</v>
      </c>
      <c r="S7" s="26">
        <v>38</v>
      </c>
      <c r="T7" s="26">
        <v>3</v>
      </c>
      <c r="U7" s="27" t="s">
        <v>87</v>
      </c>
      <c r="V7" s="18" t="e">
        <f t="array" aca="1" ref="V7" ca="1">_xludf.XLOOKUP(W7,KUVET_Researcher!E:E,KUVET_Researcher!L:L," ",0)</f>
        <v>#NAME?</v>
      </c>
      <c r="W7" s="27" t="s">
        <v>502</v>
      </c>
      <c r="X7" s="27" t="s">
        <v>503</v>
      </c>
      <c r="Y7" s="19" t="e">
        <f t="array" aca="1" ref="Y7" ca="1">_xludf.XLOOKUP(W7,KUVET_Researcher!E:E,KUVET_Researcher!G:G," ",0)</f>
        <v>#NAME?</v>
      </c>
      <c r="Z7" s="19" t="e">
        <f t="array" aca="1" ref="Z7" ca="1">_xludf.XLOOKUP(X7,KUVET_Researcher!F:F,KUVET_Researcher!H:H," ",0)</f>
        <v>#NAME?</v>
      </c>
      <c r="AA7" s="17" t="e">
        <f t="array" aca="1" ref="AA7" ca="1">_xludf.XLOOKUP(F7,Sheet6!A:A,Sheet6!D:D,"ไม่พบ",0)</f>
        <v>#NAME?</v>
      </c>
      <c r="AB7" s="18" t="e">
        <f t="array" aca="1" ref="AB7" ca="1">_xludf.XLOOKUP(F7,SNAreseachV1!G:G,SNAreseachV1!N:N," ",0)</f>
        <v>#NAME?</v>
      </c>
      <c r="AC7" s="27" t="s">
        <v>87</v>
      </c>
      <c r="AD7" s="18" t="e">
        <f t="array" aca="1" ref="AD7" ca="1">_xludf.XLOOKUP(F7,SNAreseachV1!G:G,SNAreseachV1!O:O,"ไม่พบ",0)</f>
        <v>#NAME?</v>
      </c>
      <c r="AE7" s="18" t="e">
        <f t="array" aca="1" ref="AE7" ca="1">_xludf.XLOOKUP(L7,SNAreseachV1!C:C,SNAreseachV1!F:F,"ไม่พบ",0)</f>
        <v>#NAME?</v>
      </c>
      <c r="AF7" s="15"/>
      <c r="AG7" s="15"/>
      <c r="AH7" s="18" t="e">
        <f t="array" aca="1" ref="AH7" ca="1">_xludf.XLOOKUP(K7,PubFromDB!A:A,PubFromDB!K:K," ",0)</f>
        <v>#NAME?</v>
      </c>
      <c r="AI7" s="17" t="e">
        <f t="array" aca="1" ref="AI7" ca="1">_xludf.XLOOKUP(F7,Sheet6!A:A,Sheet6!C:C,"ไม่พบ",0)</f>
        <v>#NAME?</v>
      </c>
      <c r="AJ7" s="19"/>
      <c r="AK7" s="19" t="e">
        <f t="shared" ref="AK7" ca="1" si="1">_xludf.TEXTJOIN("",TRUE,V7,W7," ")&amp;X7</f>
        <v>#NAME?</v>
      </c>
      <c r="AL7" s="20">
        <v>1</v>
      </c>
      <c r="AM7" s="15"/>
      <c r="AN7" s="15"/>
      <c r="AO7" s="15" t="e">
        <f t="array" aca="1" ref="AO7" ca="1">_xludf.XLOOKUP(AN7,Cluster!D:D,Cluster!F:F,"",0)</f>
        <v>#NAME?</v>
      </c>
    </row>
    <row r="8" spans="1:41" ht="16.5" customHeight="1">
      <c r="A8" s="26">
        <v>2015</v>
      </c>
      <c r="B8" s="26">
        <v>2015</v>
      </c>
      <c r="C8" s="26">
        <v>4</v>
      </c>
      <c r="D8" s="27" t="s">
        <v>122</v>
      </c>
      <c r="E8" s="26" t="s">
        <v>123</v>
      </c>
      <c r="F8" s="27" t="s">
        <v>124</v>
      </c>
      <c r="G8" s="26">
        <v>12</v>
      </c>
      <c r="H8" s="26">
        <v>57</v>
      </c>
      <c r="I8" s="28"/>
      <c r="J8" s="28"/>
      <c r="K8" s="26">
        <v>15615</v>
      </c>
      <c r="L8" s="27" t="s">
        <v>125</v>
      </c>
      <c r="M8" s="27" t="s">
        <v>126</v>
      </c>
      <c r="N8" s="27" t="s">
        <v>43</v>
      </c>
      <c r="O8" s="26">
        <v>1</v>
      </c>
      <c r="P8" s="28"/>
      <c r="Q8" s="27" t="s">
        <v>127</v>
      </c>
      <c r="R8" s="29" t="s">
        <v>128</v>
      </c>
      <c r="S8" s="28"/>
      <c r="T8" s="28"/>
      <c r="U8" s="28"/>
      <c r="V8" s="18" t="e">
        <f t="array" aca="1" ref="V8" ca="1">_xludf.XLOOKUP(W8,KUVET_Researcher!E:E,KUVET_Researcher!L:L," ",0)</f>
        <v>#NAME?</v>
      </c>
      <c r="W8" s="28"/>
      <c r="X8" s="28"/>
      <c r="Y8" s="19" t="e">
        <f t="array" aca="1" ref="Y8" ca="1">_xludf.XLOOKUP(W8,KUVET_Researcher!E:E,KUVET_Researcher!G:G," ",0)</f>
        <v>#NAME?</v>
      </c>
      <c r="Z8" s="19" t="e">
        <f t="array" aca="1" ref="Z8" ca="1">_xludf.XLOOKUP(X8,KUVET_Researcher!F:F,KUVET_Researcher!H:H," ",0)</f>
        <v>#NAME?</v>
      </c>
      <c r="AA8" s="17" t="e">
        <f t="array" aca="1" ref="AA8" ca="1">_xludf.XLOOKUP(F8,Sheet6!A:A,Sheet6!D:D,"ไม่พบ",0)</f>
        <v>#NAME?</v>
      </c>
      <c r="AB8" s="18" t="e">
        <f t="array" aca="1" ref="AB8" ca="1">_xludf.XLOOKUP(F8,SNAreseachV1!G:G,SNAreseachV1!N:N," ",0)</f>
        <v>#NAME?</v>
      </c>
      <c r="AC8" s="28"/>
      <c r="AD8" s="18" t="e">
        <f t="array" aca="1" ref="AD8" ca="1">_xludf.XLOOKUP(F8,SNAreseachV1!G:G,SNAreseachV1!O:O,"ไม่พบ",0)</f>
        <v>#NAME?</v>
      </c>
      <c r="AE8" s="18" t="e">
        <f t="array" aca="1" ref="AE8" ca="1">_xludf.XLOOKUP(L8,SNAreseachV1!C:C,SNAreseachV1!F:F,"ไม่พบ",0)</f>
        <v>#NAME?</v>
      </c>
      <c r="AF8" s="15"/>
      <c r="AG8" s="15"/>
      <c r="AH8" s="18" t="e">
        <f t="array" aca="1" ref="AH8" ca="1">_xludf.XLOOKUP(K8,PubFromDB!A:A,PubFromDB!K:K," ",0)</f>
        <v>#NAME?</v>
      </c>
      <c r="AI8" s="17" t="e">
        <f t="array" aca="1" ref="AI8" ca="1">_xludf.XLOOKUP(F8,Sheet6!A:A,Sheet6!C:C,"ไม่พบ",0)</f>
        <v>#NAME?</v>
      </c>
      <c r="AJ8" s="19"/>
      <c r="AK8" s="19"/>
      <c r="AL8" s="20">
        <v>1</v>
      </c>
      <c r="AM8" s="15"/>
      <c r="AN8" s="15"/>
      <c r="AO8" s="15" t="e">
        <f t="array" aca="1" ref="AO8" ca="1">_xludf.XLOOKUP(AN8,Cluster!D:D,Cluster!F:F,"",0)</f>
        <v>#NAME?</v>
      </c>
    </row>
  </sheetData>
  <autoFilter ref="A1:AN8" xr:uid="{00000000-0009-0000-0000-000001000000}"/>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7"/>
  <sheetViews>
    <sheetView workbookViewId="0">
      <selection activeCell="D14" sqref="D14"/>
    </sheetView>
  </sheetViews>
  <sheetFormatPr defaultColWidth="12.625" defaultRowHeight="15" customHeight="1"/>
  <cols>
    <col min="1" max="11" width="8.625" customWidth="1"/>
  </cols>
  <sheetData>
    <row r="1" spans="1:11" ht="14.25" customHeight="1">
      <c r="A1" s="33" t="s">
        <v>10</v>
      </c>
      <c r="B1" s="33" t="s">
        <v>14</v>
      </c>
      <c r="C1" s="33" t="s">
        <v>487</v>
      </c>
      <c r="D1" s="33" t="s">
        <v>17</v>
      </c>
      <c r="E1" s="33" t="s">
        <v>15</v>
      </c>
      <c r="F1" s="33" t="s">
        <v>21</v>
      </c>
      <c r="G1" s="33" t="s">
        <v>22</v>
      </c>
      <c r="H1" s="33" t="s">
        <v>23</v>
      </c>
      <c r="I1" s="33" t="s">
        <v>18</v>
      </c>
      <c r="J1" s="33" t="s">
        <v>19</v>
      </c>
      <c r="K1" s="33" t="s">
        <v>20</v>
      </c>
    </row>
    <row r="2" spans="1:11" ht="14.25" customHeight="1">
      <c r="A2" s="24">
        <v>14102</v>
      </c>
      <c r="B2" s="24">
        <v>1</v>
      </c>
      <c r="C2" s="24" t="s">
        <v>106</v>
      </c>
      <c r="D2" s="24" t="s">
        <v>107</v>
      </c>
    </row>
    <row r="3" spans="1:11" ht="14.25" customHeight="1">
      <c r="A3" s="24">
        <v>14102</v>
      </c>
      <c r="B3" s="24">
        <v>2</v>
      </c>
      <c r="C3" s="24" t="s">
        <v>540</v>
      </c>
      <c r="D3" s="24" t="s">
        <v>53</v>
      </c>
      <c r="E3" s="24">
        <v>480517</v>
      </c>
      <c r="F3" s="24" t="s">
        <v>541</v>
      </c>
      <c r="G3" s="24" t="s">
        <v>490</v>
      </c>
      <c r="H3" s="24" t="s">
        <v>491</v>
      </c>
      <c r="I3" s="24">
        <v>10</v>
      </c>
      <c r="J3" s="24">
        <v>15</v>
      </c>
      <c r="K3" s="24" t="s">
        <v>54</v>
      </c>
    </row>
    <row r="4" spans="1:11" ht="14.25" customHeight="1">
      <c r="A4" s="24">
        <v>14102</v>
      </c>
      <c r="B4" s="24">
        <v>3</v>
      </c>
      <c r="C4" s="24" t="s">
        <v>542</v>
      </c>
      <c r="D4" s="24" t="s">
        <v>53</v>
      </c>
      <c r="E4" s="24">
        <v>480216</v>
      </c>
      <c r="F4" s="24" t="s">
        <v>541</v>
      </c>
      <c r="G4" s="24" t="s">
        <v>492</v>
      </c>
      <c r="H4" s="24" t="s">
        <v>493</v>
      </c>
      <c r="I4" s="24">
        <v>10</v>
      </c>
      <c r="J4" s="24">
        <v>15</v>
      </c>
      <c r="K4" s="24" t="s">
        <v>54</v>
      </c>
    </row>
    <row r="5" spans="1:11" ht="14.25" customHeight="1">
      <c r="A5" s="24">
        <v>14102</v>
      </c>
      <c r="B5" s="24">
        <v>4</v>
      </c>
      <c r="C5" s="24" t="s">
        <v>108</v>
      </c>
      <c r="D5" s="24" t="s">
        <v>109</v>
      </c>
      <c r="E5" s="24">
        <v>250013</v>
      </c>
      <c r="F5" s="24" t="s">
        <v>543</v>
      </c>
      <c r="G5" s="24" t="s">
        <v>494</v>
      </c>
      <c r="H5" s="24" t="s">
        <v>495</v>
      </c>
      <c r="I5" s="24">
        <v>10</v>
      </c>
      <c r="J5" s="24">
        <v>2</v>
      </c>
      <c r="K5" s="24" t="s">
        <v>45</v>
      </c>
    </row>
    <row r="6" spans="1:11" ht="14.25" customHeight="1">
      <c r="A6" s="24">
        <v>14102</v>
      </c>
      <c r="B6" s="24">
        <v>5</v>
      </c>
      <c r="C6" s="24" t="s">
        <v>257</v>
      </c>
      <c r="D6" s="24" t="s">
        <v>53</v>
      </c>
      <c r="E6" s="24">
        <v>480080</v>
      </c>
      <c r="F6" s="24" t="s">
        <v>543</v>
      </c>
      <c r="G6" s="24" t="s">
        <v>496</v>
      </c>
      <c r="H6" s="24" t="s">
        <v>497</v>
      </c>
      <c r="I6" s="24">
        <v>10</v>
      </c>
      <c r="J6" s="24">
        <v>15</v>
      </c>
      <c r="K6" s="24" t="s">
        <v>54</v>
      </c>
    </row>
    <row r="7" spans="1:11" ht="14.25" customHeight="1">
      <c r="A7" s="24">
        <v>14813</v>
      </c>
      <c r="B7" s="24">
        <v>1</v>
      </c>
      <c r="C7" s="24" t="s">
        <v>44</v>
      </c>
    </row>
  </sheetData>
  <autoFilter ref="A1:K7" xr:uid="{00000000-0009-0000-0000-000002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6"/>
  <sheetViews>
    <sheetView workbookViewId="0">
      <selection activeCell="G10" sqref="G10"/>
    </sheetView>
  </sheetViews>
  <sheetFormatPr defaultColWidth="12.625" defaultRowHeight="15" customHeight="1"/>
  <cols>
    <col min="1" max="10" width="8.625" customWidth="1"/>
    <col min="11" max="11" width="16.5" customWidth="1"/>
    <col min="12" max="12" width="8.625" customWidth="1"/>
    <col min="13" max="13" width="33.125" customWidth="1"/>
    <col min="14" max="14" width="43.75" customWidth="1"/>
    <col min="15" max="26" width="8.625" customWidth="1"/>
  </cols>
  <sheetData>
    <row r="1" spans="1:26" ht="14.25" customHeight="1">
      <c r="A1" s="33" t="s">
        <v>10</v>
      </c>
      <c r="B1" s="33" t="s">
        <v>545</v>
      </c>
      <c r="C1" s="33" t="s">
        <v>546</v>
      </c>
      <c r="D1" s="33" t="s">
        <v>547</v>
      </c>
      <c r="E1" s="33" t="s">
        <v>548</v>
      </c>
      <c r="F1" s="33" t="s">
        <v>549</v>
      </c>
      <c r="G1" s="33" t="s">
        <v>550</v>
      </c>
      <c r="H1" s="33" t="s">
        <v>551</v>
      </c>
      <c r="I1" s="33" t="s">
        <v>552</v>
      </c>
      <c r="J1" s="33" t="s">
        <v>553</v>
      </c>
      <c r="K1" s="33" t="s">
        <v>33</v>
      </c>
      <c r="L1" s="33" t="s">
        <v>554</v>
      </c>
      <c r="M1" s="33" t="s">
        <v>36</v>
      </c>
      <c r="N1" s="33" t="s">
        <v>555</v>
      </c>
      <c r="O1" s="33"/>
      <c r="P1" s="33"/>
      <c r="Q1" s="33"/>
      <c r="R1" s="33"/>
      <c r="S1" s="33"/>
      <c r="T1" s="33"/>
      <c r="U1" s="33"/>
      <c r="V1" s="33"/>
      <c r="W1" s="33"/>
      <c r="X1" s="33"/>
      <c r="Y1" s="33"/>
      <c r="Z1" s="33"/>
    </row>
    <row r="2" spans="1:26" ht="14.25" customHeight="1">
      <c r="A2" s="24">
        <v>14102</v>
      </c>
      <c r="F2" s="24">
        <v>1</v>
      </c>
      <c r="H2" s="24">
        <v>1</v>
      </c>
      <c r="I2" s="24">
        <v>1</v>
      </c>
      <c r="K2" s="24">
        <v>1</v>
      </c>
    </row>
    <row r="3" spans="1:26" ht="14.25" customHeight="1">
      <c r="A3" s="24">
        <v>14813</v>
      </c>
      <c r="H3" s="24">
        <v>1</v>
      </c>
      <c r="K3" s="24">
        <v>1</v>
      </c>
    </row>
    <row r="4" spans="1:26" ht="14.25" customHeight="1">
      <c r="A4" s="24">
        <v>14952</v>
      </c>
      <c r="F4" s="24">
        <v>1</v>
      </c>
      <c r="H4" s="24">
        <v>1</v>
      </c>
      <c r="M4" s="24" t="e">
        <f t="array" aca="1" ref="M4" ca="1">_xludf.XLOOKUP(A4,ALL!K:K,ALL!Q:Q," ",0)</f>
        <v>#NAME?</v>
      </c>
      <c r="N4" s="24" t="e">
        <f t="array" aca="1" ref="N4" ca="1">_xludf.XLOOKUP(M4,ALL!Q:Q,ALL!U:U,"",0)</f>
        <v>#NAME?</v>
      </c>
    </row>
    <row r="5" spans="1:26" ht="14.25" customHeight="1">
      <c r="A5" s="24">
        <v>15142</v>
      </c>
      <c r="H5" s="24">
        <v>1</v>
      </c>
      <c r="K5" s="24">
        <v>1</v>
      </c>
    </row>
    <row r="6" spans="1:26" ht="14.25" customHeight="1">
      <c r="A6" s="24">
        <v>15252</v>
      </c>
      <c r="H6" s="24">
        <v>1</v>
      </c>
      <c r="K6" s="24">
        <v>1</v>
      </c>
      <c r="M6" s="24" t="e">
        <f t="array" aca="1" ref="M6" ca="1">_xludf.XLOOKUP(A6,ALL!K:K,ALL!Q:Q," ",0)</f>
        <v>#NAME?</v>
      </c>
      <c r="N6" s="24" t="e">
        <f t="array" aca="1" ref="N6" ca="1">_xludf.XLOOKUP(M6,ALL!Q:Q,ALL!U:U,"",0)</f>
        <v>#NAME?</v>
      </c>
    </row>
  </sheetData>
  <autoFilter ref="A1:Z6" xr:uid="{00000000-0009-0000-0000-000003000000}"/>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702"/>
  <sheetViews>
    <sheetView workbookViewId="0">
      <selection activeCell="E12" sqref="E12"/>
    </sheetView>
  </sheetViews>
  <sheetFormatPr defaultColWidth="12.625" defaultRowHeight="15" customHeight="1"/>
  <cols>
    <col min="1" max="1" width="11.375" customWidth="1"/>
    <col min="2" max="2" width="14" customWidth="1"/>
    <col min="3" max="3" width="26.25" customWidth="1"/>
    <col min="4" max="10" width="11.375" customWidth="1"/>
    <col min="11" max="11" width="24.625" customWidth="1"/>
    <col min="12" max="12" width="15.625" customWidth="1"/>
    <col min="13" max="14" width="8.625" customWidth="1"/>
    <col min="15" max="15" width="16.25" customWidth="1"/>
    <col min="16" max="26" width="8.625" customWidth="1"/>
  </cols>
  <sheetData>
    <row r="1" spans="1:26" ht="14.25" customHeight="1">
      <c r="A1" s="33" t="s">
        <v>556</v>
      </c>
      <c r="B1" s="34" t="s">
        <v>557</v>
      </c>
      <c r="C1" s="33" t="s">
        <v>558</v>
      </c>
      <c r="D1" s="33" t="s">
        <v>21</v>
      </c>
      <c r="E1" s="33" t="s">
        <v>22</v>
      </c>
      <c r="F1" s="33" t="s">
        <v>23</v>
      </c>
      <c r="G1" s="33" t="s">
        <v>559</v>
      </c>
      <c r="H1" s="33" t="s">
        <v>560</v>
      </c>
      <c r="I1" s="33" t="s">
        <v>561</v>
      </c>
      <c r="J1" s="33" t="s">
        <v>19</v>
      </c>
      <c r="K1" s="33" t="s">
        <v>20</v>
      </c>
      <c r="L1" s="33" t="s">
        <v>562</v>
      </c>
      <c r="M1" s="33"/>
      <c r="N1" s="33"/>
      <c r="O1" s="33"/>
      <c r="P1" s="33"/>
      <c r="Q1" s="33"/>
      <c r="R1" s="33"/>
      <c r="S1" s="33"/>
      <c r="T1" s="33"/>
      <c r="U1" s="33"/>
      <c r="V1" s="33"/>
      <c r="W1" s="33"/>
      <c r="X1" s="33"/>
      <c r="Y1" s="33"/>
      <c r="Z1" s="33"/>
    </row>
    <row r="2" spans="1:26" ht="14.25" customHeight="1">
      <c r="A2" s="24">
        <v>400102</v>
      </c>
      <c r="B2" s="35">
        <v>3100600939361</v>
      </c>
      <c r="C2" s="24" t="s">
        <v>563</v>
      </c>
      <c r="D2" s="24" t="s">
        <v>544</v>
      </c>
      <c r="E2" s="24" t="s">
        <v>506</v>
      </c>
      <c r="F2" s="24" t="s">
        <v>507</v>
      </c>
      <c r="G2" s="24" t="s">
        <v>564</v>
      </c>
      <c r="H2" s="24" t="s">
        <v>565</v>
      </c>
      <c r="I2" s="24" t="s">
        <v>566</v>
      </c>
      <c r="J2" s="24">
        <v>17</v>
      </c>
      <c r="K2" s="24" t="s">
        <v>66</v>
      </c>
      <c r="L2" s="24" t="s">
        <v>567</v>
      </c>
    </row>
    <row r="3" spans="1:26" ht="14.25" customHeight="1">
      <c r="A3" s="24">
        <v>400168</v>
      </c>
      <c r="B3" s="35">
        <v>3700700319466</v>
      </c>
      <c r="C3" s="24" t="s">
        <v>568</v>
      </c>
      <c r="E3" s="24" t="s">
        <v>536</v>
      </c>
      <c r="F3" s="24" t="s">
        <v>537</v>
      </c>
      <c r="G3" s="24" t="s">
        <v>569</v>
      </c>
      <c r="H3" s="24" t="s">
        <v>570</v>
      </c>
      <c r="I3" s="24" t="s">
        <v>566</v>
      </c>
      <c r="J3" s="24">
        <v>19</v>
      </c>
      <c r="K3" s="24" t="s">
        <v>140</v>
      </c>
    </row>
    <row r="4" spans="1:26" ht="14.25" customHeight="1">
      <c r="A4" s="24">
        <v>500070</v>
      </c>
      <c r="B4" s="35">
        <v>3150300039755</v>
      </c>
      <c r="C4" s="24" t="s">
        <v>571</v>
      </c>
      <c r="D4" s="24" t="s">
        <v>541</v>
      </c>
      <c r="E4" s="24" t="s">
        <v>504</v>
      </c>
      <c r="F4" s="24" t="s">
        <v>505</v>
      </c>
      <c r="G4" s="24" t="s">
        <v>572</v>
      </c>
      <c r="H4" s="24" t="s">
        <v>573</v>
      </c>
      <c r="I4" s="24" t="s">
        <v>574</v>
      </c>
      <c r="J4" s="24">
        <v>5</v>
      </c>
      <c r="K4" s="24" t="s">
        <v>77</v>
      </c>
      <c r="L4" s="27" t="s">
        <v>575</v>
      </c>
    </row>
    <row r="5" spans="1:26" ht="14.25" customHeight="1">
      <c r="A5" s="24">
        <v>480914</v>
      </c>
      <c r="B5" s="35">
        <v>3411300126761</v>
      </c>
      <c r="C5" s="24" t="s">
        <v>571</v>
      </c>
      <c r="D5" s="24" t="s">
        <v>541</v>
      </c>
      <c r="E5" s="24" t="s">
        <v>508</v>
      </c>
      <c r="F5" s="24" t="s">
        <v>509</v>
      </c>
      <c r="G5" s="24" t="s">
        <v>576</v>
      </c>
      <c r="H5" s="24" t="s">
        <v>577</v>
      </c>
      <c r="I5" s="24" t="s">
        <v>566</v>
      </c>
      <c r="J5" s="24">
        <v>16</v>
      </c>
      <c r="K5" s="24" t="s">
        <v>58</v>
      </c>
      <c r="L5" s="24" t="s">
        <v>578</v>
      </c>
    </row>
    <row r="6" spans="1:26" ht="14.25" customHeight="1">
      <c r="B6" s="35"/>
      <c r="K6" s="24"/>
    </row>
    <row r="7" spans="1:26" ht="14.25" customHeight="1">
      <c r="B7" s="35"/>
      <c r="K7" s="24"/>
    </row>
    <row r="8" spans="1:26" ht="14.25" customHeight="1">
      <c r="B8" s="35"/>
      <c r="K8" s="24"/>
    </row>
    <row r="9" spans="1:26" ht="14.25" customHeight="1">
      <c r="B9" s="35"/>
      <c r="K9" s="24"/>
    </row>
    <row r="10" spans="1:26" ht="14.25" customHeight="1">
      <c r="B10" s="35"/>
      <c r="K10" s="24"/>
    </row>
    <row r="11" spans="1:26" ht="14.25" customHeight="1">
      <c r="B11" s="35"/>
      <c r="K11" s="24"/>
    </row>
    <row r="12" spans="1:26" ht="14.25" customHeight="1">
      <c r="B12" s="35"/>
      <c r="K12" s="24"/>
    </row>
    <row r="13" spans="1:26" ht="14.25" customHeight="1">
      <c r="B13" s="35"/>
      <c r="K13" s="24"/>
    </row>
    <row r="14" spans="1:26" ht="14.25" customHeight="1">
      <c r="B14" s="35"/>
      <c r="K14" s="24"/>
    </row>
    <row r="15" spans="1:26" ht="14.25" customHeight="1">
      <c r="B15" s="35"/>
      <c r="K15" s="24"/>
    </row>
    <row r="16" spans="1:26" ht="14.25" customHeight="1">
      <c r="B16" s="35"/>
      <c r="K16" s="24"/>
    </row>
    <row r="17" spans="2:11" ht="14.25" customHeight="1">
      <c r="B17" s="35"/>
      <c r="K17" s="24"/>
    </row>
    <row r="18" spans="2:11" ht="14.25" customHeight="1">
      <c r="B18" s="35"/>
      <c r="K18" s="24"/>
    </row>
    <row r="19" spans="2:11" ht="14.25" customHeight="1">
      <c r="B19" s="35"/>
      <c r="K19" s="24"/>
    </row>
    <row r="20" spans="2:11" ht="14.25" customHeight="1">
      <c r="B20" s="35"/>
      <c r="K20" s="24"/>
    </row>
    <row r="21" spans="2:11" ht="14.25" customHeight="1">
      <c r="B21" s="35"/>
      <c r="K21" s="24"/>
    </row>
    <row r="22" spans="2:11" ht="14.25" customHeight="1">
      <c r="B22" s="35"/>
      <c r="K22" s="24"/>
    </row>
    <row r="23" spans="2:11" ht="14.25" customHeight="1">
      <c r="B23" s="35"/>
      <c r="K23" s="24"/>
    </row>
    <row r="24" spans="2:11" ht="14.25" customHeight="1">
      <c r="B24" s="35"/>
      <c r="K24" s="24"/>
    </row>
    <row r="25" spans="2:11" ht="14.25" customHeight="1">
      <c r="B25" s="35"/>
      <c r="K25" s="24"/>
    </row>
    <row r="26" spans="2:11" ht="14.25" customHeight="1">
      <c r="B26" s="35"/>
      <c r="K26" s="24"/>
    </row>
    <row r="27" spans="2:11" ht="14.25" customHeight="1">
      <c r="B27" s="35"/>
      <c r="K27" s="24"/>
    </row>
    <row r="28" spans="2:11" ht="14.25" customHeight="1">
      <c r="B28" s="35"/>
      <c r="K28" s="24"/>
    </row>
    <row r="29" spans="2:11" ht="14.25" customHeight="1">
      <c r="B29" s="35"/>
      <c r="K29" s="24"/>
    </row>
    <row r="30" spans="2:11" ht="14.25" customHeight="1">
      <c r="B30" s="35"/>
      <c r="K30" s="24"/>
    </row>
    <row r="31" spans="2:11" ht="14.25" customHeight="1">
      <c r="B31" s="35"/>
      <c r="K31" s="24"/>
    </row>
    <row r="32" spans="2:11" ht="14.25" customHeight="1">
      <c r="B32" s="35"/>
      <c r="K32" s="24"/>
    </row>
    <row r="33" spans="2:11" ht="14.25" customHeight="1">
      <c r="B33" s="35"/>
      <c r="K33" s="24"/>
    </row>
    <row r="34" spans="2:11" ht="14.25" customHeight="1">
      <c r="B34" s="35"/>
      <c r="K34" s="24"/>
    </row>
    <row r="35" spans="2:11" ht="14.25" customHeight="1">
      <c r="B35" s="35"/>
      <c r="K35" s="24"/>
    </row>
    <row r="36" spans="2:11" ht="14.25" customHeight="1">
      <c r="B36" s="35"/>
      <c r="K36" s="24"/>
    </row>
    <row r="37" spans="2:11" ht="14.25" customHeight="1">
      <c r="B37" s="35"/>
      <c r="K37" s="24"/>
    </row>
    <row r="38" spans="2:11" ht="14.25" customHeight="1">
      <c r="B38" s="35"/>
      <c r="K38" s="24"/>
    </row>
    <row r="39" spans="2:11" ht="14.25" customHeight="1">
      <c r="B39" s="35"/>
      <c r="K39" s="24"/>
    </row>
    <row r="40" spans="2:11" ht="14.25" customHeight="1">
      <c r="B40" s="35"/>
      <c r="K40" s="24"/>
    </row>
    <row r="41" spans="2:11" ht="14.25" customHeight="1">
      <c r="B41" s="35"/>
      <c r="K41" s="24"/>
    </row>
    <row r="42" spans="2:11" ht="14.25" customHeight="1">
      <c r="B42" s="35"/>
      <c r="K42" s="24"/>
    </row>
    <row r="43" spans="2:11" ht="14.25" customHeight="1">
      <c r="B43" s="35"/>
      <c r="K43" s="24"/>
    </row>
    <row r="44" spans="2:11" ht="14.25" customHeight="1">
      <c r="B44" s="35"/>
      <c r="K44" s="24"/>
    </row>
    <row r="45" spans="2:11" ht="14.25" customHeight="1">
      <c r="B45" s="35"/>
      <c r="K45" s="24"/>
    </row>
    <row r="46" spans="2:11" ht="14.25" customHeight="1">
      <c r="B46" s="35"/>
      <c r="K46" s="24"/>
    </row>
    <row r="47" spans="2:11" ht="14.25" customHeight="1">
      <c r="B47" s="35"/>
      <c r="K47" s="24"/>
    </row>
    <row r="48" spans="2:11" ht="14.25" customHeight="1">
      <c r="B48" s="35"/>
      <c r="K48" s="24"/>
    </row>
    <row r="49" spans="2:11" ht="14.25" customHeight="1">
      <c r="B49" s="35"/>
      <c r="K49" s="24"/>
    </row>
    <row r="50" spans="2:11" ht="14.25" customHeight="1">
      <c r="B50" s="35"/>
      <c r="K50" s="24"/>
    </row>
    <row r="51" spans="2:11" ht="14.25" customHeight="1">
      <c r="B51" s="35"/>
      <c r="K51" s="24"/>
    </row>
    <row r="52" spans="2:11" ht="14.25" customHeight="1">
      <c r="B52" s="35"/>
      <c r="K52" s="24"/>
    </row>
    <row r="53" spans="2:11" ht="14.25" customHeight="1">
      <c r="B53" s="35"/>
      <c r="K53" s="24"/>
    </row>
    <row r="54" spans="2:11" ht="14.25" customHeight="1">
      <c r="B54" s="35"/>
      <c r="K54" s="24"/>
    </row>
    <row r="55" spans="2:11" ht="14.25" customHeight="1">
      <c r="B55" s="35"/>
      <c r="K55" s="24"/>
    </row>
    <row r="56" spans="2:11" ht="14.25" customHeight="1">
      <c r="B56" s="35"/>
      <c r="K56" s="24"/>
    </row>
    <row r="57" spans="2:11" ht="14.25" customHeight="1">
      <c r="B57" s="35"/>
      <c r="K57" s="24"/>
    </row>
    <row r="58" spans="2:11" ht="14.25" customHeight="1">
      <c r="B58" s="35"/>
      <c r="K58" s="24"/>
    </row>
    <row r="59" spans="2:11" ht="14.25" customHeight="1">
      <c r="B59" s="35"/>
      <c r="K59" s="24"/>
    </row>
    <row r="60" spans="2:11" ht="14.25" customHeight="1">
      <c r="B60" s="35"/>
      <c r="K60" s="24"/>
    </row>
    <row r="61" spans="2:11" ht="14.25" customHeight="1">
      <c r="B61" s="35"/>
      <c r="K61" s="24"/>
    </row>
    <row r="62" spans="2:11" ht="14.25" customHeight="1">
      <c r="B62" s="35"/>
      <c r="K62" s="24"/>
    </row>
    <row r="63" spans="2:11" ht="14.25" customHeight="1">
      <c r="B63" s="35"/>
      <c r="K63" s="24"/>
    </row>
    <row r="64" spans="2:11" ht="14.25" customHeight="1">
      <c r="B64" s="35"/>
      <c r="K64" s="24"/>
    </row>
    <row r="65" spans="2:11" ht="14.25" customHeight="1">
      <c r="B65" s="35"/>
      <c r="K65" s="24"/>
    </row>
    <row r="66" spans="2:11" ht="14.25" customHeight="1">
      <c r="B66" s="35"/>
      <c r="K66" s="24"/>
    </row>
    <row r="67" spans="2:11" ht="14.25" customHeight="1">
      <c r="B67" s="35"/>
      <c r="K67" s="24"/>
    </row>
    <row r="68" spans="2:11" ht="14.25" customHeight="1">
      <c r="B68" s="35"/>
      <c r="K68" s="24"/>
    </row>
    <row r="69" spans="2:11" ht="14.25" customHeight="1">
      <c r="B69" s="35"/>
      <c r="K69" s="24"/>
    </row>
    <row r="70" spans="2:11" ht="14.25" customHeight="1">
      <c r="B70" s="35"/>
      <c r="K70" s="24"/>
    </row>
    <row r="71" spans="2:11" ht="14.25" customHeight="1">
      <c r="B71" s="35"/>
      <c r="K71" s="24"/>
    </row>
    <row r="72" spans="2:11" ht="14.25" customHeight="1">
      <c r="B72" s="35"/>
      <c r="K72" s="24"/>
    </row>
    <row r="73" spans="2:11" ht="14.25" customHeight="1">
      <c r="B73" s="35"/>
      <c r="K73" s="24"/>
    </row>
    <row r="74" spans="2:11" ht="14.25" customHeight="1">
      <c r="B74" s="35"/>
      <c r="K74" s="24"/>
    </row>
    <row r="75" spans="2:11" ht="14.25" customHeight="1">
      <c r="B75" s="35"/>
      <c r="K75" s="24"/>
    </row>
    <row r="76" spans="2:11" ht="14.25" customHeight="1">
      <c r="B76" s="35"/>
      <c r="K76" s="24"/>
    </row>
    <row r="77" spans="2:11" ht="14.25" customHeight="1">
      <c r="B77" s="35"/>
      <c r="K77" s="24"/>
    </row>
    <row r="78" spans="2:11" ht="14.25" customHeight="1">
      <c r="B78" s="35"/>
      <c r="K78" s="24"/>
    </row>
    <row r="79" spans="2:11" ht="14.25" customHeight="1">
      <c r="B79" s="35"/>
      <c r="K79" s="24"/>
    </row>
    <row r="80" spans="2:11" ht="14.25" customHeight="1">
      <c r="B80" s="35"/>
      <c r="K80" s="24"/>
    </row>
    <row r="81" spans="2:11" ht="14.25" customHeight="1">
      <c r="B81" s="35"/>
      <c r="K81" s="24"/>
    </row>
    <row r="82" spans="2:11" ht="14.25" customHeight="1">
      <c r="B82" s="35"/>
      <c r="K82" s="24"/>
    </row>
    <row r="83" spans="2:11" ht="14.25" customHeight="1">
      <c r="B83" s="35"/>
      <c r="K83" s="24"/>
    </row>
    <row r="84" spans="2:11" ht="14.25" customHeight="1">
      <c r="B84" s="35"/>
      <c r="K84" s="24"/>
    </row>
    <row r="85" spans="2:11" ht="14.25" customHeight="1">
      <c r="B85" s="35"/>
      <c r="K85" s="24"/>
    </row>
    <row r="86" spans="2:11" ht="14.25" customHeight="1">
      <c r="B86" s="35"/>
      <c r="K86" s="24"/>
    </row>
    <row r="87" spans="2:11" ht="14.25" customHeight="1">
      <c r="B87" s="35"/>
      <c r="K87" s="24"/>
    </row>
    <row r="88" spans="2:11" ht="14.25" customHeight="1">
      <c r="B88" s="35"/>
      <c r="K88" s="24"/>
    </row>
    <row r="89" spans="2:11" ht="14.25" customHeight="1">
      <c r="B89" s="35"/>
      <c r="K89" s="24"/>
    </row>
    <row r="90" spans="2:11" ht="14.25" customHeight="1">
      <c r="B90" s="35"/>
      <c r="K90" s="24"/>
    </row>
    <row r="91" spans="2:11" ht="14.25" customHeight="1">
      <c r="B91" s="35"/>
      <c r="K91" s="24"/>
    </row>
    <row r="92" spans="2:11" ht="14.25" customHeight="1">
      <c r="B92" s="35"/>
      <c r="K92" s="24"/>
    </row>
    <row r="93" spans="2:11" ht="14.25" customHeight="1">
      <c r="B93" s="35"/>
      <c r="K93" s="24"/>
    </row>
    <row r="94" spans="2:11" ht="14.25" customHeight="1">
      <c r="B94" s="35"/>
      <c r="K94" s="24"/>
    </row>
    <row r="95" spans="2:11" ht="14.25" customHeight="1">
      <c r="B95" s="35"/>
      <c r="K95" s="24"/>
    </row>
    <row r="96" spans="2:11" ht="14.25" customHeight="1">
      <c r="B96" s="35"/>
      <c r="K96" s="24"/>
    </row>
    <row r="97" spans="2:11" ht="14.25" customHeight="1">
      <c r="B97" s="35"/>
      <c r="K97" s="24"/>
    </row>
    <row r="98" spans="2:11" ht="14.25" customHeight="1">
      <c r="B98" s="35"/>
      <c r="K98" s="24"/>
    </row>
    <row r="99" spans="2:11" ht="14.25" customHeight="1">
      <c r="B99" s="35"/>
      <c r="K99" s="24"/>
    </row>
    <row r="100" spans="2:11" ht="14.25" customHeight="1">
      <c r="B100" s="35"/>
      <c r="K100" s="24"/>
    </row>
    <row r="101" spans="2:11" ht="14.25" customHeight="1">
      <c r="B101" s="35"/>
      <c r="K101" s="24"/>
    </row>
    <row r="102" spans="2:11" ht="14.25" customHeight="1">
      <c r="B102" s="35"/>
      <c r="K102" s="24"/>
    </row>
    <row r="103" spans="2:11" ht="14.25" customHeight="1">
      <c r="B103" s="35"/>
      <c r="K103" s="24"/>
    </row>
    <row r="104" spans="2:11" ht="14.25" customHeight="1">
      <c r="B104" s="35"/>
      <c r="K104" s="24"/>
    </row>
    <row r="105" spans="2:11" ht="14.25" customHeight="1">
      <c r="B105" s="35"/>
      <c r="K105" s="24"/>
    </row>
    <row r="106" spans="2:11" ht="14.25" customHeight="1">
      <c r="B106" s="35"/>
      <c r="K106" s="24"/>
    </row>
    <row r="107" spans="2:11" ht="14.25" customHeight="1">
      <c r="B107" s="35"/>
      <c r="K107" s="24"/>
    </row>
    <row r="108" spans="2:11" ht="14.25" customHeight="1">
      <c r="B108" s="35"/>
      <c r="K108" s="24"/>
    </row>
    <row r="109" spans="2:11" ht="14.25" customHeight="1">
      <c r="B109" s="35"/>
      <c r="K109" s="24"/>
    </row>
    <row r="110" spans="2:11" ht="14.25" customHeight="1">
      <c r="B110" s="35"/>
      <c r="K110" s="24"/>
    </row>
    <row r="111" spans="2:11" ht="14.25" customHeight="1">
      <c r="B111" s="35"/>
      <c r="K111" s="24"/>
    </row>
    <row r="112" spans="2:11" ht="14.25" customHeight="1">
      <c r="B112" s="35"/>
      <c r="K112" s="24"/>
    </row>
    <row r="113" spans="2:11" ht="14.25" customHeight="1">
      <c r="B113" s="35"/>
      <c r="K113" s="24"/>
    </row>
    <row r="114" spans="2:11" ht="14.25" customHeight="1">
      <c r="B114" s="35"/>
      <c r="K114" s="24"/>
    </row>
    <row r="115" spans="2:11" ht="14.25" customHeight="1">
      <c r="B115" s="35"/>
      <c r="K115" s="24"/>
    </row>
    <row r="116" spans="2:11" ht="14.25" customHeight="1">
      <c r="B116" s="35"/>
      <c r="K116" s="24"/>
    </row>
    <row r="117" spans="2:11" ht="14.25" customHeight="1">
      <c r="B117" s="35"/>
      <c r="K117" s="24"/>
    </row>
    <row r="118" spans="2:11" ht="14.25" customHeight="1">
      <c r="B118" s="35"/>
      <c r="K118" s="24"/>
    </row>
    <row r="119" spans="2:11" ht="14.25" customHeight="1">
      <c r="B119" s="35"/>
      <c r="K119" s="24"/>
    </row>
    <row r="120" spans="2:11" ht="14.25" customHeight="1">
      <c r="B120" s="35"/>
      <c r="K120" s="24"/>
    </row>
    <row r="121" spans="2:11" ht="14.25" customHeight="1">
      <c r="B121" s="35"/>
      <c r="K121" s="24"/>
    </row>
    <row r="122" spans="2:11" ht="14.25" customHeight="1">
      <c r="B122" s="35"/>
      <c r="K122" s="24"/>
    </row>
    <row r="123" spans="2:11" ht="14.25" customHeight="1">
      <c r="B123" s="35"/>
      <c r="K123" s="24"/>
    </row>
    <row r="124" spans="2:11" ht="14.25" customHeight="1">
      <c r="B124" s="35"/>
      <c r="K124" s="24"/>
    </row>
    <row r="125" spans="2:11" ht="14.25" customHeight="1">
      <c r="B125" s="35"/>
      <c r="K125" s="24"/>
    </row>
    <row r="126" spans="2:11" ht="14.25" customHeight="1">
      <c r="B126" s="35"/>
      <c r="K126" s="24"/>
    </row>
    <row r="127" spans="2:11" ht="14.25" customHeight="1">
      <c r="B127" s="35"/>
      <c r="K127" s="24"/>
    </row>
    <row r="128" spans="2:11" ht="14.25" customHeight="1">
      <c r="B128" s="35"/>
      <c r="K128" s="24"/>
    </row>
    <row r="129" spans="2:11" ht="14.25" customHeight="1">
      <c r="B129" s="35"/>
      <c r="K129" s="24"/>
    </row>
    <row r="130" spans="2:11" ht="14.25" customHeight="1">
      <c r="B130" s="35"/>
      <c r="K130" s="24"/>
    </row>
    <row r="131" spans="2:11" ht="14.25" customHeight="1">
      <c r="B131" s="35"/>
      <c r="K131" s="24"/>
    </row>
    <row r="132" spans="2:11" ht="14.25" customHeight="1">
      <c r="B132" s="35"/>
      <c r="K132" s="24"/>
    </row>
    <row r="133" spans="2:11" ht="14.25" customHeight="1">
      <c r="B133" s="35"/>
      <c r="K133" s="24"/>
    </row>
    <row r="134" spans="2:11" ht="14.25" customHeight="1">
      <c r="B134" s="35"/>
      <c r="K134" s="24"/>
    </row>
    <row r="135" spans="2:11" ht="14.25" customHeight="1">
      <c r="B135" s="35"/>
      <c r="K135" s="24"/>
    </row>
    <row r="136" spans="2:11" ht="14.25" customHeight="1">
      <c r="B136" s="35"/>
      <c r="K136" s="24"/>
    </row>
    <row r="137" spans="2:11" ht="14.25" customHeight="1">
      <c r="B137" s="35"/>
      <c r="K137" s="24"/>
    </row>
    <row r="138" spans="2:11" ht="14.25" customHeight="1">
      <c r="B138" s="35"/>
      <c r="K138" s="24"/>
    </row>
    <row r="139" spans="2:11" ht="14.25" customHeight="1">
      <c r="B139" s="35"/>
      <c r="K139" s="24"/>
    </row>
    <row r="140" spans="2:11" ht="14.25" customHeight="1">
      <c r="B140" s="35"/>
      <c r="K140" s="24"/>
    </row>
    <row r="141" spans="2:11" ht="14.25" customHeight="1">
      <c r="B141" s="35"/>
      <c r="K141" s="24"/>
    </row>
    <row r="142" spans="2:11" ht="14.25" customHeight="1">
      <c r="B142" s="35"/>
      <c r="K142" s="24"/>
    </row>
    <row r="143" spans="2:11" ht="14.25" customHeight="1">
      <c r="B143" s="35"/>
      <c r="K143" s="24"/>
    </row>
    <row r="144" spans="2:11" ht="14.25" customHeight="1">
      <c r="B144" s="35"/>
      <c r="K144" s="24"/>
    </row>
    <row r="145" spans="2:11" ht="14.25" customHeight="1">
      <c r="B145" s="35"/>
      <c r="K145" s="24"/>
    </row>
    <row r="146" spans="2:11" ht="14.25" customHeight="1">
      <c r="B146" s="35"/>
      <c r="K146" s="24"/>
    </row>
    <row r="147" spans="2:11" ht="14.25" customHeight="1">
      <c r="B147" s="35"/>
      <c r="K147" s="24"/>
    </row>
    <row r="148" spans="2:11" ht="14.25" customHeight="1">
      <c r="B148" s="35"/>
      <c r="K148" s="24"/>
    </row>
    <row r="149" spans="2:11" ht="14.25" customHeight="1">
      <c r="B149" s="35"/>
      <c r="K149" s="24"/>
    </row>
    <row r="150" spans="2:11" ht="14.25" customHeight="1">
      <c r="B150" s="35"/>
      <c r="K150" s="24"/>
    </row>
    <row r="151" spans="2:11" ht="14.25" customHeight="1">
      <c r="B151" s="35"/>
      <c r="K151" s="24"/>
    </row>
    <row r="152" spans="2:11" ht="14.25" customHeight="1">
      <c r="B152" s="35"/>
      <c r="K152" s="24"/>
    </row>
    <row r="153" spans="2:11" ht="14.25" customHeight="1">
      <c r="B153" s="35"/>
      <c r="K153" s="24"/>
    </row>
    <row r="154" spans="2:11" ht="14.25" customHeight="1">
      <c r="B154" s="35"/>
      <c r="K154" s="24"/>
    </row>
    <row r="155" spans="2:11" ht="14.25" customHeight="1">
      <c r="B155" s="35"/>
      <c r="K155" s="24"/>
    </row>
    <row r="156" spans="2:11" ht="14.25" customHeight="1">
      <c r="B156" s="35"/>
      <c r="K156" s="24"/>
    </row>
    <row r="157" spans="2:11" ht="14.25" customHeight="1">
      <c r="B157" s="35"/>
      <c r="K157" s="24"/>
    </row>
    <row r="158" spans="2:11" ht="14.25" customHeight="1">
      <c r="B158" s="35"/>
      <c r="K158" s="24"/>
    </row>
    <row r="159" spans="2:11" ht="14.25" customHeight="1">
      <c r="B159" s="35"/>
      <c r="K159" s="24"/>
    </row>
    <row r="160" spans="2:11" ht="14.25" customHeight="1">
      <c r="B160" s="35"/>
      <c r="K160" s="24"/>
    </row>
    <row r="161" spans="2:11" ht="14.25" customHeight="1">
      <c r="B161" s="35"/>
      <c r="K161" s="24"/>
    </row>
    <row r="162" spans="2:11" ht="14.25" customHeight="1">
      <c r="B162" s="35"/>
      <c r="K162" s="24"/>
    </row>
    <row r="163" spans="2:11" ht="14.25" customHeight="1">
      <c r="B163" s="35"/>
      <c r="K163" s="24"/>
    </row>
    <row r="164" spans="2:11" ht="14.25" customHeight="1">
      <c r="B164" s="35"/>
      <c r="K164" s="24"/>
    </row>
    <row r="165" spans="2:11" ht="14.25" customHeight="1">
      <c r="B165" s="35"/>
      <c r="K165" s="24"/>
    </row>
    <row r="166" spans="2:11" ht="14.25" customHeight="1">
      <c r="B166" s="35"/>
      <c r="K166" s="24"/>
    </row>
    <row r="167" spans="2:11" ht="14.25" customHeight="1">
      <c r="B167" s="35"/>
      <c r="K167" s="24"/>
    </row>
    <row r="168" spans="2:11" ht="14.25" customHeight="1">
      <c r="B168" s="35"/>
      <c r="K168" s="24"/>
    </row>
    <row r="169" spans="2:11" ht="14.25" customHeight="1">
      <c r="B169" s="35"/>
      <c r="K169" s="24"/>
    </row>
    <row r="170" spans="2:11" ht="14.25" customHeight="1">
      <c r="B170" s="35"/>
      <c r="K170" s="24"/>
    </row>
    <row r="171" spans="2:11" ht="14.25" customHeight="1">
      <c r="B171" s="35"/>
      <c r="K171" s="24"/>
    </row>
    <row r="172" spans="2:11" ht="14.25" customHeight="1">
      <c r="B172" s="35"/>
      <c r="K172" s="24"/>
    </row>
    <row r="173" spans="2:11" ht="14.25" customHeight="1">
      <c r="B173" s="35"/>
      <c r="K173" s="24"/>
    </row>
    <row r="174" spans="2:11" ht="14.25" customHeight="1">
      <c r="B174" s="35"/>
      <c r="K174" s="24"/>
    </row>
    <row r="175" spans="2:11" ht="14.25" customHeight="1">
      <c r="B175" s="35"/>
      <c r="K175" s="24"/>
    </row>
    <row r="176" spans="2:11" ht="14.25" customHeight="1">
      <c r="B176" s="35"/>
      <c r="K176" s="24"/>
    </row>
    <row r="177" spans="2:11" ht="14.25" customHeight="1">
      <c r="B177" s="35"/>
      <c r="K177" s="24"/>
    </row>
    <row r="178" spans="2:11" ht="14.25" customHeight="1">
      <c r="B178" s="35"/>
      <c r="K178" s="24"/>
    </row>
    <row r="179" spans="2:11" ht="14.25" customHeight="1">
      <c r="B179" s="35"/>
      <c r="K179" s="24"/>
    </row>
    <row r="180" spans="2:11" ht="14.25" customHeight="1">
      <c r="B180" s="35"/>
      <c r="K180" s="24"/>
    </row>
    <row r="181" spans="2:11" ht="14.25" customHeight="1">
      <c r="B181" s="35"/>
      <c r="K181" s="24"/>
    </row>
    <row r="182" spans="2:11" ht="14.25" customHeight="1">
      <c r="B182" s="35"/>
      <c r="K182" s="24"/>
    </row>
    <row r="183" spans="2:11" ht="14.25" customHeight="1">
      <c r="B183" s="35"/>
      <c r="K183" s="24"/>
    </row>
    <row r="184" spans="2:11" ht="14.25" customHeight="1">
      <c r="B184" s="35"/>
      <c r="K184" s="24"/>
    </row>
    <row r="185" spans="2:11" ht="14.25" customHeight="1">
      <c r="B185" s="35"/>
      <c r="K185" s="24"/>
    </row>
    <row r="186" spans="2:11" ht="14.25" customHeight="1">
      <c r="B186" s="35"/>
      <c r="K186" s="24"/>
    </row>
    <row r="187" spans="2:11" ht="14.25" customHeight="1">
      <c r="B187" s="35"/>
      <c r="K187" s="24"/>
    </row>
    <row r="188" spans="2:11" ht="14.25" customHeight="1">
      <c r="B188" s="35"/>
      <c r="K188" s="24"/>
    </row>
    <row r="189" spans="2:11" ht="14.25" customHeight="1">
      <c r="B189" s="35"/>
      <c r="K189" s="24"/>
    </row>
    <row r="190" spans="2:11" ht="14.25" customHeight="1">
      <c r="B190" s="35"/>
      <c r="K190" s="24"/>
    </row>
    <row r="191" spans="2:11" ht="14.25" customHeight="1">
      <c r="B191" s="35"/>
      <c r="K191" s="24"/>
    </row>
    <row r="192" spans="2:11" ht="14.25" customHeight="1">
      <c r="B192" s="35"/>
      <c r="K192" s="24"/>
    </row>
    <row r="193" spans="2:11" ht="14.25" customHeight="1">
      <c r="B193" s="35"/>
      <c r="K193" s="24"/>
    </row>
    <row r="194" spans="2:11" ht="14.25" customHeight="1">
      <c r="B194" s="35"/>
      <c r="K194" s="24"/>
    </row>
    <row r="195" spans="2:11" ht="14.25" customHeight="1">
      <c r="B195" s="35"/>
      <c r="K195" s="24"/>
    </row>
    <row r="196" spans="2:11" ht="14.25" customHeight="1">
      <c r="B196" s="35"/>
      <c r="K196" s="24"/>
    </row>
    <row r="197" spans="2:11" ht="14.25" customHeight="1">
      <c r="B197" s="35"/>
      <c r="K197" s="24"/>
    </row>
    <row r="198" spans="2:11" ht="14.25" customHeight="1">
      <c r="B198" s="35"/>
      <c r="K198" s="24"/>
    </row>
    <row r="199" spans="2:11" ht="14.25" customHeight="1">
      <c r="B199" s="35"/>
      <c r="K199" s="24"/>
    </row>
    <row r="200" spans="2:11" ht="14.25" customHeight="1">
      <c r="B200" s="35"/>
      <c r="K200" s="24"/>
    </row>
    <row r="201" spans="2:11" ht="14.25" customHeight="1">
      <c r="B201" s="35"/>
      <c r="K201" s="24"/>
    </row>
    <row r="202" spans="2:11" ht="14.25" customHeight="1">
      <c r="B202" s="35"/>
      <c r="K202" s="24"/>
    </row>
    <row r="203" spans="2:11" ht="14.25" customHeight="1">
      <c r="B203" s="35"/>
      <c r="K203" s="24"/>
    </row>
    <row r="204" spans="2:11" ht="14.25" customHeight="1">
      <c r="B204" s="35"/>
      <c r="K204" s="24"/>
    </row>
    <row r="205" spans="2:11" ht="14.25" customHeight="1">
      <c r="B205" s="35"/>
      <c r="K205" s="24"/>
    </row>
    <row r="206" spans="2:11" ht="14.25" customHeight="1">
      <c r="B206" s="35"/>
      <c r="K206" s="24"/>
    </row>
    <row r="207" spans="2:11" ht="14.25" customHeight="1">
      <c r="B207" s="35"/>
      <c r="K207" s="24"/>
    </row>
    <row r="208" spans="2:11" ht="14.25" customHeight="1">
      <c r="B208" s="35"/>
      <c r="K208" s="24"/>
    </row>
    <row r="209" spans="2:11" ht="14.25" customHeight="1">
      <c r="B209" s="35"/>
      <c r="K209" s="24"/>
    </row>
    <row r="210" spans="2:11" ht="14.25" customHeight="1">
      <c r="B210" s="35"/>
      <c r="K210" s="24"/>
    </row>
    <row r="211" spans="2:11" ht="14.25" customHeight="1">
      <c r="B211" s="35"/>
      <c r="K211" s="24"/>
    </row>
    <row r="212" spans="2:11" ht="14.25" customHeight="1">
      <c r="B212" s="35"/>
      <c r="K212" s="24"/>
    </row>
    <row r="213" spans="2:11" ht="14.25" customHeight="1">
      <c r="B213" s="35"/>
      <c r="K213" s="24"/>
    </row>
    <row r="214" spans="2:11" ht="14.25" customHeight="1">
      <c r="B214" s="35"/>
      <c r="K214" s="24"/>
    </row>
    <row r="215" spans="2:11" ht="14.25" customHeight="1">
      <c r="B215" s="35"/>
      <c r="K215" s="24"/>
    </row>
    <row r="216" spans="2:11" ht="14.25" customHeight="1">
      <c r="B216" s="35"/>
      <c r="K216" s="24"/>
    </row>
    <row r="217" spans="2:11" ht="14.25" customHeight="1">
      <c r="B217" s="35"/>
      <c r="K217" s="24"/>
    </row>
    <row r="218" spans="2:11" ht="14.25" customHeight="1">
      <c r="B218" s="35"/>
      <c r="K218" s="24"/>
    </row>
    <row r="219" spans="2:11" ht="14.25" customHeight="1">
      <c r="B219" s="35"/>
      <c r="K219" s="24"/>
    </row>
    <row r="220" spans="2:11" ht="14.25" customHeight="1">
      <c r="B220" s="35"/>
      <c r="K220" s="24"/>
    </row>
    <row r="221" spans="2:11" ht="14.25" customHeight="1">
      <c r="B221" s="35"/>
      <c r="K221" s="24"/>
    </row>
    <row r="222" spans="2:11" ht="14.25" customHeight="1">
      <c r="B222" s="35"/>
      <c r="K222" s="24"/>
    </row>
    <row r="223" spans="2:11" ht="14.25" customHeight="1">
      <c r="B223" s="35"/>
      <c r="K223" s="24"/>
    </row>
    <row r="224" spans="2:11" ht="14.25" customHeight="1">
      <c r="B224" s="35"/>
      <c r="K224" s="24"/>
    </row>
    <row r="225" spans="2:11" ht="14.25" customHeight="1">
      <c r="B225" s="35"/>
      <c r="K225" s="24"/>
    </row>
    <row r="226" spans="2:11" ht="14.25" customHeight="1">
      <c r="B226" s="35"/>
      <c r="K226" s="24"/>
    </row>
    <row r="227" spans="2:11" ht="14.25" customHeight="1">
      <c r="B227" s="35"/>
      <c r="K227" s="24"/>
    </row>
    <row r="228" spans="2:11" ht="14.25" customHeight="1">
      <c r="B228" s="35"/>
      <c r="K228" s="24"/>
    </row>
    <row r="229" spans="2:11" ht="14.25" customHeight="1">
      <c r="B229" s="35"/>
      <c r="K229" s="24"/>
    </row>
    <row r="230" spans="2:11" ht="14.25" customHeight="1">
      <c r="B230" s="35"/>
      <c r="K230" s="24"/>
    </row>
    <row r="231" spans="2:11" ht="14.25" customHeight="1">
      <c r="B231" s="35"/>
      <c r="K231" s="24"/>
    </row>
    <row r="232" spans="2:11" ht="14.25" customHeight="1">
      <c r="B232" s="35"/>
      <c r="K232" s="24"/>
    </row>
    <row r="233" spans="2:11" ht="14.25" customHeight="1">
      <c r="B233" s="35"/>
      <c r="K233" s="24"/>
    </row>
    <row r="234" spans="2:11" ht="14.25" customHeight="1">
      <c r="B234" s="35"/>
      <c r="K234" s="24"/>
    </row>
    <row r="235" spans="2:11" ht="14.25" customHeight="1">
      <c r="B235" s="35"/>
      <c r="K235" s="24"/>
    </row>
    <row r="236" spans="2:11" ht="14.25" customHeight="1">
      <c r="B236" s="35"/>
      <c r="K236" s="24"/>
    </row>
    <row r="237" spans="2:11" ht="14.25" customHeight="1">
      <c r="B237" s="35"/>
      <c r="K237" s="24"/>
    </row>
    <row r="238" spans="2:11" ht="14.25" customHeight="1">
      <c r="B238" s="35"/>
      <c r="K238" s="24"/>
    </row>
    <row r="239" spans="2:11" ht="14.25" customHeight="1">
      <c r="B239" s="35"/>
      <c r="K239" s="24"/>
    </row>
    <row r="240" spans="2:11" ht="14.25" customHeight="1">
      <c r="B240" s="35"/>
      <c r="K240" s="24"/>
    </row>
    <row r="241" spans="2:11" ht="14.25" customHeight="1">
      <c r="B241" s="35"/>
      <c r="K241" s="24"/>
    </row>
    <row r="242" spans="2:11" ht="14.25" customHeight="1">
      <c r="B242" s="35"/>
      <c r="K242" s="24"/>
    </row>
    <row r="243" spans="2:11" ht="14.25" customHeight="1">
      <c r="B243" s="35"/>
      <c r="K243" s="24"/>
    </row>
    <row r="244" spans="2:11" ht="14.25" customHeight="1">
      <c r="B244" s="35"/>
      <c r="K244" s="24"/>
    </row>
    <row r="245" spans="2:11" ht="14.25" customHeight="1">
      <c r="B245" s="35"/>
      <c r="K245" s="24"/>
    </row>
    <row r="246" spans="2:11" ht="14.25" customHeight="1">
      <c r="B246" s="35"/>
      <c r="K246" s="24"/>
    </row>
    <row r="247" spans="2:11" ht="14.25" customHeight="1">
      <c r="B247" s="35"/>
      <c r="K247" s="24"/>
    </row>
    <row r="248" spans="2:11" ht="14.25" customHeight="1">
      <c r="B248" s="35"/>
      <c r="K248" s="24"/>
    </row>
    <row r="249" spans="2:11" ht="14.25" customHeight="1">
      <c r="B249" s="35"/>
      <c r="K249" s="24"/>
    </row>
    <row r="250" spans="2:11" ht="14.25" customHeight="1">
      <c r="B250" s="35"/>
      <c r="K250" s="24"/>
    </row>
    <row r="251" spans="2:11" ht="14.25" customHeight="1">
      <c r="B251" s="35"/>
      <c r="K251" s="24"/>
    </row>
    <row r="252" spans="2:11" ht="14.25" customHeight="1">
      <c r="B252" s="35"/>
      <c r="K252" s="24"/>
    </row>
    <row r="253" spans="2:11" ht="14.25" customHeight="1">
      <c r="B253" s="35"/>
      <c r="K253" s="24"/>
    </row>
    <row r="254" spans="2:11" ht="14.25" customHeight="1">
      <c r="B254" s="35"/>
      <c r="K254" s="24"/>
    </row>
    <row r="255" spans="2:11" ht="14.25" customHeight="1">
      <c r="B255" s="35"/>
      <c r="K255" s="24"/>
    </row>
    <row r="256" spans="2:11" ht="14.25" customHeight="1">
      <c r="B256" s="35"/>
      <c r="K256" s="24"/>
    </row>
    <row r="257" spans="2:11" ht="14.25" customHeight="1">
      <c r="B257" s="35"/>
      <c r="K257" s="24"/>
    </row>
    <row r="258" spans="2:11" ht="14.25" customHeight="1">
      <c r="B258" s="35"/>
      <c r="K258" s="24"/>
    </row>
    <row r="259" spans="2:11" ht="14.25" customHeight="1">
      <c r="B259" s="35"/>
      <c r="K259" s="24"/>
    </row>
    <row r="260" spans="2:11" ht="14.25" customHeight="1">
      <c r="B260" s="35"/>
      <c r="K260" s="24"/>
    </row>
    <row r="261" spans="2:11" ht="14.25" customHeight="1">
      <c r="B261" s="35"/>
      <c r="K261" s="24"/>
    </row>
    <row r="262" spans="2:11" ht="14.25" customHeight="1">
      <c r="B262" s="35"/>
      <c r="K262" s="24"/>
    </row>
    <row r="263" spans="2:11" ht="14.25" customHeight="1">
      <c r="B263" s="35"/>
      <c r="K263" s="24"/>
    </row>
    <row r="264" spans="2:11" ht="14.25" customHeight="1">
      <c r="B264" s="35"/>
      <c r="K264" s="24"/>
    </row>
    <row r="265" spans="2:11" ht="14.25" customHeight="1">
      <c r="B265" s="35"/>
      <c r="K265" s="24"/>
    </row>
    <row r="266" spans="2:11" ht="14.25" customHeight="1">
      <c r="B266" s="35"/>
      <c r="K266" s="24"/>
    </row>
    <row r="267" spans="2:11" ht="14.25" customHeight="1">
      <c r="B267" s="35"/>
      <c r="K267" s="24"/>
    </row>
    <row r="268" spans="2:11" ht="14.25" customHeight="1">
      <c r="B268" s="35"/>
      <c r="K268" s="24"/>
    </row>
    <row r="269" spans="2:11" ht="14.25" customHeight="1">
      <c r="B269" s="35"/>
      <c r="K269" s="24"/>
    </row>
    <row r="270" spans="2:11" ht="14.25" customHeight="1">
      <c r="B270" s="35"/>
      <c r="K270" s="24"/>
    </row>
    <row r="271" spans="2:11" ht="14.25" customHeight="1">
      <c r="B271" s="35"/>
      <c r="K271" s="24"/>
    </row>
    <row r="272" spans="2:11" ht="14.25" customHeight="1">
      <c r="B272" s="35"/>
      <c r="K272" s="24"/>
    </row>
    <row r="273" spans="2:11" ht="14.25" customHeight="1">
      <c r="B273" s="35"/>
      <c r="K273" s="24"/>
    </row>
    <row r="274" spans="2:11" ht="14.25" customHeight="1">
      <c r="B274" s="35"/>
      <c r="K274" s="24"/>
    </row>
    <row r="275" spans="2:11" ht="14.25" customHeight="1">
      <c r="B275" s="35"/>
      <c r="K275" s="24"/>
    </row>
    <row r="276" spans="2:11" ht="14.25" customHeight="1">
      <c r="B276" s="35"/>
      <c r="K276" s="24"/>
    </row>
    <row r="277" spans="2:11" ht="14.25" customHeight="1">
      <c r="B277" s="35"/>
      <c r="K277" s="24"/>
    </row>
    <row r="278" spans="2:11" ht="14.25" customHeight="1">
      <c r="B278" s="35"/>
      <c r="K278" s="24"/>
    </row>
    <row r="279" spans="2:11" ht="14.25" customHeight="1">
      <c r="B279" s="35"/>
      <c r="K279" s="24"/>
    </row>
    <row r="280" spans="2:11" ht="14.25" customHeight="1">
      <c r="B280" s="35"/>
      <c r="K280" s="24"/>
    </row>
    <row r="281" spans="2:11" ht="14.25" customHeight="1">
      <c r="B281" s="35"/>
      <c r="K281" s="24"/>
    </row>
    <row r="282" spans="2:11" ht="14.25" customHeight="1">
      <c r="B282" s="35"/>
      <c r="K282" s="24"/>
    </row>
    <row r="283" spans="2:11" ht="14.25" customHeight="1">
      <c r="B283" s="35"/>
      <c r="K283" s="24"/>
    </row>
    <row r="284" spans="2:11" ht="14.25" customHeight="1">
      <c r="B284" s="35"/>
      <c r="K284" s="24"/>
    </row>
    <row r="285" spans="2:11" ht="14.25" customHeight="1">
      <c r="B285" s="35"/>
      <c r="K285" s="24"/>
    </row>
    <row r="286" spans="2:11" ht="14.25" customHeight="1">
      <c r="B286" s="35"/>
      <c r="K286" s="24"/>
    </row>
    <row r="287" spans="2:11" ht="14.25" customHeight="1">
      <c r="B287" s="35"/>
      <c r="K287" s="24"/>
    </row>
    <row r="288" spans="2:11" ht="14.25" customHeight="1">
      <c r="B288" s="35"/>
      <c r="K288" s="24"/>
    </row>
    <row r="289" spans="2:11" ht="14.25" customHeight="1">
      <c r="B289" s="35"/>
      <c r="K289" s="24"/>
    </row>
    <row r="290" spans="2:11" ht="14.25" customHeight="1">
      <c r="B290" s="35"/>
      <c r="K290" s="24"/>
    </row>
    <row r="291" spans="2:11" ht="14.25" customHeight="1">
      <c r="B291" s="35"/>
      <c r="K291" s="24"/>
    </row>
    <row r="292" spans="2:11" ht="14.25" customHeight="1">
      <c r="B292" s="35"/>
      <c r="K292" s="24"/>
    </row>
    <row r="293" spans="2:11" ht="14.25" customHeight="1">
      <c r="B293" s="35"/>
      <c r="K293" s="24"/>
    </row>
    <row r="294" spans="2:11" ht="14.25" customHeight="1">
      <c r="B294" s="35"/>
      <c r="K294" s="24"/>
    </row>
    <row r="295" spans="2:11" ht="14.25" customHeight="1">
      <c r="B295" s="35"/>
      <c r="K295" s="24"/>
    </row>
    <row r="296" spans="2:11" ht="14.25" customHeight="1">
      <c r="B296" s="35"/>
      <c r="K296" s="24"/>
    </row>
    <row r="297" spans="2:11" ht="14.25" customHeight="1">
      <c r="B297" s="35"/>
      <c r="K297" s="24"/>
    </row>
    <row r="298" spans="2:11" ht="14.25" customHeight="1">
      <c r="B298" s="35"/>
      <c r="K298" s="24"/>
    </row>
    <row r="299" spans="2:11" ht="14.25" customHeight="1">
      <c r="B299" s="35"/>
      <c r="K299" s="24"/>
    </row>
    <row r="300" spans="2:11" ht="14.25" customHeight="1">
      <c r="B300" s="35"/>
      <c r="K300" s="24"/>
    </row>
    <row r="301" spans="2:11" ht="14.25" customHeight="1">
      <c r="B301" s="35"/>
      <c r="K301" s="24"/>
    </row>
    <row r="302" spans="2:11" ht="14.25" customHeight="1">
      <c r="B302" s="35"/>
      <c r="K302" s="24"/>
    </row>
    <row r="303" spans="2:11" ht="14.25" customHeight="1">
      <c r="B303" s="35"/>
      <c r="K303" s="24"/>
    </row>
    <row r="304" spans="2:11" ht="14.25" customHeight="1">
      <c r="B304" s="35"/>
      <c r="K304" s="24"/>
    </row>
    <row r="305" spans="2:11" ht="14.25" customHeight="1">
      <c r="B305" s="35"/>
      <c r="K305" s="24"/>
    </row>
    <row r="306" spans="2:11" ht="14.25" customHeight="1">
      <c r="B306" s="35"/>
      <c r="K306" s="24"/>
    </row>
    <row r="307" spans="2:11" ht="14.25" customHeight="1">
      <c r="B307" s="35"/>
      <c r="K307" s="24"/>
    </row>
    <row r="308" spans="2:11" ht="14.25" customHeight="1">
      <c r="B308" s="35"/>
      <c r="K308" s="24"/>
    </row>
    <row r="309" spans="2:11" ht="14.25" customHeight="1">
      <c r="B309" s="35"/>
      <c r="K309" s="24"/>
    </row>
    <row r="310" spans="2:11" ht="14.25" customHeight="1">
      <c r="B310" s="35"/>
      <c r="K310" s="24"/>
    </row>
    <row r="311" spans="2:11" ht="14.25" customHeight="1">
      <c r="B311" s="35"/>
      <c r="K311" s="24"/>
    </row>
    <row r="312" spans="2:11" ht="14.25" customHeight="1">
      <c r="B312" s="35"/>
      <c r="K312" s="24"/>
    </row>
    <row r="313" spans="2:11" ht="14.25" customHeight="1">
      <c r="B313" s="35"/>
      <c r="K313" s="24"/>
    </row>
    <row r="314" spans="2:11" ht="14.25" customHeight="1">
      <c r="B314" s="35"/>
      <c r="K314" s="24"/>
    </row>
    <row r="315" spans="2:11" ht="14.25" customHeight="1">
      <c r="B315" s="35"/>
      <c r="K315" s="24"/>
    </row>
    <row r="316" spans="2:11" ht="14.25" customHeight="1">
      <c r="B316" s="35"/>
      <c r="K316" s="24"/>
    </row>
    <row r="317" spans="2:11" ht="14.25" customHeight="1">
      <c r="B317" s="35"/>
      <c r="K317" s="24"/>
    </row>
    <row r="318" spans="2:11" ht="14.25" customHeight="1">
      <c r="B318" s="35"/>
      <c r="K318" s="24"/>
    </row>
    <row r="319" spans="2:11" ht="14.25" customHeight="1">
      <c r="B319" s="35"/>
      <c r="K319" s="24"/>
    </row>
    <row r="320" spans="2:11" ht="14.25" customHeight="1">
      <c r="B320" s="35"/>
      <c r="K320" s="24"/>
    </row>
    <row r="321" spans="2:11" ht="14.25" customHeight="1">
      <c r="B321" s="35"/>
      <c r="K321" s="24"/>
    </row>
    <row r="322" spans="2:11" ht="14.25" customHeight="1">
      <c r="B322" s="35"/>
      <c r="K322" s="24"/>
    </row>
    <row r="323" spans="2:11" ht="14.25" customHeight="1">
      <c r="B323" s="35"/>
      <c r="K323" s="24"/>
    </row>
    <row r="324" spans="2:11" ht="14.25" customHeight="1">
      <c r="B324" s="35"/>
      <c r="K324" s="24"/>
    </row>
    <row r="325" spans="2:11" ht="14.25" customHeight="1">
      <c r="B325" s="35"/>
      <c r="K325" s="24"/>
    </row>
    <row r="326" spans="2:11" ht="14.25" customHeight="1">
      <c r="B326" s="35"/>
      <c r="K326" s="24"/>
    </row>
    <row r="327" spans="2:11" ht="14.25" customHeight="1">
      <c r="B327" s="35"/>
      <c r="K327" s="24"/>
    </row>
    <row r="328" spans="2:11" ht="14.25" customHeight="1">
      <c r="B328" s="35"/>
      <c r="K328" s="24"/>
    </row>
    <row r="329" spans="2:11" ht="14.25" customHeight="1">
      <c r="B329" s="35"/>
      <c r="K329" s="24"/>
    </row>
    <row r="330" spans="2:11" ht="14.25" customHeight="1">
      <c r="B330" s="35"/>
      <c r="K330" s="24"/>
    </row>
    <row r="331" spans="2:11" ht="14.25" customHeight="1">
      <c r="B331" s="35"/>
      <c r="K331" s="24"/>
    </row>
    <row r="332" spans="2:11" ht="14.25" customHeight="1">
      <c r="B332" s="35"/>
      <c r="K332" s="24"/>
    </row>
    <row r="333" spans="2:11" ht="14.25" customHeight="1">
      <c r="B333" s="35"/>
      <c r="K333" s="24"/>
    </row>
    <row r="334" spans="2:11" ht="14.25" customHeight="1">
      <c r="B334" s="35"/>
      <c r="K334" s="24"/>
    </row>
    <row r="335" spans="2:11" ht="14.25" customHeight="1">
      <c r="B335" s="35"/>
      <c r="K335" s="24"/>
    </row>
    <row r="336" spans="2:11" ht="14.25" customHeight="1">
      <c r="B336" s="35"/>
      <c r="K336" s="24"/>
    </row>
    <row r="337" spans="2:11" ht="14.25" customHeight="1">
      <c r="B337" s="35"/>
      <c r="K337" s="24"/>
    </row>
    <row r="338" spans="2:11" ht="14.25" customHeight="1">
      <c r="B338" s="35"/>
      <c r="K338" s="24"/>
    </row>
    <row r="339" spans="2:11" ht="14.25" customHeight="1">
      <c r="B339" s="35"/>
      <c r="K339" s="24"/>
    </row>
    <row r="340" spans="2:11" ht="14.25" customHeight="1">
      <c r="B340" s="35"/>
      <c r="K340" s="24"/>
    </row>
    <row r="341" spans="2:11" ht="14.25" customHeight="1">
      <c r="B341" s="35"/>
      <c r="K341" s="24"/>
    </row>
    <row r="342" spans="2:11" ht="14.25" customHeight="1">
      <c r="B342" s="35"/>
      <c r="K342" s="24"/>
    </row>
    <row r="343" spans="2:11" ht="14.25" customHeight="1">
      <c r="B343" s="35"/>
      <c r="K343" s="24"/>
    </row>
    <row r="344" spans="2:11" ht="14.25" customHeight="1">
      <c r="B344" s="35"/>
      <c r="K344" s="24"/>
    </row>
    <row r="345" spans="2:11" ht="14.25" customHeight="1">
      <c r="B345" s="35"/>
      <c r="K345" s="24"/>
    </row>
    <row r="346" spans="2:11" ht="14.25" customHeight="1">
      <c r="B346" s="35"/>
      <c r="K346" s="24"/>
    </row>
    <row r="347" spans="2:11" ht="14.25" customHeight="1">
      <c r="B347" s="35"/>
      <c r="K347" s="24"/>
    </row>
    <row r="348" spans="2:11" ht="14.25" customHeight="1">
      <c r="B348" s="35"/>
      <c r="K348" s="24"/>
    </row>
    <row r="349" spans="2:11" ht="14.25" customHeight="1">
      <c r="B349" s="35"/>
      <c r="K349" s="24"/>
    </row>
    <row r="350" spans="2:11" ht="14.25" customHeight="1">
      <c r="B350" s="35"/>
      <c r="K350" s="24"/>
    </row>
    <row r="351" spans="2:11" ht="14.25" customHeight="1">
      <c r="B351" s="35"/>
      <c r="K351" s="24"/>
    </row>
    <row r="352" spans="2:11" ht="14.25" customHeight="1">
      <c r="B352" s="35"/>
      <c r="K352" s="24"/>
    </row>
    <row r="353" spans="2:11" ht="14.25" customHeight="1">
      <c r="B353" s="35"/>
      <c r="K353" s="24"/>
    </row>
    <row r="354" spans="2:11" ht="14.25" customHeight="1">
      <c r="B354" s="35"/>
      <c r="K354" s="24"/>
    </row>
    <row r="355" spans="2:11" ht="14.25" customHeight="1">
      <c r="B355" s="35"/>
      <c r="K355" s="24"/>
    </row>
    <row r="356" spans="2:11" ht="14.25" customHeight="1">
      <c r="B356" s="35"/>
      <c r="K356" s="24"/>
    </row>
    <row r="357" spans="2:11" ht="14.25" customHeight="1">
      <c r="B357" s="35"/>
      <c r="K357" s="24"/>
    </row>
    <row r="358" spans="2:11" ht="14.25" customHeight="1">
      <c r="B358" s="35"/>
      <c r="K358" s="24"/>
    </row>
    <row r="359" spans="2:11" ht="14.25" customHeight="1">
      <c r="B359" s="35"/>
      <c r="K359" s="24"/>
    </row>
    <row r="360" spans="2:11" ht="14.25" customHeight="1">
      <c r="B360" s="35"/>
      <c r="K360" s="24"/>
    </row>
    <row r="361" spans="2:11" ht="14.25" customHeight="1">
      <c r="B361" s="35"/>
      <c r="K361" s="24"/>
    </row>
    <row r="362" spans="2:11" ht="14.25" customHeight="1">
      <c r="B362" s="35"/>
      <c r="K362" s="24"/>
    </row>
    <row r="363" spans="2:11" ht="14.25" customHeight="1">
      <c r="B363" s="35"/>
      <c r="K363" s="24"/>
    </row>
    <row r="364" spans="2:11" ht="14.25" customHeight="1">
      <c r="B364" s="35"/>
      <c r="K364" s="24"/>
    </row>
    <row r="365" spans="2:11" ht="14.25" customHeight="1">
      <c r="B365" s="35"/>
      <c r="K365" s="24"/>
    </row>
    <row r="366" spans="2:11" ht="14.25" customHeight="1">
      <c r="B366" s="35"/>
      <c r="K366" s="24"/>
    </row>
    <row r="367" spans="2:11" ht="14.25" customHeight="1">
      <c r="B367" s="35"/>
      <c r="K367" s="24"/>
    </row>
    <row r="368" spans="2:11" ht="14.25" customHeight="1">
      <c r="B368" s="35"/>
      <c r="K368" s="24"/>
    </row>
    <row r="369" spans="2:11" ht="14.25" customHeight="1">
      <c r="B369" s="35"/>
      <c r="K369" s="24"/>
    </row>
    <row r="370" spans="2:11" ht="14.25" customHeight="1">
      <c r="B370" s="35"/>
      <c r="K370" s="24"/>
    </row>
    <row r="371" spans="2:11" ht="14.25" customHeight="1">
      <c r="B371" s="35"/>
      <c r="K371" s="24"/>
    </row>
    <row r="372" spans="2:11" ht="14.25" customHeight="1">
      <c r="B372" s="35"/>
      <c r="K372" s="24"/>
    </row>
    <row r="373" spans="2:11" ht="14.25" customHeight="1">
      <c r="B373" s="35"/>
      <c r="K373" s="24"/>
    </row>
    <row r="374" spans="2:11" ht="14.25" customHeight="1">
      <c r="B374" s="35"/>
      <c r="K374" s="24"/>
    </row>
    <row r="375" spans="2:11" ht="14.25" customHeight="1">
      <c r="B375" s="35"/>
      <c r="K375" s="24"/>
    </row>
    <row r="376" spans="2:11" ht="14.25" customHeight="1">
      <c r="B376" s="35"/>
      <c r="K376" s="24"/>
    </row>
    <row r="377" spans="2:11" ht="14.25" customHeight="1">
      <c r="B377" s="35"/>
      <c r="K377" s="24"/>
    </row>
    <row r="378" spans="2:11" ht="14.25" customHeight="1">
      <c r="B378" s="35"/>
      <c r="K378" s="24"/>
    </row>
    <row r="379" spans="2:11" ht="14.25" customHeight="1">
      <c r="B379" s="35"/>
      <c r="K379" s="24"/>
    </row>
    <row r="380" spans="2:11" ht="14.25" customHeight="1">
      <c r="B380" s="35"/>
      <c r="K380" s="24"/>
    </row>
    <row r="381" spans="2:11" ht="14.25" customHeight="1">
      <c r="B381" s="35"/>
      <c r="K381" s="24"/>
    </row>
    <row r="382" spans="2:11" ht="14.25" customHeight="1">
      <c r="B382" s="35"/>
      <c r="K382" s="24"/>
    </row>
    <row r="383" spans="2:11" ht="14.25" customHeight="1">
      <c r="B383" s="35"/>
      <c r="K383" s="24"/>
    </row>
    <row r="384" spans="2:11" ht="14.25" customHeight="1">
      <c r="B384" s="35"/>
      <c r="K384" s="24"/>
    </row>
    <row r="385" spans="2:11" ht="14.25" customHeight="1">
      <c r="B385" s="35"/>
      <c r="K385" s="24"/>
    </row>
    <row r="386" spans="2:11" ht="14.25" customHeight="1">
      <c r="B386" s="35"/>
      <c r="K386" s="24"/>
    </row>
    <row r="387" spans="2:11" ht="14.25" customHeight="1">
      <c r="B387" s="35"/>
      <c r="K387" s="24"/>
    </row>
    <row r="388" spans="2:11" ht="14.25" customHeight="1">
      <c r="B388" s="35"/>
      <c r="K388" s="24"/>
    </row>
    <row r="389" spans="2:11" ht="14.25" customHeight="1">
      <c r="B389" s="35"/>
      <c r="K389" s="24"/>
    </row>
    <row r="390" spans="2:11" ht="14.25" customHeight="1">
      <c r="B390" s="35"/>
      <c r="K390" s="24"/>
    </row>
    <row r="391" spans="2:11" ht="14.25" customHeight="1">
      <c r="B391" s="35"/>
      <c r="K391" s="24"/>
    </row>
    <row r="392" spans="2:11" ht="14.25" customHeight="1">
      <c r="B392" s="35"/>
      <c r="K392" s="24"/>
    </row>
    <row r="393" spans="2:11" ht="14.25" customHeight="1">
      <c r="B393" s="35"/>
      <c r="K393" s="24"/>
    </row>
    <row r="394" spans="2:11" ht="14.25" customHeight="1">
      <c r="B394" s="35"/>
      <c r="K394" s="24"/>
    </row>
    <row r="395" spans="2:11" ht="14.25" customHeight="1">
      <c r="B395" s="35"/>
      <c r="K395" s="24"/>
    </row>
    <row r="396" spans="2:11" ht="14.25" customHeight="1">
      <c r="B396" s="35"/>
      <c r="K396" s="24"/>
    </row>
    <row r="397" spans="2:11" ht="14.25" customHeight="1">
      <c r="B397" s="35"/>
      <c r="K397" s="24"/>
    </row>
    <row r="398" spans="2:11" ht="14.25" customHeight="1">
      <c r="B398" s="35"/>
      <c r="K398" s="24"/>
    </row>
    <row r="399" spans="2:11" ht="14.25" customHeight="1">
      <c r="B399" s="35"/>
      <c r="K399" s="24"/>
    </row>
    <row r="400" spans="2:11" ht="14.25" customHeight="1">
      <c r="B400" s="35"/>
      <c r="K400" s="24"/>
    </row>
    <row r="401" spans="2:11" ht="14.25" customHeight="1">
      <c r="B401" s="35"/>
      <c r="K401" s="24"/>
    </row>
    <row r="402" spans="2:11" ht="14.25" customHeight="1">
      <c r="B402" s="35"/>
      <c r="K402" s="24"/>
    </row>
    <row r="403" spans="2:11" ht="14.25" customHeight="1">
      <c r="B403" s="35"/>
      <c r="K403" s="24"/>
    </row>
    <row r="404" spans="2:11" ht="14.25" customHeight="1">
      <c r="B404" s="35"/>
      <c r="K404" s="24"/>
    </row>
    <row r="405" spans="2:11" ht="14.25" customHeight="1">
      <c r="B405" s="35"/>
      <c r="K405" s="24"/>
    </row>
    <row r="406" spans="2:11" ht="14.25" customHeight="1">
      <c r="B406" s="35"/>
      <c r="K406" s="24"/>
    </row>
    <row r="407" spans="2:11" ht="14.25" customHeight="1">
      <c r="B407" s="35"/>
      <c r="K407" s="24"/>
    </row>
    <row r="408" spans="2:11" ht="14.25" customHeight="1">
      <c r="B408" s="35"/>
      <c r="K408" s="24"/>
    </row>
    <row r="409" spans="2:11" ht="14.25" customHeight="1">
      <c r="B409" s="35"/>
      <c r="K409" s="24"/>
    </row>
    <row r="410" spans="2:11" ht="14.25" customHeight="1">
      <c r="B410" s="35"/>
      <c r="K410" s="24"/>
    </row>
    <row r="411" spans="2:11" ht="14.25" customHeight="1">
      <c r="B411" s="35"/>
      <c r="K411" s="24"/>
    </row>
    <row r="412" spans="2:11" ht="14.25" customHeight="1">
      <c r="B412" s="35"/>
      <c r="K412" s="24"/>
    </row>
    <row r="413" spans="2:11" ht="14.25" customHeight="1">
      <c r="B413" s="35"/>
      <c r="K413" s="24"/>
    </row>
    <row r="414" spans="2:11" ht="14.25" customHeight="1">
      <c r="B414" s="35"/>
      <c r="K414" s="24"/>
    </row>
    <row r="415" spans="2:11" ht="14.25" customHeight="1">
      <c r="B415" s="35"/>
      <c r="K415" s="24"/>
    </row>
    <row r="416" spans="2:11" ht="14.25" customHeight="1">
      <c r="B416" s="35"/>
      <c r="K416" s="24"/>
    </row>
    <row r="417" spans="2:11" ht="14.25" customHeight="1">
      <c r="B417" s="35"/>
      <c r="K417" s="24"/>
    </row>
    <row r="418" spans="2:11" ht="14.25" customHeight="1">
      <c r="B418" s="35"/>
      <c r="K418" s="24"/>
    </row>
    <row r="419" spans="2:11" ht="14.25" customHeight="1">
      <c r="B419" s="35"/>
      <c r="K419" s="24"/>
    </row>
    <row r="420" spans="2:11" ht="14.25" customHeight="1">
      <c r="B420" s="35"/>
      <c r="K420" s="24"/>
    </row>
    <row r="421" spans="2:11" ht="14.25" customHeight="1">
      <c r="B421" s="35"/>
      <c r="K421" s="24"/>
    </row>
    <row r="422" spans="2:11" ht="14.25" customHeight="1">
      <c r="B422" s="35"/>
      <c r="K422" s="24"/>
    </row>
    <row r="423" spans="2:11" ht="14.25" customHeight="1">
      <c r="B423" s="35"/>
      <c r="K423" s="24"/>
    </row>
    <row r="424" spans="2:11" ht="14.25" customHeight="1">
      <c r="B424" s="35"/>
      <c r="K424" s="24"/>
    </row>
    <row r="425" spans="2:11" ht="14.25" customHeight="1">
      <c r="B425" s="35"/>
      <c r="K425" s="24"/>
    </row>
    <row r="426" spans="2:11" ht="14.25" customHeight="1">
      <c r="B426" s="35"/>
      <c r="K426" s="24"/>
    </row>
    <row r="427" spans="2:11" ht="14.25" customHeight="1">
      <c r="B427" s="35"/>
      <c r="K427" s="24"/>
    </row>
    <row r="428" spans="2:11" ht="14.25" customHeight="1">
      <c r="B428" s="35"/>
      <c r="K428" s="24"/>
    </row>
    <row r="429" spans="2:11" ht="14.25" customHeight="1">
      <c r="B429" s="35"/>
      <c r="K429" s="24"/>
    </row>
    <row r="430" spans="2:11" ht="14.25" customHeight="1">
      <c r="B430" s="35"/>
      <c r="K430" s="24"/>
    </row>
    <row r="431" spans="2:11" ht="14.25" customHeight="1">
      <c r="B431" s="35"/>
      <c r="K431" s="24"/>
    </row>
    <row r="432" spans="2:11" ht="14.25" customHeight="1">
      <c r="B432" s="35"/>
      <c r="K432" s="24"/>
    </row>
    <row r="433" spans="2:11" ht="14.25" customHeight="1">
      <c r="B433" s="35"/>
      <c r="K433" s="24"/>
    </row>
    <row r="434" spans="2:11" ht="14.25" customHeight="1">
      <c r="B434" s="35"/>
      <c r="K434" s="24"/>
    </row>
    <row r="435" spans="2:11" ht="14.25" customHeight="1">
      <c r="B435" s="35"/>
      <c r="K435" s="24"/>
    </row>
    <row r="436" spans="2:11" ht="14.25" customHeight="1">
      <c r="B436" s="35"/>
      <c r="K436" s="24"/>
    </row>
    <row r="437" spans="2:11" ht="14.25" customHeight="1">
      <c r="B437" s="35"/>
      <c r="K437" s="24"/>
    </row>
    <row r="438" spans="2:11" ht="14.25" customHeight="1">
      <c r="B438" s="35"/>
      <c r="K438" s="24"/>
    </row>
    <row r="439" spans="2:11" ht="14.25" customHeight="1">
      <c r="B439" s="35"/>
      <c r="K439" s="24"/>
    </row>
    <row r="440" spans="2:11" ht="14.25" customHeight="1">
      <c r="B440" s="35"/>
      <c r="K440" s="24"/>
    </row>
    <row r="441" spans="2:11" ht="14.25" customHeight="1">
      <c r="B441" s="35"/>
      <c r="K441" s="24"/>
    </row>
    <row r="442" spans="2:11" ht="14.25" customHeight="1">
      <c r="B442" s="35"/>
      <c r="K442" s="24"/>
    </row>
    <row r="443" spans="2:11" ht="14.25" customHeight="1">
      <c r="B443" s="35"/>
      <c r="K443" s="24"/>
    </row>
    <row r="444" spans="2:11" ht="14.25" customHeight="1">
      <c r="B444" s="35"/>
      <c r="K444" s="24"/>
    </row>
    <row r="445" spans="2:11" ht="14.25" customHeight="1">
      <c r="B445" s="35"/>
      <c r="K445" s="24"/>
    </row>
    <row r="446" spans="2:11" ht="14.25" customHeight="1">
      <c r="B446" s="35"/>
      <c r="K446" s="24"/>
    </row>
    <row r="447" spans="2:11" ht="14.25" customHeight="1">
      <c r="B447" s="35"/>
      <c r="K447" s="24"/>
    </row>
    <row r="448" spans="2:11" ht="14.25" customHeight="1">
      <c r="B448" s="35"/>
      <c r="K448" s="24"/>
    </row>
    <row r="449" spans="2:11" ht="14.25" customHeight="1">
      <c r="B449" s="35"/>
      <c r="K449" s="24"/>
    </row>
    <row r="450" spans="2:11" ht="14.25" customHeight="1">
      <c r="B450" s="35"/>
      <c r="K450" s="24"/>
    </row>
    <row r="451" spans="2:11" ht="14.25" customHeight="1">
      <c r="B451" s="35"/>
      <c r="K451" s="24"/>
    </row>
    <row r="452" spans="2:11" ht="14.25" customHeight="1">
      <c r="B452" s="35"/>
      <c r="K452" s="24"/>
    </row>
    <row r="453" spans="2:11" ht="14.25" customHeight="1">
      <c r="B453" s="35"/>
      <c r="K453" s="24"/>
    </row>
    <row r="454" spans="2:11" ht="14.25" customHeight="1">
      <c r="B454" s="35"/>
      <c r="K454" s="24"/>
    </row>
    <row r="455" spans="2:11" ht="14.25" customHeight="1">
      <c r="B455" s="35"/>
      <c r="K455" s="24"/>
    </row>
    <row r="456" spans="2:11" ht="14.25" customHeight="1">
      <c r="B456" s="35"/>
      <c r="K456" s="24"/>
    </row>
    <row r="457" spans="2:11" ht="14.25" customHeight="1">
      <c r="B457" s="35"/>
      <c r="K457" s="24"/>
    </row>
    <row r="458" spans="2:11" ht="14.25" customHeight="1">
      <c r="B458" s="35"/>
      <c r="K458" s="24"/>
    </row>
    <row r="459" spans="2:11" ht="14.25" customHeight="1">
      <c r="B459" s="35"/>
      <c r="K459" s="24"/>
    </row>
    <row r="460" spans="2:11" ht="14.25" customHeight="1">
      <c r="B460" s="35"/>
      <c r="K460" s="24"/>
    </row>
    <row r="461" spans="2:11" ht="14.25" customHeight="1">
      <c r="B461" s="35"/>
      <c r="K461" s="24"/>
    </row>
    <row r="462" spans="2:11" ht="14.25" customHeight="1">
      <c r="B462" s="35"/>
      <c r="K462" s="24"/>
    </row>
    <row r="463" spans="2:11" ht="14.25" customHeight="1">
      <c r="B463" s="35"/>
      <c r="K463" s="24"/>
    </row>
    <row r="464" spans="2:11" ht="14.25" customHeight="1">
      <c r="B464" s="35"/>
      <c r="K464" s="24"/>
    </row>
    <row r="465" spans="2:11" ht="14.25" customHeight="1">
      <c r="B465" s="35"/>
      <c r="K465" s="24"/>
    </row>
    <row r="466" spans="2:11" ht="14.25" customHeight="1">
      <c r="B466" s="35"/>
      <c r="K466" s="24"/>
    </row>
    <row r="467" spans="2:11" ht="14.25" customHeight="1">
      <c r="B467" s="35"/>
      <c r="K467" s="24"/>
    </row>
    <row r="468" spans="2:11" ht="14.25" customHeight="1">
      <c r="B468" s="35"/>
      <c r="K468" s="24"/>
    </row>
    <row r="469" spans="2:11" ht="14.25" customHeight="1">
      <c r="B469" s="35"/>
      <c r="K469" s="24"/>
    </row>
    <row r="470" spans="2:11" ht="14.25" customHeight="1">
      <c r="B470" s="35"/>
      <c r="K470" s="24"/>
    </row>
    <row r="471" spans="2:11" ht="14.25" customHeight="1">
      <c r="B471" s="35"/>
      <c r="K471" s="24"/>
    </row>
    <row r="472" spans="2:11" ht="14.25" customHeight="1">
      <c r="B472" s="35"/>
      <c r="K472" s="24"/>
    </row>
    <row r="473" spans="2:11" ht="14.25" customHeight="1">
      <c r="B473" s="35"/>
      <c r="K473" s="24"/>
    </row>
    <row r="474" spans="2:11" ht="14.25" customHeight="1">
      <c r="B474" s="35"/>
      <c r="K474" s="24"/>
    </row>
    <row r="475" spans="2:11" ht="14.25" customHeight="1">
      <c r="B475" s="35"/>
      <c r="K475" s="24"/>
    </row>
    <row r="476" spans="2:11" ht="14.25" customHeight="1">
      <c r="B476" s="35"/>
      <c r="K476" s="24"/>
    </row>
    <row r="477" spans="2:11" ht="14.25" customHeight="1">
      <c r="B477" s="35"/>
      <c r="K477" s="24"/>
    </row>
    <row r="478" spans="2:11" ht="14.25" customHeight="1">
      <c r="B478" s="35"/>
      <c r="K478" s="24"/>
    </row>
    <row r="479" spans="2:11" ht="14.25" customHeight="1">
      <c r="B479" s="35"/>
      <c r="K479" s="24"/>
    </row>
    <row r="480" spans="2:11" ht="14.25" customHeight="1">
      <c r="B480" s="35"/>
      <c r="K480" s="24"/>
    </row>
    <row r="481" spans="2:11" ht="14.25" customHeight="1">
      <c r="B481" s="35"/>
      <c r="K481" s="24"/>
    </row>
    <row r="482" spans="2:11" ht="14.25" customHeight="1">
      <c r="B482" s="35"/>
      <c r="K482" s="24"/>
    </row>
    <row r="483" spans="2:11" ht="14.25" customHeight="1">
      <c r="B483" s="35"/>
      <c r="K483" s="24"/>
    </row>
    <row r="484" spans="2:11" ht="14.25" customHeight="1">
      <c r="B484" s="35"/>
      <c r="K484" s="24"/>
    </row>
    <row r="485" spans="2:11" ht="14.25" customHeight="1">
      <c r="B485" s="35"/>
      <c r="K485" s="24"/>
    </row>
    <row r="486" spans="2:11" ht="14.25" customHeight="1">
      <c r="B486" s="35"/>
      <c r="K486" s="24"/>
    </row>
    <row r="487" spans="2:11" ht="14.25" customHeight="1">
      <c r="B487" s="35"/>
      <c r="K487" s="24"/>
    </row>
    <row r="488" spans="2:11" ht="14.25" customHeight="1">
      <c r="B488" s="35"/>
      <c r="K488" s="24"/>
    </row>
    <row r="489" spans="2:11" ht="14.25" customHeight="1">
      <c r="B489" s="35"/>
      <c r="K489" s="24"/>
    </row>
    <row r="490" spans="2:11" ht="14.25" customHeight="1">
      <c r="B490" s="35"/>
      <c r="K490" s="24"/>
    </row>
    <row r="491" spans="2:11" ht="14.25" customHeight="1">
      <c r="B491" s="35"/>
      <c r="K491" s="24"/>
    </row>
    <row r="492" spans="2:11" ht="14.25" customHeight="1">
      <c r="B492" s="35"/>
      <c r="K492" s="24"/>
    </row>
    <row r="493" spans="2:11" ht="14.25" customHeight="1">
      <c r="B493" s="35"/>
      <c r="K493" s="24"/>
    </row>
    <row r="494" spans="2:11" ht="14.25" customHeight="1">
      <c r="B494" s="35"/>
      <c r="K494" s="24"/>
    </row>
    <row r="495" spans="2:11" ht="14.25" customHeight="1">
      <c r="B495" s="35"/>
      <c r="K495" s="24"/>
    </row>
    <row r="496" spans="2:11" ht="14.25" customHeight="1">
      <c r="B496" s="35"/>
      <c r="K496" s="24"/>
    </row>
    <row r="497" spans="2:11" ht="14.25" customHeight="1">
      <c r="B497" s="35"/>
      <c r="K497" s="24"/>
    </row>
    <row r="498" spans="2:11" ht="14.25" customHeight="1">
      <c r="B498" s="35"/>
      <c r="K498" s="24"/>
    </row>
    <row r="499" spans="2:11" ht="14.25" customHeight="1">
      <c r="B499" s="35"/>
      <c r="K499" s="24"/>
    </row>
    <row r="500" spans="2:11" ht="14.25" customHeight="1">
      <c r="B500" s="35"/>
      <c r="K500" s="24"/>
    </row>
    <row r="501" spans="2:11" ht="14.25" customHeight="1">
      <c r="B501" s="35"/>
      <c r="K501" s="24"/>
    </row>
    <row r="502" spans="2:11" ht="14.25" customHeight="1">
      <c r="B502" s="35"/>
      <c r="K502" s="24"/>
    </row>
    <row r="503" spans="2:11" ht="14.25" customHeight="1">
      <c r="B503" s="35"/>
      <c r="K503" s="24"/>
    </row>
    <row r="504" spans="2:11" ht="14.25" customHeight="1">
      <c r="B504" s="35"/>
      <c r="K504" s="24"/>
    </row>
    <row r="505" spans="2:11" ht="14.25" customHeight="1">
      <c r="B505" s="35"/>
      <c r="K505" s="24"/>
    </row>
    <row r="506" spans="2:11" ht="14.25" customHeight="1">
      <c r="B506" s="35"/>
      <c r="K506" s="24"/>
    </row>
    <row r="507" spans="2:11" ht="14.25" customHeight="1">
      <c r="B507" s="35"/>
      <c r="K507" s="24"/>
    </row>
    <row r="508" spans="2:11" ht="14.25" customHeight="1">
      <c r="B508" s="35"/>
      <c r="K508" s="24"/>
    </row>
    <row r="509" spans="2:11" ht="14.25" customHeight="1">
      <c r="B509" s="35"/>
      <c r="K509" s="24"/>
    </row>
    <row r="510" spans="2:11" ht="14.25" customHeight="1">
      <c r="B510" s="35"/>
      <c r="K510" s="24"/>
    </row>
    <row r="511" spans="2:11" ht="14.25" customHeight="1">
      <c r="B511" s="35"/>
      <c r="K511" s="24"/>
    </row>
    <row r="512" spans="2:11" ht="14.25" customHeight="1">
      <c r="B512" s="35"/>
      <c r="K512" s="24"/>
    </row>
    <row r="513" spans="2:11" ht="14.25" customHeight="1">
      <c r="B513" s="35"/>
      <c r="K513" s="24"/>
    </row>
    <row r="514" spans="2:11" ht="14.25" customHeight="1">
      <c r="B514" s="35"/>
      <c r="K514" s="24"/>
    </row>
    <row r="515" spans="2:11" ht="14.25" customHeight="1">
      <c r="B515" s="35"/>
      <c r="K515" s="24"/>
    </row>
    <row r="516" spans="2:11" ht="14.25" customHeight="1">
      <c r="B516" s="35"/>
      <c r="K516" s="24"/>
    </row>
    <row r="517" spans="2:11" ht="14.25" customHeight="1">
      <c r="B517" s="35"/>
      <c r="K517" s="24"/>
    </row>
    <row r="518" spans="2:11" ht="14.25" customHeight="1">
      <c r="B518" s="35"/>
      <c r="K518" s="24"/>
    </row>
    <row r="519" spans="2:11" ht="14.25" customHeight="1">
      <c r="B519" s="35"/>
      <c r="K519" s="24"/>
    </row>
    <row r="520" spans="2:11" ht="14.25" customHeight="1">
      <c r="B520" s="35"/>
      <c r="K520" s="24"/>
    </row>
    <row r="521" spans="2:11" ht="14.25" customHeight="1">
      <c r="B521" s="35"/>
      <c r="K521" s="24"/>
    </row>
    <row r="522" spans="2:11" ht="14.25" customHeight="1">
      <c r="B522" s="35"/>
      <c r="K522" s="24"/>
    </row>
    <row r="523" spans="2:11" ht="14.25" customHeight="1">
      <c r="B523" s="35"/>
      <c r="K523" s="24"/>
    </row>
    <row r="524" spans="2:11" ht="14.25" customHeight="1">
      <c r="B524" s="35"/>
      <c r="K524" s="24"/>
    </row>
    <row r="525" spans="2:11" ht="14.25" customHeight="1">
      <c r="B525" s="35"/>
      <c r="K525" s="24"/>
    </row>
    <row r="526" spans="2:11" ht="14.25" customHeight="1">
      <c r="B526" s="35"/>
      <c r="K526" s="24"/>
    </row>
    <row r="527" spans="2:11" ht="14.25" customHeight="1">
      <c r="B527" s="35"/>
      <c r="K527" s="24"/>
    </row>
    <row r="528" spans="2:11" ht="14.25" customHeight="1">
      <c r="B528" s="35"/>
      <c r="K528" s="24"/>
    </row>
    <row r="529" spans="2:11" ht="14.25" customHeight="1">
      <c r="B529" s="35"/>
      <c r="K529" s="24"/>
    </row>
    <row r="530" spans="2:11" ht="14.25" customHeight="1">
      <c r="B530" s="35"/>
      <c r="K530" s="24"/>
    </row>
    <row r="531" spans="2:11" ht="14.25" customHeight="1">
      <c r="B531" s="35"/>
      <c r="K531" s="24"/>
    </row>
    <row r="532" spans="2:11" ht="14.25" customHeight="1">
      <c r="B532" s="35"/>
      <c r="K532" s="24"/>
    </row>
    <row r="533" spans="2:11" ht="14.25" customHeight="1">
      <c r="B533" s="35"/>
      <c r="K533" s="24"/>
    </row>
    <row r="534" spans="2:11" ht="14.25" customHeight="1">
      <c r="B534" s="35"/>
      <c r="K534" s="24"/>
    </row>
    <row r="535" spans="2:11" ht="14.25" customHeight="1">
      <c r="B535" s="35"/>
      <c r="K535" s="24"/>
    </row>
    <row r="536" spans="2:11" ht="14.25" customHeight="1">
      <c r="B536" s="35"/>
      <c r="K536" s="24"/>
    </row>
    <row r="537" spans="2:11" ht="14.25" customHeight="1">
      <c r="B537" s="35"/>
      <c r="K537" s="24"/>
    </row>
    <row r="538" spans="2:11" ht="14.25" customHeight="1">
      <c r="B538" s="35"/>
      <c r="K538" s="24"/>
    </row>
    <row r="539" spans="2:11" ht="14.25" customHeight="1">
      <c r="B539" s="35"/>
      <c r="K539" s="24"/>
    </row>
    <row r="540" spans="2:11" ht="14.25" customHeight="1">
      <c r="B540" s="35"/>
      <c r="K540" s="24"/>
    </row>
    <row r="541" spans="2:11" ht="14.25" customHeight="1">
      <c r="B541" s="35"/>
      <c r="K541" s="24"/>
    </row>
    <row r="542" spans="2:11" ht="14.25" customHeight="1">
      <c r="B542" s="35"/>
      <c r="K542" s="24"/>
    </row>
    <row r="543" spans="2:11" ht="14.25" customHeight="1">
      <c r="B543" s="35"/>
      <c r="K543" s="24"/>
    </row>
    <row r="544" spans="2:11" ht="14.25" customHeight="1">
      <c r="B544" s="35"/>
      <c r="K544" s="24"/>
    </row>
    <row r="545" spans="2:11" ht="14.25" customHeight="1">
      <c r="B545" s="35"/>
      <c r="K545" s="24"/>
    </row>
    <row r="546" spans="2:11" ht="14.25" customHeight="1">
      <c r="B546" s="35"/>
      <c r="K546" s="24"/>
    </row>
    <row r="547" spans="2:11" ht="14.25" customHeight="1">
      <c r="B547" s="35"/>
      <c r="K547" s="24"/>
    </row>
    <row r="548" spans="2:11" ht="14.25" customHeight="1">
      <c r="B548" s="35"/>
      <c r="K548" s="24"/>
    </row>
    <row r="549" spans="2:11" ht="14.25" customHeight="1">
      <c r="B549" s="35"/>
      <c r="K549" s="24"/>
    </row>
    <row r="550" spans="2:11" ht="14.25" customHeight="1">
      <c r="B550" s="35"/>
      <c r="K550" s="24"/>
    </row>
    <row r="551" spans="2:11" ht="14.25" customHeight="1">
      <c r="B551" s="35"/>
      <c r="K551" s="24"/>
    </row>
    <row r="552" spans="2:11" ht="14.25" customHeight="1">
      <c r="B552" s="35"/>
      <c r="K552" s="24"/>
    </row>
    <row r="553" spans="2:11" ht="14.25" customHeight="1">
      <c r="B553" s="35"/>
      <c r="K553" s="24"/>
    </row>
    <row r="554" spans="2:11" ht="14.25" customHeight="1">
      <c r="B554" s="35"/>
      <c r="K554" s="24"/>
    </row>
    <row r="555" spans="2:11" ht="14.25" customHeight="1">
      <c r="B555" s="35"/>
      <c r="K555" s="24"/>
    </row>
    <row r="556" spans="2:11" ht="14.25" customHeight="1">
      <c r="B556" s="35"/>
      <c r="K556" s="24"/>
    </row>
    <row r="557" spans="2:11" ht="14.25" customHeight="1">
      <c r="B557" s="35"/>
      <c r="K557" s="24"/>
    </row>
    <row r="558" spans="2:11" ht="14.25" customHeight="1">
      <c r="B558" s="35"/>
      <c r="K558" s="24"/>
    </row>
    <row r="559" spans="2:11" ht="14.25" customHeight="1">
      <c r="B559" s="35"/>
      <c r="K559" s="24"/>
    </row>
    <row r="560" spans="2:11" ht="14.25" customHeight="1">
      <c r="B560" s="35"/>
      <c r="K560" s="24"/>
    </row>
    <row r="561" spans="2:11" ht="14.25" customHeight="1">
      <c r="B561" s="35"/>
      <c r="K561" s="24"/>
    </row>
    <row r="562" spans="2:11" ht="14.25" customHeight="1">
      <c r="B562" s="35"/>
      <c r="K562" s="24"/>
    </row>
    <row r="563" spans="2:11" ht="14.25" customHeight="1">
      <c r="B563" s="35"/>
      <c r="K563" s="24"/>
    </row>
    <row r="564" spans="2:11" ht="14.25" customHeight="1">
      <c r="B564" s="35"/>
      <c r="K564" s="24"/>
    </row>
    <row r="565" spans="2:11" ht="14.25" customHeight="1">
      <c r="B565" s="35"/>
      <c r="K565" s="24"/>
    </row>
    <row r="566" spans="2:11" ht="14.25" customHeight="1">
      <c r="B566" s="35"/>
      <c r="K566" s="24"/>
    </row>
    <row r="567" spans="2:11" ht="14.25" customHeight="1">
      <c r="B567" s="35"/>
      <c r="K567" s="24"/>
    </row>
    <row r="568" spans="2:11" ht="14.25" customHeight="1">
      <c r="B568" s="35"/>
      <c r="K568" s="24"/>
    </row>
    <row r="569" spans="2:11" ht="14.25" customHeight="1">
      <c r="B569" s="35"/>
      <c r="K569" s="24"/>
    </row>
    <row r="570" spans="2:11" ht="14.25" customHeight="1">
      <c r="B570" s="35"/>
      <c r="K570" s="24"/>
    </row>
    <row r="571" spans="2:11" ht="14.25" customHeight="1">
      <c r="B571" s="35"/>
      <c r="K571" s="24"/>
    </row>
    <row r="572" spans="2:11" ht="14.25" customHeight="1">
      <c r="B572" s="35"/>
      <c r="K572" s="24"/>
    </row>
    <row r="573" spans="2:11" ht="14.25" customHeight="1">
      <c r="B573" s="35"/>
      <c r="K573" s="24"/>
    </row>
    <row r="574" spans="2:11" ht="14.25" customHeight="1">
      <c r="B574" s="35"/>
      <c r="K574" s="24"/>
    </row>
    <row r="575" spans="2:11" ht="14.25" customHeight="1">
      <c r="B575" s="35"/>
      <c r="K575" s="24"/>
    </row>
    <row r="576" spans="2:11" ht="14.25" customHeight="1">
      <c r="B576" s="35"/>
      <c r="K576" s="24"/>
    </row>
    <row r="577" spans="2:11" ht="14.25" customHeight="1">
      <c r="B577" s="35"/>
      <c r="K577" s="24"/>
    </row>
    <row r="578" spans="2:11" ht="14.25" customHeight="1">
      <c r="B578" s="35"/>
      <c r="K578" s="24"/>
    </row>
    <row r="579" spans="2:11" ht="14.25" customHeight="1">
      <c r="B579" s="35"/>
      <c r="K579" s="24"/>
    </row>
    <row r="580" spans="2:11" ht="14.25" customHeight="1">
      <c r="B580" s="35"/>
      <c r="K580" s="24"/>
    </row>
    <row r="581" spans="2:11" ht="14.25" customHeight="1">
      <c r="B581" s="35"/>
      <c r="K581" s="24"/>
    </row>
    <row r="582" spans="2:11" ht="14.25" customHeight="1">
      <c r="B582" s="35"/>
      <c r="K582" s="24"/>
    </row>
    <row r="583" spans="2:11" ht="14.25" customHeight="1">
      <c r="B583" s="35"/>
      <c r="K583" s="24"/>
    </row>
    <row r="584" spans="2:11" ht="14.25" customHeight="1">
      <c r="B584" s="35"/>
      <c r="K584" s="24"/>
    </row>
    <row r="585" spans="2:11" ht="14.25" customHeight="1">
      <c r="B585" s="35"/>
      <c r="K585" s="24"/>
    </row>
    <row r="586" spans="2:11" ht="14.25" customHeight="1">
      <c r="B586" s="35"/>
      <c r="K586" s="24"/>
    </row>
    <row r="587" spans="2:11" ht="14.25" customHeight="1">
      <c r="B587" s="35"/>
      <c r="K587" s="24"/>
    </row>
    <row r="588" spans="2:11" ht="14.25" customHeight="1">
      <c r="B588" s="35"/>
      <c r="K588" s="24"/>
    </row>
    <row r="589" spans="2:11" ht="14.25" customHeight="1">
      <c r="B589" s="35"/>
      <c r="K589" s="24"/>
    </row>
    <row r="590" spans="2:11" ht="14.25" customHeight="1">
      <c r="B590" s="35"/>
      <c r="K590" s="24"/>
    </row>
    <row r="591" spans="2:11" ht="14.25" customHeight="1">
      <c r="B591" s="35"/>
      <c r="K591" s="24"/>
    </row>
    <row r="592" spans="2:11" ht="14.25" customHeight="1">
      <c r="B592" s="35"/>
      <c r="K592" s="24"/>
    </row>
    <row r="593" spans="2:11" ht="14.25" customHeight="1">
      <c r="B593" s="35"/>
      <c r="K593" s="24"/>
    </row>
    <row r="594" spans="2:11" ht="14.25" customHeight="1">
      <c r="B594" s="35"/>
      <c r="K594" s="24"/>
    </row>
    <row r="595" spans="2:11" ht="14.25" customHeight="1">
      <c r="B595" s="35"/>
      <c r="K595" s="24"/>
    </row>
    <row r="596" spans="2:11" ht="14.25" customHeight="1">
      <c r="B596" s="35"/>
      <c r="K596" s="24"/>
    </row>
    <row r="597" spans="2:11" ht="14.25" customHeight="1">
      <c r="B597" s="35"/>
      <c r="K597" s="24"/>
    </row>
    <row r="598" spans="2:11" ht="14.25" customHeight="1">
      <c r="B598" s="35"/>
      <c r="K598" s="24"/>
    </row>
    <row r="599" spans="2:11" ht="14.25" customHeight="1">
      <c r="B599" s="35"/>
      <c r="K599" s="24"/>
    </row>
    <row r="600" spans="2:11" ht="14.25" customHeight="1">
      <c r="B600" s="35"/>
      <c r="K600" s="24"/>
    </row>
    <row r="601" spans="2:11" ht="14.25" customHeight="1">
      <c r="B601" s="35"/>
      <c r="K601" s="24"/>
    </row>
    <row r="602" spans="2:11" ht="14.25" customHeight="1">
      <c r="B602" s="35"/>
      <c r="K602" s="24"/>
    </row>
    <row r="603" spans="2:11" ht="14.25" customHeight="1">
      <c r="B603" s="35"/>
      <c r="K603" s="24"/>
    </row>
    <row r="604" spans="2:11" ht="14.25" customHeight="1">
      <c r="B604" s="35"/>
      <c r="K604" s="24"/>
    </row>
    <row r="605" spans="2:11" ht="14.25" customHeight="1">
      <c r="B605" s="35"/>
      <c r="K605" s="24"/>
    </row>
    <row r="606" spans="2:11" ht="14.25" customHeight="1">
      <c r="B606" s="35"/>
      <c r="K606" s="24"/>
    </row>
    <row r="607" spans="2:11" ht="14.25" customHeight="1">
      <c r="B607" s="35"/>
      <c r="K607" s="24"/>
    </row>
    <row r="608" spans="2:11" ht="14.25" customHeight="1">
      <c r="B608" s="35"/>
      <c r="K608" s="24"/>
    </row>
    <row r="609" spans="2:11" ht="14.25" customHeight="1">
      <c r="B609" s="35"/>
      <c r="K609" s="24"/>
    </row>
    <row r="610" spans="2:11" ht="14.25" customHeight="1">
      <c r="B610" s="35"/>
      <c r="K610" s="24"/>
    </row>
    <row r="611" spans="2:11" ht="14.25" customHeight="1">
      <c r="B611" s="35"/>
      <c r="K611" s="24"/>
    </row>
    <row r="612" spans="2:11" ht="14.25" customHeight="1">
      <c r="B612" s="35"/>
      <c r="K612" s="24"/>
    </row>
    <row r="613" spans="2:11" ht="14.25" customHeight="1">
      <c r="B613" s="35"/>
      <c r="K613" s="24"/>
    </row>
    <row r="614" spans="2:11" ht="14.25" customHeight="1">
      <c r="B614" s="35"/>
      <c r="K614" s="24"/>
    </row>
    <row r="615" spans="2:11" ht="14.25" customHeight="1">
      <c r="B615" s="35"/>
      <c r="K615" s="24"/>
    </row>
    <row r="616" spans="2:11" ht="14.25" customHeight="1">
      <c r="B616" s="35"/>
      <c r="K616" s="24"/>
    </row>
    <row r="617" spans="2:11" ht="14.25" customHeight="1">
      <c r="B617" s="35"/>
      <c r="K617" s="24"/>
    </row>
    <row r="618" spans="2:11" ht="14.25" customHeight="1">
      <c r="B618" s="35"/>
      <c r="K618" s="24"/>
    </row>
    <row r="619" spans="2:11" ht="14.25" customHeight="1">
      <c r="B619" s="35"/>
      <c r="K619" s="24"/>
    </row>
    <row r="620" spans="2:11" ht="14.25" customHeight="1">
      <c r="B620" s="35"/>
      <c r="K620" s="24"/>
    </row>
    <row r="621" spans="2:11" ht="14.25" customHeight="1">
      <c r="B621" s="35"/>
      <c r="K621" s="24"/>
    </row>
    <row r="622" spans="2:11" ht="14.25" customHeight="1">
      <c r="B622" s="35"/>
      <c r="K622" s="24"/>
    </row>
    <row r="623" spans="2:11" ht="14.25" customHeight="1">
      <c r="B623" s="35"/>
      <c r="K623" s="24"/>
    </row>
    <row r="624" spans="2:11" ht="14.25" customHeight="1">
      <c r="B624" s="35"/>
      <c r="K624" s="24"/>
    </row>
    <row r="625" spans="2:11" ht="14.25" customHeight="1">
      <c r="B625" s="35"/>
      <c r="K625" s="24"/>
    </row>
    <row r="626" spans="2:11" ht="14.25" customHeight="1">
      <c r="B626" s="35"/>
      <c r="K626" s="24"/>
    </row>
    <row r="627" spans="2:11" ht="14.25" customHeight="1">
      <c r="B627" s="35"/>
      <c r="K627" s="24"/>
    </row>
    <row r="628" spans="2:11" ht="14.25" customHeight="1">
      <c r="B628" s="35"/>
      <c r="K628" s="24"/>
    </row>
    <row r="629" spans="2:11" ht="14.25" customHeight="1">
      <c r="B629" s="35"/>
      <c r="K629" s="24"/>
    </row>
    <row r="630" spans="2:11" ht="14.25" customHeight="1">
      <c r="B630" s="35"/>
      <c r="K630" s="24"/>
    </row>
    <row r="631" spans="2:11" ht="14.25" customHeight="1">
      <c r="B631" s="35"/>
      <c r="K631" s="24"/>
    </row>
    <row r="632" spans="2:11" ht="14.25" customHeight="1">
      <c r="B632" s="35"/>
      <c r="K632" s="24"/>
    </row>
    <row r="633" spans="2:11" ht="14.25" customHeight="1">
      <c r="B633" s="35"/>
      <c r="K633" s="24"/>
    </row>
    <row r="634" spans="2:11" ht="14.25" customHeight="1">
      <c r="B634" s="35"/>
      <c r="K634" s="24"/>
    </row>
    <row r="635" spans="2:11" ht="14.25" customHeight="1">
      <c r="B635" s="35"/>
      <c r="K635" s="24"/>
    </row>
    <row r="636" spans="2:11" ht="14.25" customHeight="1">
      <c r="B636" s="35"/>
      <c r="K636" s="24"/>
    </row>
    <row r="637" spans="2:11" ht="14.25" customHeight="1">
      <c r="B637" s="35"/>
      <c r="K637" s="24"/>
    </row>
    <row r="638" spans="2:11" ht="14.25" customHeight="1">
      <c r="B638" s="35"/>
      <c r="K638" s="24"/>
    </row>
    <row r="639" spans="2:11" ht="14.25" customHeight="1">
      <c r="B639" s="35"/>
      <c r="K639" s="24"/>
    </row>
    <row r="640" spans="2:11" ht="14.25" customHeight="1">
      <c r="B640" s="35"/>
      <c r="K640" s="24"/>
    </row>
    <row r="641" spans="2:11" ht="14.25" customHeight="1">
      <c r="B641" s="35"/>
      <c r="K641" s="24"/>
    </row>
    <row r="642" spans="2:11" ht="14.25" customHeight="1">
      <c r="B642" s="35"/>
      <c r="K642" s="24"/>
    </row>
    <row r="643" spans="2:11" ht="14.25" customHeight="1">
      <c r="B643" s="35"/>
      <c r="K643" s="24"/>
    </row>
    <row r="644" spans="2:11" ht="14.25" customHeight="1">
      <c r="B644" s="35"/>
      <c r="K644" s="24"/>
    </row>
    <row r="645" spans="2:11" ht="14.25" customHeight="1">
      <c r="B645" s="35"/>
      <c r="K645" s="24"/>
    </row>
    <row r="646" spans="2:11" ht="14.25" customHeight="1">
      <c r="B646" s="35"/>
      <c r="K646" s="24"/>
    </row>
    <row r="647" spans="2:11" ht="14.25" customHeight="1">
      <c r="B647" s="35"/>
      <c r="K647" s="24"/>
    </row>
    <row r="648" spans="2:11" ht="14.25" customHeight="1">
      <c r="B648" s="35"/>
      <c r="K648" s="24"/>
    </row>
    <row r="649" spans="2:11" ht="14.25" customHeight="1">
      <c r="B649" s="35"/>
      <c r="K649" s="24"/>
    </row>
    <row r="650" spans="2:11" ht="14.25" customHeight="1">
      <c r="B650" s="35"/>
      <c r="K650" s="24"/>
    </row>
    <row r="651" spans="2:11" ht="14.25" customHeight="1">
      <c r="B651" s="35"/>
      <c r="K651" s="24"/>
    </row>
    <row r="652" spans="2:11" ht="14.25" customHeight="1">
      <c r="B652" s="35"/>
      <c r="K652" s="24"/>
    </row>
    <row r="653" spans="2:11" ht="14.25" customHeight="1">
      <c r="B653" s="35"/>
      <c r="K653" s="24"/>
    </row>
    <row r="654" spans="2:11" ht="14.25" customHeight="1">
      <c r="B654" s="35"/>
      <c r="K654" s="24"/>
    </row>
    <row r="655" spans="2:11" ht="14.25" customHeight="1">
      <c r="B655" s="35"/>
      <c r="K655" s="24"/>
    </row>
    <row r="656" spans="2:11" ht="14.25" customHeight="1">
      <c r="B656" s="35"/>
      <c r="K656" s="24"/>
    </row>
    <row r="657" spans="2:11" ht="14.25" customHeight="1">
      <c r="B657" s="35"/>
      <c r="K657" s="24"/>
    </row>
    <row r="658" spans="2:11" ht="14.25" customHeight="1">
      <c r="B658" s="35"/>
      <c r="K658" s="24"/>
    </row>
    <row r="659" spans="2:11" ht="14.25" customHeight="1">
      <c r="B659" s="35"/>
      <c r="K659" s="24"/>
    </row>
    <row r="660" spans="2:11" ht="14.25" customHeight="1">
      <c r="B660" s="35"/>
      <c r="K660" s="24"/>
    </row>
    <row r="661" spans="2:11" ht="14.25" customHeight="1">
      <c r="B661" s="35"/>
      <c r="K661" s="24"/>
    </row>
    <row r="662" spans="2:11" ht="14.25" customHeight="1">
      <c r="B662" s="35"/>
      <c r="K662" s="24"/>
    </row>
    <row r="663" spans="2:11" ht="14.25" customHeight="1">
      <c r="B663" s="35"/>
      <c r="K663" s="24"/>
    </row>
    <row r="664" spans="2:11" ht="14.25" customHeight="1">
      <c r="B664" s="35"/>
      <c r="K664" s="24"/>
    </row>
    <row r="665" spans="2:11" ht="14.25" customHeight="1">
      <c r="B665" s="35"/>
      <c r="K665" s="24"/>
    </row>
    <row r="666" spans="2:11" ht="14.25" customHeight="1">
      <c r="B666" s="35"/>
      <c r="K666" s="24"/>
    </row>
    <row r="667" spans="2:11" ht="14.25" customHeight="1">
      <c r="B667" s="35"/>
      <c r="K667" s="24"/>
    </row>
    <row r="668" spans="2:11" ht="14.25" customHeight="1">
      <c r="B668" s="35"/>
      <c r="K668" s="24"/>
    </row>
    <row r="669" spans="2:11" ht="14.25" customHeight="1">
      <c r="B669" s="35"/>
      <c r="K669" s="24"/>
    </row>
    <row r="670" spans="2:11" ht="14.25" customHeight="1">
      <c r="B670" s="35"/>
      <c r="K670" s="24"/>
    </row>
    <row r="671" spans="2:11" ht="14.25" customHeight="1">
      <c r="B671" s="35"/>
      <c r="K671" s="24"/>
    </row>
    <row r="672" spans="2:11" ht="14.25" customHeight="1">
      <c r="B672" s="35"/>
      <c r="K672" s="24"/>
    </row>
    <row r="673" spans="2:11" ht="14.25" customHeight="1">
      <c r="B673" s="35"/>
      <c r="K673" s="24"/>
    </row>
    <row r="674" spans="2:11" ht="14.25" customHeight="1">
      <c r="B674" s="35"/>
      <c r="K674" s="24"/>
    </row>
    <row r="675" spans="2:11" ht="14.25" customHeight="1">
      <c r="B675" s="35"/>
      <c r="K675" s="24"/>
    </row>
    <row r="676" spans="2:11" ht="14.25" customHeight="1">
      <c r="B676" s="35"/>
      <c r="K676" s="24"/>
    </row>
    <row r="677" spans="2:11" ht="14.25" customHeight="1">
      <c r="B677" s="35"/>
      <c r="K677" s="24"/>
    </row>
    <row r="678" spans="2:11" ht="14.25" customHeight="1">
      <c r="B678" s="35"/>
      <c r="K678" s="24"/>
    </row>
    <row r="679" spans="2:11" ht="14.25" customHeight="1">
      <c r="B679" s="35"/>
      <c r="K679" s="24"/>
    </row>
    <row r="680" spans="2:11" ht="14.25" customHeight="1">
      <c r="B680" s="35"/>
      <c r="K680" s="24"/>
    </row>
    <row r="681" spans="2:11" ht="14.25" customHeight="1">
      <c r="B681" s="35"/>
      <c r="K681" s="24"/>
    </row>
    <row r="682" spans="2:11" ht="14.25" customHeight="1">
      <c r="B682" s="35"/>
      <c r="K682" s="24"/>
    </row>
    <row r="683" spans="2:11" ht="14.25" customHeight="1">
      <c r="B683" s="35"/>
      <c r="K683" s="24"/>
    </row>
    <row r="684" spans="2:11" ht="14.25" customHeight="1">
      <c r="B684" s="35"/>
      <c r="K684" s="24"/>
    </row>
    <row r="685" spans="2:11" ht="14.25" customHeight="1">
      <c r="B685" s="35"/>
      <c r="K685" s="24"/>
    </row>
    <row r="686" spans="2:11" ht="14.25" customHeight="1">
      <c r="B686" s="35"/>
      <c r="K686" s="24"/>
    </row>
    <row r="687" spans="2:11" ht="14.25" customHeight="1">
      <c r="B687" s="35"/>
      <c r="K687" s="24"/>
    </row>
    <row r="688" spans="2:11" ht="14.25" customHeight="1">
      <c r="B688" s="35"/>
      <c r="K688" s="24"/>
    </row>
    <row r="689" spans="2:11" ht="14.25" customHeight="1">
      <c r="B689" s="35"/>
      <c r="K689" s="24"/>
    </row>
    <row r="690" spans="2:11" ht="14.25" customHeight="1">
      <c r="B690" s="35"/>
      <c r="K690" s="24"/>
    </row>
    <row r="691" spans="2:11" ht="14.25" customHeight="1">
      <c r="B691" s="35"/>
      <c r="K691" s="24"/>
    </row>
    <row r="692" spans="2:11" ht="14.25" customHeight="1">
      <c r="B692" s="35"/>
      <c r="K692" s="24"/>
    </row>
    <row r="693" spans="2:11" ht="14.25" customHeight="1">
      <c r="B693" s="35"/>
      <c r="K693" s="24"/>
    </row>
    <row r="694" spans="2:11" ht="14.25" customHeight="1">
      <c r="B694" s="35"/>
      <c r="K694" s="24"/>
    </row>
    <row r="695" spans="2:11" ht="14.25" customHeight="1">
      <c r="B695" s="35"/>
      <c r="K695" s="24"/>
    </row>
    <row r="696" spans="2:11" ht="14.25" customHeight="1">
      <c r="B696" s="35"/>
      <c r="K696" s="24"/>
    </row>
    <row r="697" spans="2:11" ht="14.25" customHeight="1">
      <c r="B697" s="35"/>
      <c r="K697" s="24"/>
    </row>
    <row r="698" spans="2:11" ht="14.25" customHeight="1">
      <c r="B698" s="35"/>
      <c r="K698" s="24"/>
    </row>
    <row r="699" spans="2:11" ht="14.25" customHeight="1">
      <c r="B699" s="35"/>
      <c r="K699" s="24"/>
    </row>
    <row r="700" spans="2:11" ht="14.25" customHeight="1">
      <c r="B700" s="35"/>
      <c r="K700" s="24"/>
    </row>
    <row r="701" spans="2:11" ht="14.25" customHeight="1">
      <c r="B701" s="35"/>
      <c r="K701" s="24"/>
    </row>
    <row r="702" spans="2:11" ht="14.25" customHeight="1">
      <c r="B702" s="35"/>
      <c r="K702" s="24"/>
    </row>
  </sheetData>
  <autoFilter ref="A1:Z702" xr:uid="{00000000-0009-0000-0000-00000400000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D5"/>
  <sheetViews>
    <sheetView workbookViewId="0">
      <selection activeCell="B9" sqref="B9"/>
    </sheetView>
  </sheetViews>
  <sheetFormatPr defaultColWidth="12.625" defaultRowHeight="15" customHeight="1"/>
  <sheetData>
    <row r="1" spans="1:4" ht="15" customHeight="1">
      <c r="A1" s="36" t="s">
        <v>18</v>
      </c>
      <c r="B1" s="36" t="s">
        <v>579</v>
      </c>
      <c r="C1" s="36" t="s">
        <v>580</v>
      </c>
      <c r="D1" s="36" t="s">
        <v>20</v>
      </c>
    </row>
    <row r="2" spans="1:4" ht="15" customHeight="1">
      <c r="A2" s="26">
        <v>1</v>
      </c>
      <c r="B2" s="28" t="s">
        <v>226</v>
      </c>
      <c r="C2" s="26">
        <v>1</v>
      </c>
      <c r="D2" s="28" t="s">
        <v>87</v>
      </c>
    </row>
    <row r="3" spans="1:4" ht="15" customHeight="1">
      <c r="A3" s="26">
        <v>2</v>
      </c>
      <c r="B3" s="28" t="s">
        <v>280</v>
      </c>
      <c r="C3" s="26">
        <v>1</v>
      </c>
      <c r="D3" s="28" t="s">
        <v>87</v>
      </c>
    </row>
    <row r="4" spans="1:4" ht="15" customHeight="1">
      <c r="A4" s="26">
        <v>2</v>
      </c>
      <c r="B4" s="28" t="s">
        <v>280</v>
      </c>
      <c r="C4" s="26">
        <v>2</v>
      </c>
      <c r="D4" s="28" t="s">
        <v>161</v>
      </c>
    </row>
    <row r="5" spans="1:4" ht="15" customHeight="1">
      <c r="A5" s="26">
        <v>2</v>
      </c>
      <c r="B5" s="28" t="s">
        <v>280</v>
      </c>
      <c r="C5" s="26">
        <v>3</v>
      </c>
      <c r="D5" s="28" t="s">
        <v>581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F215"/>
  <sheetViews>
    <sheetView workbookViewId="0">
      <selection activeCell="C12" sqref="C12"/>
    </sheetView>
  </sheetViews>
  <sheetFormatPr defaultColWidth="12.625" defaultRowHeight="15" customHeight="1"/>
  <cols>
    <col min="1" max="1" width="12.625" customWidth="1"/>
    <col min="2" max="2" width="15.875" customWidth="1"/>
    <col min="3" max="3" width="109.625" customWidth="1"/>
    <col min="4" max="4" width="17.5" customWidth="1"/>
    <col min="5" max="5" width="55.125" customWidth="1"/>
    <col min="6" max="6" width="83" customWidth="1"/>
  </cols>
  <sheetData>
    <row r="1" spans="1:6" ht="15" customHeight="1">
      <c r="A1" s="37" t="s">
        <v>582</v>
      </c>
      <c r="B1" s="37" t="s">
        <v>583</v>
      </c>
      <c r="C1" s="37" t="s">
        <v>36</v>
      </c>
      <c r="D1" s="37" t="s">
        <v>488</v>
      </c>
      <c r="E1" s="37" t="s">
        <v>35</v>
      </c>
      <c r="F1" s="38" t="s">
        <v>489</v>
      </c>
    </row>
    <row r="2" spans="1:6" ht="15" customHeight="1">
      <c r="A2" s="39">
        <v>1</v>
      </c>
      <c r="B2" s="40">
        <v>2023</v>
      </c>
      <c r="C2" s="41" t="s">
        <v>459</v>
      </c>
      <c r="D2" s="40">
        <v>5</v>
      </c>
      <c r="E2" s="41" t="s">
        <v>314</v>
      </c>
      <c r="F2" s="24" t="s">
        <v>584</v>
      </c>
    </row>
    <row r="3" spans="1:6" ht="15" customHeight="1">
      <c r="A3" s="39">
        <v>2</v>
      </c>
      <c r="B3" s="40">
        <v>2023</v>
      </c>
      <c r="C3" s="41" t="s">
        <v>468</v>
      </c>
      <c r="D3" s="40">
        <v>2</v>
      </c>
      <c r="E3" s="41" t="s">
        <v>399</v>
      </c>
      <c r="F3" s="24" t="s">
        <v>585</v>
      </c>
    </row>
    <row r="4" spans="1:6" ht="15" customHeight="1">
      <c r="A4" s="39">
        <v>3</v>
      </c>
      <c r="B4" s="40">
        <v>2023</v>
      </c>
      <c r="C4" s="41" t="s">
        <v>455</v>
      </c>
      <c r="D4" s="40">
        <v>2</v>
      </c>
      <c r="E4" s="41" t="s">
        <v>55</v>
      </c>
      <c r="F4" s="24" t="s">
        <v>585</v>
      </c>
    </row>
    <row r="5" spans="1:6" ht="15" customHeight="1">
      <c r="A5" s="39">
        <v>4</v>
      </c>
      <c r="B5" s="40">
        <v>2023</v>
      </c>
      <c r="C5" s="41" t="s">
        <v>460</v>
      </c>
      <c r="D5" s="40">
        <v>5</v>
      </c>
      <c r="E5" s="41" t="s">
        <v>299</v>
      </c>
      <c r="F5" s="24" t="s">
        <v>584</v>
      </c>
    </row>
    <row r="6" spans="1:6" ht="15" customHeight="1">
      <c r="A6" s="39">
        <v>5</v>
      </c>
      <c r="B6" s="40">
        <v>2023</v>
      </c>
      <c r="C6" s="41" t="s">
        <v>453</v>
      </c>
      <c r="D6" s="40">
        <v>2</v>
      </c>
      <c r="E6" s="41" t="s">
        <v>55</v>
      </c>
      <c r="F6" s="24" t="s">
        <v>585</v>
      </c>
    </row>
    <row r="7" spans="1:6" ht="14.25">
      <c r="D7" s="42"/>
    </row>
    <row r="8" spans="1:6" ht="14.25">
      <c r="D8" s="42"/>
    </row>
    <row r="9" spans="1:6" ht="14.25">
      <c r="D9" s="42"/>
    </row>
    <row r="10" spans="1:6" ht="14.25">
      <c r="D10" s="42"/>
    </row>
    <row r="11" spans="1:6" ht="14.25">
      <c r="D11" s="42"/>
    </row>
    <row r="12" spans="1:6" ht="14.25">
      <c r="D12" s="42"/>
    </row>
    <row r="13" spans="1:6" ht="14.25">
      <c r="D13" s="42"/>
    </row>
    <row r="14" spans="1:6" ht="14.25">
      <c r="D14" s="42"/>
    </row>
    <row r="15" spans="1:6" ht="14.25">
      <c r="D15" s="42"/>
    </row>
    <row r="16" spans="1:6" ht="14.25">
      <c r="D16" s="42"/>
    </row>
    <row r="17" spans="4:4" ht="14.25">
      <c r="D17" s="42"/>
    </row>
    <row r="18" spans="4:4" ht="14.25">
      <c r="D18" s="42"/>
    </row>
    <row r="19" spans="4:4" ht="14.25">
      <c r="D19" s="42"/>
    </row>
    <row r="20" spans="4:4" ht="14.25">
      <c r="D20" s="42"/>
    </row>
    <row r="21" spans="4:4" ht="14.25">
      <c r="D21" s="42"/>
    </row>
    <row r="22" spans="4:4" ht="14.25">
      <c r="D22" s="42"/>
    </row>
    <row r="23" spans="4:4" ht="14.25">
      <c r="D23" s="42"/>
    </row>
    <row r="24" spans="4:4" ht="14.25">
      <c r="D24" s="42"/>
    </row>
    <row r="25" spans="4:4" ht="14.25">
      <c r="D25" s="42"/>
    </row>
    <row r="26" spans="4:4" ht="14.25">
      <c r="D26" s="42"/>
    </row>
    <row r="27" spans="4:4" ht="14.25">
      <c r="D27" s="42"/>
    </row>
    <row r="28" spans="4:4" ht="14.25">
      <c r="D28" s="42"/>
    </row>
    <row r="29" spans="4:4" ht="14.25">
      <c r="D29" s="42"/>
    </row>
    <row r="30" spans="4:4" ht="14.25">
      <c r="D30" s="42"/>
    </row>
    <row r="31" spans="4:4" ht="14.25">
      <c r="D31" s="42"/>
    </row>
    <row r="32" spans="4:4" ht="14.25">
      <c r="D32" s="42"/>
    </row>
    <row r="33" spans="4:4" ht="14.25">
      <c r="D33" s="42"/>
    </row>
    <row r="34" spans="4:4" ht="14.25">
      <c r="D34" s="42"/>
    </row>
    <row r="35" spans="4:4" ht="14.25">
      <c r="D35" s="42"/>
    </row>
    <row r="36" spans="4:4" ht="14.25">
      <c r="D36" s="42"/>
    </row>
    <row r="37" spans="4:4" ht="14.25">
      <c r="D37" s="42"/>
    </row>
    <row r="38" spans="4:4" ht="14.25">
      <c r="D38" s="42"/>
    </row>
    <row r="39" spans="4:4" ht="14.25">
      <c r="D39" s="42"/>
    </row>
    <row r="40" spans="4:4" ht="14.25">
      <c r="D40" s="42"/>
    </row>
    <row r="41" spans="4:4" ht="14.25">
      <c r="D41" s="42"/>
    </row>
    <row r="42" spans="4:4" ht="14.25">
      <c r="D42" s="42"/>
    </row>
    <row r="43" spans="4:4" ht="14.25">
      <c r="D43" s="42"/>
    </row>
    <row r="44" spans="4:4" ht="14.25">
      <c r="D44" s="42"/>
    </row>
    <row r="45" spans="4:4" ht="14.25">
      <c r="D45" s="42"/>
    </row>
    <row r="46" spans="4:4" ht="14.25">
      <c r="D46" s="42"/>
    </row>
    <row r="47" spans="4:4" ht="14.25">
      <c r="D47" s="42"/>
    </row>
    <row r="48" spans="4:4" ht="14.25">
      <c r="D48" s="42"/>
    </row>
    <row r="49" spans="4:4" ht="14.25">
      <c r="D49" s="42"/>
    </row>
    <row r="50" spans="4:4" ht="14.25">
      <c r="D50" s="42"/>
    </row>
    <row r="51" spans="4:4" ht="14.25">
      <c r="D51" s="42"/>
    </row>
    <row r="52" spans="4:4" ht="14.25">
      <c r="D52" s="42"/>
    </row>
    <row r="53" spans="4:4" ht="14.25">
      <c r="D53" s="42"/>
    </row>
    <row r="54" spans="4:4" ht="14.25">
      <c r="D54" s="42"/>
    </row>
    <row r="55" spans="4:4" ht="14.25">
      <c r="D55" s="42"/>
    </row>
    <row r="56" spans="4:4" ht="14.25">
      <c r="D56" s="42"/>
    </row>
    <row r="57" spans="4:4" ht="14.25">
      <c r="D57" s="42"/>
    </row>
    <row r="58" spans="4:4" ht="14.25">
      <c r="D58" s="42"/>
    </row>
    <row r="59" spans="4:4" ht="14.25">
      <c r="D59" s="42"/>
    </row>
    <row r="60" spans="4:4" ht="14.25">
      <c r="D60" s="42"/>
    </row>
    <row r="61" spans="4:4" ht="14.25">
      <c r="D61" s="42"/>
    </row>
    <row r="62" spans="4:4" ht="14.25">
      <c r="D62" s="42"/>
    </row>
    <row r="63" spans="4:4" ht="14.25">
      <c r="D63" s="42"/>
    </row>
    <row r="64" spans="4:4" ht="14.25">
      <c r="D64" s="42"/>
    </row>
    <row r="65" spans="4:4" ht="14.25">
      <c r="D65" s="42"/>
    </row>
    <row r="66" spans="4:4" ht="14.25">
      <c r="D66" s="42"/>
    </row>
    <row r="67" spans="4:4" ht="14.25">
      <c r="D67" s="42"/>
    </row>
    <row r="68" spans="4:4" ht="14.25">
      <c r="D68" s="42"/>
    </row>
    <row r="69" spans="4:4" ht="14.25">
      <c r="D69" s="42"/>
    </row>
    <row r="70" spans="4:4" ht="14.25">
      <c r="D70" s="42"/>
    </row>
    <row r="71" spans="4:4" ht="14.25">
      <c r="D71" s="42"/>
    </row>
    <row r="72" spans="4:4" ht="14.25">
      <c r="D72" s="42"/>
    </row>
    <row r="73" spans="4:4" ht="14.25">
      <c r="D73" s="42"/>
    </row>
    <row r="74" spans="4:4" ht="14.25">
      <c r="D74" s="42"/>
    </row>
    <row r="75" spans="4:4" ht="14.25">
      <c r="D75" s="42"/>
    </row>
    <row r="76" spans="4:4" ht="14.25">
      <c r="D76" s="42"/>
    </row>
    <row r="77" spans="4:4" ht="14.25">
      <c r="D77" s="42"/>
    </row>
    <row r="78" spans="4:4" ht="14.25">
      <c r="D78" s="42"/>
    </row>
    <row r="79" spans="4:4" ht="14.25">
      <c r="D79" s="42"/>
    </row>
    <row r="80" spans="4:4" ht="14.25">
      <c r="D80" s="42"/>
    </row>
    <row r="81" spans="4:4" ht="14.25">
      <c r="D81" s="42"/>
    </row>
    <row r="82" spans="4:4" ht="14.25">
      <c r="D82" s="42"/>
    </row>
    <row r="83" spans="4:4" ht="14.25">
      <c r="D83" s="42"/>
    </row>
    <row r="84" spans="4:4" ht="14.25">
      <c r="D84" s="42"/>
    </row>
    <row r="85" spans="4:4" ht="14.25">
      <c r="D85" s="42"/>
    </row>
    <row r="86" spans="4:4" ht="14.25">
      <c r="D86" s="42"/>
    </row>
    <row r="87" spans="4:4" ht="14.25">
      <c r="D87" s="42"/>
    </row>
    <row r="88" spans="4:4" ht="14.25">
      <c r="D88" s="42"/>
    </row>
    <row r="89" spans="4:4" ht="14.25">
      <c r="D89" s="42"/>
    </row>
    <row r="90" spans="4:4" ht="14.25">
      <c r="D90" s="42"/>
    </row>
    <row r="91" spans="4:4" ht="14.25">
      <c r="D91" s="42"/>
    </row>
    <row r="92" spans="4:4" ht="14.25">
      <c r="D92" s="42"/>
    </row>
    <row r="93" spans="4:4" ht="14.25">
      <c r="D93" s="42"/>
    </row>
    <row r="94" spans="4:4" ht="14.25">
      <c r="D94" s="42"/>
    </row>
    <row r="95" spans="4:4" ht="14.25">
      <c r="D95" s="42"/>
    </row>
    <row r="96" spans="4:4" ht="14.25">
      <c r="D96" s="42"/>
    </row>
    <row r="97" spans="4:4" ht="14.25">
      <c r="D97" s="42"/>
    </row>
    <row r="98" spans="4:4" ht="14.25">
      <c r="D98" s="42"/>
    </row>
    <row r="99" spans="4:4" ht="14.25">
      <c r="D99" s="42"/>
    </row>
    <row r="100" spans="4:4" ht="14.25">
      <c r="D100" s="42"/>
    </row>
    <row r="101" spans="4:4" ht="14.25">
      <c r="D101" s="42"/>
    </row>
    <row r="102" spans="4:4" ht="14.25">
      <c r="D102" s="42"/>
    </row>
    <row r="103" spans="4:4" ht="14.25">
      <c r="D103" s="42"/>
    </row>
    <row r="104" spans="4:4" ht="14.25">
      <c r="D104" s="42"/>
    </row>
    <row r="105" spans="4:4" ht="14.25">
      <c r="D105" s="42"/>
    </row>
    <row r="106" spans="4:4" ht="14.25">
      <c r="D106" s="42"/>
    </row>
    <row r="107" spans="4:4" ht="14.25">
      <c r="D107" s="42"/>
    </row>
    <row r="108" spans="4:4" ht="14.25">
      <c r="D108" s="42"/>
    </row>
    <row r="109" spans="4:4" ht="14.25">
      <c r="D109" s="42"/>
    </row>
    <row r="110" spans="4:4" ht="14.25">
      <c r="D110" s="42"/>
    </row>
    <row r="111" spans="4:4" ht="14.25">
      <c r="D111" s="42"/>
    </row>
    <row r="112" spans="4:4" ht="14.25">
      <c r="D112" s="42"/>
    </row>
    <row r="113" spans="4:4" ht="14.25">
      <c r="D113" s="42"/>
    </row>
    <row r="114" spans="4:4" ht="14.25">
      <c r="D114" s="42"/>
    </row>
    <row r="115" spans="4:4" ht="14.25">
      <c r="D115" s="42"/>
    </row>
    <row r="116" spans="4:4" ht="14.25">
      <c r="D116" s="42"/>
    </row>
    <row r="117" spans="4:4" ht="14.25">
      <c r="D117" s="42"/>
    </row>
    <row r="118" spans="4:4" ht="14.25">
      <c r="D118" s="42"/>
    </row>
    <row r="119" spans="4:4" ht="14.25">
      <c r="D119" s="42"/>
    </row>
    <row r="120" spans="4:4" ht="14.25">
      <c r="D120" s="42"/>
    </row>
    <row r="121" spans="4:4" ht="14.25">
      <c r="D121" s="42"/>
    </row>
    <row r="122" spans="4:4" ht="14.25">
      <c r="D122" s="42"/>
    </row>
    <row r="123" spans="4:4" ht="14.25">
      <c r="D123" s="42"/>
    </row>
    <row r="124" spans="4:4" ht="14.25">
      <c r="D124" s="42"/>
    </row>
    <row r="125" spans="4:4" ht="14.25">
      <c r="D125" s="42"/>
    </row>
    <row r="126" spans="4:4" ht="14.25">
      <c r="D126" s="42"/>
    </row>
    <row r="127" spans="4:4" ht="14.25">
      <c r="D127" s="42"/>
    </row>
    <row r="128" spans="4:4" ht="14.25">
      <c r="D128" s="42"/>
    </row>
    <row r="129" spans="4:4" ht="14.25">
      <c r="D129" s="42"/>
    </row>
    <row r="130" spans="4:4" ht="14.25">
      <c r="D130" s="42"/>
    </row>
    <row r="131" spans="4:4" ht="14.25">
      <c r="D131" s="42"/>
    </row>
    <row r="132" spans="4:4" ht="14.25">
      <c r="D132" s="42"/>
    </row>
    <row r="133" spans="4:4" ht="14.25">
      <c r="D133" s="42"/>
    </row>
    <row r="134" spans="4:4" ht="14.25">
      <c r="D134" s="42"/>
    </row>
    <row r="135" spans="4:4" ht="14.25">
      <c r="D135" s="42"/>
    </row>
    <row r="136" spans="4:4" ht="14.25">
      <c r="D136" s="42"/>
    </row>
    <row r="137" spans="4:4" ht="14.25">
      <c r="D137" s="42"/>
    </row>
    <row r="138" spans="4:4" ht="14.25">
      <c r="D138" s="42"/>
    </row>
    <row r="139" spans="4:4" ht="14.25">
      <c r="D139" s="42"/>
    </row>
    <row r="140" spans="4:4" ht="14.25">
      <c r="D140" s="42"/>
    </row>
    <row r="141" spans="4:4" ht="14.25">
      <c r="D141" s="42"/>
    </row>
    <row r="142" spans="4:4" ht="14.25">
      <c r="D142" s="42"/>
    </row>
    <row r="143" spans="4:4" ht="14.25">
      <c r="D143" s="42"/>
    </row>
    <row r="144" spans="4:4" ht="14.25">
      <c r="D144" s="42"/>
    </row>
    <row r="145" spans="4:4" ht="14.25">
      <c r="D145" s="42"/>
    </row>
    <row r="146" spans="4:4" ht="14.25">
      <c r="D146" s="42"/>
    </row>
    <row r="147" spans="4:4" ht="14.25">
      <c r="D147" s="42"/>
    </row>
    <row r="148" spans="4:4" ht="14.25">
      <c r="D148" s="42"/>
    </row>
    <row r="149" spans="4:4" ht="14.25">
      <c r="D149" s="42"/>
    </row>
    <row r="150" spans="4:4" ht="14.25">
      <c r="D150" s="42"/>
    </row>
    <row r="151" spans="4:4" ht="14.25">
      <c r="D151" s="42"/>
    </row>
    <row r="152" spans="4:4" ht="14.25">
      <c r="D152" s="42"/>
    </row>
    <row r="153" spans="4:4" ht="14.25">
      <c r="D153" s="42"/>
    </row>
    <row r="154" spans="4:4" ht="14.25">
      <c r="D154" s="42"/>
    </row>
    <row r="155" spans="4:4" ht="14.25">
      <c r="D155" s="42"/>
    </row>
    <row r="156" spans="4:4" ht="14.25">
      <c r="D156" s="42"/>
    </row>
    <row r="157" spans="4:4" ht="14.25">
      <c r="D157" s="42"/>
    </row>
    <row r="158" spans="4:4" ht="14.25">
      <c r="D158" s="42"/>
    </row>
    <row r="159" spans="4:4" ht="14.25">
      <c r="D159" s="42"/>
    </row>
    <row r="160" spans="4:4" ht="14.25">
      <c r="D160" s="42"/>
    </row>
    <row r="161" spans="4:4" ht="14.25">
      <c r="D161" s="42"/>
    </row>
    <row r="162" spans="4:4" ht="14.25">
      <c r="D162" s="42"/>
    </row>
    <row r="163" spans="4:4" ht="14.25">
      <c r="D163" s="42"/>
    </row>
    <row r="164" spans="4:4" ht="14.25">
      <c r="D164" s="42"/>
    </row>
    <row r="165" spans="4:4" ht="14.25">
      <c r="D165" s="42"/>
    </row>
    <row r="166" spans="4:4" ht="14.25">
      <c r="D166" s="42"/>
    </row>
    <row r="167" spans="4:4" ht="14.25">
      <c r="D167" s="42"/>
    </row>
    <row r="168" spans="4:4" ht="14.25">
      <c r="D168" s="42"/>
    </row>
    <row r="169" spans="4:4" ht="14.25">
      <c r="D169" s="42"/>
    </row>
    <row r="170" spans="4:4" ht="14.25">
      <c r="D170" s="42"/>
    </row>
    <row r="171" spans="4:4" ht="14.25">
      <c r="D171" s="42"/>
    </row>
    <row r="172" spans="4:4" ht="14.25">
      <c r="D172" s="42"/>
    </row>
    <row r="173" spans="4:4" ht="14.25">
      <c r="D173" s="42"/>
    </row>
    <row r="174" spans="4:4" ht="14.25">
      <c r="D174" s="42"/>
    </row>
    <row r="175" spans="4:4" ht="14.25">
      <c r="D175" s="42"/>
    </row>
    <row r="176" spans="4:4" ht="14.25">
      <c r="D176" s="42"/>
    </row>
    <row r="177" spans="4:4" ht="14.25">
      <c r="D177" s="42"/>
    </row>
    <row r="178" spans="4:4" ht="14.25">
      <c r="D178" s="42"/>
    </row>
    <row r="179" spans="4:4" ht="14.25">
      <c r="D179" s="42"/>
    </row>
    <row r="180" spans="4:4" ht="14.25">
      <c r="D180" s="42"/>
    </row>
    <row r="181" spans="4:4" ht="14.25">
      <c r="D181" s="42"/>
    </row>
    <row r="182" spans="4:4" ht="14.25">
      <c r="D182" s="42"/>
    </row>
    <row r="183" spans="4:4" ht="14.25">
      <c r="D183" s="42"/>
    </row>
    <row r="184" spans="4:4" ht="14.25">
      <c r="D184" s="42"/>
    </row>
    <row r="185" spans="4:4" ht="14.25">
      <c r="D185" s="42"/>
    </row>
    <row r="186" spans="4:4" ht="14.25">
      <c r="D186" s="42"/>
    </row>
    <row r="187" spans="4:4" ht="14.25">
      <c r="D187" s="42"/>
    </row>
    <row r="188" spans="4:4" ht="14.25">
      <c r="D188" s="42"/>
    </row>
    <row r="189" spans="4:4" ht="14.25">
      <c r="D189" s="42"/>
    </row>
    <row r="190" spans="4:4" ht="14.25">
      <c r="D190" s="42"/>
    </row>
    <row r="191" spans="4:4" ht="14.25">
      <c r="D191" s="42"/>
    </row>
    <row r="192" spans="4:4" ht="14.25">
      <c r="D192" s="42"/>
    </row>
    <row r="193" spans="4:4" ht="14.25">
      <c r="D193" s="42"/>
    </row>
    <row r="194" spans="4:4" ht="14.25">
      <c r="D194" s="42"/>
    </row>
    <row r="195" spans="4:4" ht="14.25">
      <c r="D195" s="42"/>
    </row>
    <row r="196" spans="4:4" ht="14.25">
      <c r="D196" s="42"/>
    </row>
    <row r="197" spans="4:4" ht="14.25">
      <c r="D197" s="42"/>
    </row>
    <row r="198" spans="4:4" ht="14.25">
      <c r="D198" s="42"/>
    </row>
    <row r="199" spans="4:4" ht="14.25">
      <c r="D199" s="42"/>
    </row>
    <row r="200" spans="4:4" ht="14.25">
      <c r="D200" s="42"/>
    </row>
    <row r="201" spans="4:4" ht="14.25">
      <c r="D201" s="42"/>
    </row>
    <row r="202" spans="4:4" ht="14.25">
      <c r="D202" s="42"/>
    </row>
    <row r="203" spans="4:4" ht="14.25">
      <c r="D203" s="42"/>
    </row>
    <row r="204" spans="4:4" ht="14.25">
      <c r="D204" s="42"/>
    </row>
    <row r="205" spans="4:4" ht="14.25">
      <c r="D205" s="42"/>
    </row>
    <row r="206" spans="4:4" ht="14.25">
      <c r="D206" s="42"/>
    </row>
    <row r="207" spans="4:4" ht="14.25">
      <c r="D207" s="42"/>
    </row>
    <row r="208" spans="4:4" ht="14.25">
      <c r="D208" s="42"/>
    </row>
    <row r="209" spans="4:4" ht="14.25">
      <c r="D209" s="42"/>
    </row>
    <row r="210" spans="4:4" ht="14.25">
      <c r="D210" s="42"/>
    </row>
    <row r="211" spans="4:4" ht="14.25">
      <c r="D211" s="42"/>
    </row>
    <row r="212" spans="4:4" ht="14.25">
      <c r="D212" s="42"/>
    </row>
    <row r="213" spans="4:4" ht="14.25">
      <c r="D213" s="42"/>
    </row>
    <row r="214" spans="4:4" ht="14.25">
      <c r="D214" s="42"/>
    </row>
    <row r="215" spans="4:4" ht="14.25">
      <c r="D215" s="42"/>
    </row>
  </sheetData>
  <autoFilter ref="A1:Z6"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794"/>
  <sheetViews>
    <sheetView workbookViewId="0">
      <selection activeCell="E9" sqref="E9"/>
    </sheetView>
  </sheetViews>
  <sheetFormatPr defaultColWidth="12.625" defaultRowHeight="15" customHeight="1"/>
  <sheetData>
    <row r="1" spans="1:26" ht="15" customHeight="1">
      <c r="A1" s="43"/>
      <c r="B1" s="44" t="s">
        <v>586</v>
      </c>
      <c r="C1" s="44" t="s">
        <v>587</v>
      </c>
      <c r="D1" s="44" t="s">
        <v>588</v>
      </c>
      <c r="E1" s="44" t="s">
        <v>589</v>
      </c>
      <c r="F1" s="44" t="s">
        <v>590</v>
      </c>
      <c r="G1" s="44" t="s">
        <v>591</v>
      </c>
      <c r="H1" s="44" t="s">
        <v>592</v>
      </c>
      <c r="I1" s="44" t="s">
        <v>593</v>
      </c>
      <c r="J1" s="44" t="s">
        <v>594</v>
      </c>
      <c r="K1" s="44" t="s">
        <v>595</v>
      </c>
      <c r="L1" s="44" t="s">
        <v>596</v>
      </c>
      <c r="M1" s="44" t="s">
        <v>597</v>
      </c>
      <c r="N1" s="44" t="s">
        <v>598</v>
      </c>
      <c r="O1" s="44" t="s">
        <v>599</v>
      </c>
      <c r="P1" s="44" t="s">
        <v>34</v>
      </c>
      <c r="Q1" s="44" t="s">
        <v>600</v>
      </c>
      <c r="R1" s="44" t="s">
        <v>601</v>
      </c>
      <c r="S1" s="44" t="s">
        <v>602</v>
      </c>
      <c r="T1" s="44" t="s">
        <v>603</v>
      </c>
      <c r="U1" s="44" t="s">
        <v>604</v>
      </c>
      <c r="V1" s="44" t="s">
        <v>605</v>
      </c>
      <c r="W1" s="44" t="s">
        <v>606</v>
      </c>
      <c r="X1" s="44" t="s">
        <v>607</v>
      </c>
      <c r="Y1" s="45" t="s">
        <v>608</v>
      </c>
      <c r="Z1" s="46"/>
    </row>
    <row r="2" spans="1:26" ht="15" customHeight="1">
      <c r="A2" s="23">
        <v>1</v>
      </c>
      <c r="B2" s="47">
        <v>21100330722</v>
      </c>
      <c r="C2" s="48" t="s">
        <v>609</v>
      </c>
      <c r="D2" s="48" t="s">
        <v>610</v>
      </c>
      <c r="E2" s="48" t="s">
        <v>611</v>
      </c>
      <c r="F2" s="47">
        <v>3696</v>
      </c>
      <c r="G2" s="48" t="s">
        <v>202</v>
      </c>
      <c r="H2" s="47">
        <v>54</v>
      </c>
      <c r="I2" s="47">
        <v>24</v>
      </c>
      <c r="J2" s="47">
        <v>64</v>
      </c>
      <c r="K2" s="47">
        <v>3129</v>
      </c>
      <c r="L2" s="47">
        <v>848</v>
      </c>
      <c r="M2" s="47">
        <v>61</v>
      </c>
      <c r="N2" s="47">
        <v>1197</v>
      </c>
      <c r="O2" s="47">
        <v>13038</v>
      </c>
      <c r="P2" s="48" t="s">
        <v>612</v>
      </c>
      <c r="Q2" s="48" t="s">
        <v>613</v>
      </c>
      <c r="R2" s="48" t="s">
        <v>614</v>
      </c>
      <c r="S2" s="48" t="s">
        <v>615</v>
      </c>
      <c r="T2" s="48" t="s">
        <v>616</v>
      </c>
      <c r="U2" s="48" t="s">
        <v>617</v>
      </c>
      <c r="V2" s="48" t="s">
        <v>618</v>
      </c>
      <c r="W2" s="48" t="s">
        <v>619</v>
      </c>
      <c r="X2" s="49" t="s">
        <v>202</v>
      </c>
      <c r="Y2" s="50">
        <v>21658110</v>
      </c>
      <c r="Z2" s="46"/>
    </row>
    <row r="3" spans="1:26" ht="15" customHeight="1">
      <c r="A3" s="51">
        <v>2</v>
      </c>
      <c r="B3" s="52">
        <v>21100805354</v>
      </c>
      <c r="C3" s="53" t="s">
        <v>620</v>
      </c>
      <c r="D3" s="53" t="s">
        <v>610</v>
      </c>
      <c r="E3" s="53" t="s">
        <v>621</v>
      </c>
      <c r="F3" s="52">
        <v>1570</v>
      </c>
      <c r="G3" s="53" t="s">
        <v>202</v>
      </c>
      <c r="H3" s="52">
        <v>79</v>
      </c>
      <c r="I3" s="52">
        <v>186</v>
      </c>
      <c r="J3" s="52">
        <v>380</v>
      </c>
      <c r="K3" s="52">
        <v>12409</v>
      </c>
      <c r="L3" s="52">
        <v>2239</v>
      </c>
      <c r="M3" s="52">
        <v>366</v>
      </c>
      <c r="N3" s="52">
        <v>573</v>
      </c>
      <c r="O3" s="52">
        <v>6672</v>
      </c>
      <c r="P3" s="53" t="s">
        <v>622</v>
      </c>
      <c r="Q3" s="53" t="s">
        <v>623</v>
      </c>
      <c r="R3" s="53" t="s">
        <v>624</v>
      </c>
      <c r="S3" s="53" t="s">
        <v>625</v>
      </c>
      <c r="T3" s="53" t="s">
        <v>616</v>
      </c>
      <c r="U3" s="53" t="s">
        <v>617</v>
      </c>
      <c r="V3" s="53" t="s">
        <v>618</v>
      </c>
      <c r="W3" s="53" t="s">
        <v>626</v>
      </c>
      <c r="X3" s="54" t="s">
        <v>202</v>
      </c>
      <c r="Y3" s="55">
        <v>25092715</v>
      </c>
      <c r="Z3" s="46"/>
    </row>
    <row r="4" spans="1:26" ht="15" customHeight="1">
      <c r="A4" s="56">
        <v>3</v>
      </c>
      <c r="B4" s="47">
        <v>21100897791</v>
      </c>
      <c r="C4" s="48" t="s">
        <v>471</v>
      </c>
      <c r="D4" s="48" t="s">
        <v>610</v>
      </c>
      <c r="E4" s="47">
        <v>25901362</v>
      </c>
      <c r="F4" s="47">
        <v>1509</v>
      </c>
      <c r="G4" s="48" t="s">
        <v>202</v>
      </c>
      <c r="H4" s="47">
        <v>13</v>
      </c>
      <c r="I4" s="47">
        <v>111</v>
      </c>
      <c r="J4" s="47">
        <v>95</v>
      </c>
      <c r="K4" s="47">
        <v>4216</v>
      </c>
      <c r="L4" s="47">
        <v>329</v>
      </c>
      <c r="M4" s="47">
        <v>95</v>
      </c>
      <c r="N4" s="47">
        <v>348</v>
      </c>
      <c r="O4" s="47">
        <v>3798</v>
      </c>
      <c r="P4" s="48" t="s">
        <v>627</v>
      </c>
      <c r="Q4" s="48" t="s">
        <v>623</v>
      </c>
      <c r="R4" s="48" t="s">
        <v>628</v>
      </c>
      <c r="S4" s="48" t="s">
        <v>629</v>
      </c>
      <c r="T4" s="48" t="s">
        <v>616</v>
      </c>
      <c r="U4" s="48" t="s">
        <v>617</v>
      </c>
      <c r="V4" s="48" t="s">
        <v>618</v>
      </c>
      <c r="W4" s="48" t="s">
        <v>630</v>
      </c>
      <c r="X4" s="49" t="s">
        <v>202</v>
      </c>
      <c r="Y4" s="50">
        <v>25901362</v>
      </c>
      <c r="Z4" s="46"/>
    </row>
    <row r="5" spans="1:26" ht="15" customHeight="1">
      <c r="A5" s="51">
        <v>4</v>
      </c>
      <c r="B5" s="52">
        <v>21376</v>
      </c>
      <c r="C5" s="53" t="s">
        <v>168</v>
      </c>
      <c r="D5" s="53" t="s">
        <v>610</v>
      </c>
      <c r="E5" s="53" t="s">
        <v>631</v>
      </c>
      <c r="F5" s="52">
        <v>1493</v>
      </c>
      <c r="G5" s="53" t="s">
        <v>202</v>
      </c>
      <c r="H5" s="52">
        <v>205</v>
      </c>
      <c r="I5" s="52">
        <v>1002</v>
      </c>
      <c r="J5" s="52">
        <v>3180</v>
      </c>
      <c r="K5" s="52">
        <v>36535</v>
      </c>
      <c r="L5" s="52">
        <v>14511</v>
      </c>
      <c r="M5" s="52">
        <v>2915</v>
      </c>
      <c r="N5" s="52">
        <v>513</v>
      </c>
      <c r="O5" s="52">
        <v>3646</v>
      </c>
      <c r="P5" s="53" t="s">
        <v>632</v>
      </c>
      <c r="Q5" s="53" t="s">
        <v>623</v>
      </c>
      <c r="R5" s="53" t="s">
        <v>633</v>
      </c>
      <c r="S5" s="53" t="s">
        <v>634</v>
      </c>
      <c r="T5" s="53" t="s">
        <v>616</v>
      </c>
      <c r="U5" s="53" t="s">
        <v>617</v>
      </c>
      <c r="V5" s="53" t="s">
        <v>618</v>
      </c>
      <c r="W5" s="53" t="s">
        <v>630</v>
      </c>
      <c r="X5" s="54" t="s">
        <v>202</v>
      </c>
      <c r="Y5" s="55" t="s">
        <v>539</v>
      </c>
      <c r="Z5" s="46"/>
    </row>
    <row r="6" spans="1:26">
      <c r="A6" s="46"/>
      <c r="B6" s="46"/>
      <c r="C6" s="46"/>
      <c r="D6" s="46"/>
      <c r="E6" s="46"/>
      <c r="F6" s="46"/>
      <c r="G6" s="46"/>
      <c r="H6" s="46"/>
      <c r="I6" s="46"/>
      <c r="J6" s="46"/>
      <c r="K6" s="46"/>
      <c r="L6" s="46"/>
      <c r="M6" s="46"/>
      <c r="N6" s="46"/>
      <c r="O6" s="46"/>
      <c r="P6" s="46"/>
      <c r="Q6" s="46"/>
      <c r="R6" s="46"/>
      <c r="S6" s="46"/>
      <c r="T6" s="46"/>
      <c r="U6" s="46"/>
      <c r="V6" s="46"/>
      <c r="W6" s="46"/>
      <c r="X6" s="46"/>
      <c r="Y6" s="57"/>
      <c r="Z6" s="46"/>
    </row>
    <row r="7" spans="1:26">
      <c r="A7" s="46"/>
      <c r="B7" s="46"/>
      <c r="C7" s="46"/>
      <c r="D7" s="46"/>
      <c r="E7" s="46"/>
      <c r="F7" s="46"/>
      <c r="G7" s="46"/>
      <c r="H7" s="46"/>
      <c r="I7" s="46"/>
      <c r="J7" s="46"/>
      <c r="K7" s="46"/>
      <c r="L7" s="46"/>
      <c r="M7" s="46"/>
      <c r="N7" s="46"/>
      <c r="O7" s="46"/>
      <c r="P7" s="46"/>
      <c r="Q7" s="46"/>
      <c r="R7" s="46"/>
      <c r="S7" s="46"/>
      <c r="T7" s="46"/>
      <c r="U7" s="46"/>
      <c r="V7" s="46"/>
      <c r="W7" s="46"/>
      <c r="X7" s="46"/>
      <c r="Y7" s="57"/>
      <c r="Z7" s="46"/>
    </row>
    <row r="8" spans="1:26">
      <c r="A8" s="46"/>
      <c r="B8" s="46"/>
      <c r="C8" s="46"/>
      <c r="D8" s="46"/>
      <c r="E8" s="46"/>
      <c r="F8" s="46"/>
      <c r="G8" s="46"/>
      <c r="H8" s="46"/>
      <c r="I8" s="46"/>
      <c r="J8" s="46"/>
      <c r="K8" s="46"/>
      <c r="L8" s="46"/>
      <c r="M8" s="46"/>
      <c r="N8" s="46"/>
      <c r="O8" s="46"/>
      <c r="P8" s="46"/>
      <c r="Q8" s="46"/>
      <c r="R8" s="46"/>
      <c r="S8" s="46"/>
      <c r="T8" s="46"/>
      <c r="U8" s="46"/>
      <c r="V8" s="46"/>
      <c r="W8" s="46"/>
      <c r="X8" s="46"/>
      <c r="Y8" s="57"/>
      <c r="Z8" s="46"/>
    </row>
    <row r="9" spans="1:26">
      <c r="A9" s="46"/>
      <c r="B9" s="46"/>
      <c r="C9" s="46"/>
      <c r="D9" s="46"/>
      <c r="E9" s="46"/>
      <c r="F9" s="46"/>
      <c r="G9" s="46"/>
      <c r="H9" s="46"/>
      <c r="I9" s="46"/>
      <c r="J9" s="46"/>
      <c r="K9" s="46"/>
      <c r="L9" s="46"/>
      <c r="M9" s="46"/>
      <c r="N9" s="46"/>
      <c r="O9" s="46"/>
      <c r="P9" s="46"/>
      <c r="Q9" s="46"/>
      <c r="R9" s="46"/>
      <c r="S9" s="46"/>
      <c r="T9" s="46"/>
      <c r="U9" s="46"/>
      <c r="V9" s="46"/>
      <c r="W9" s="46"/>
      <c r="X9" s="46"/>
      <c r="Y9" s="57"/>
      <c r="Z9" s="46"/>
    </row>
    <row r="10" spans="1:26">
      <c r="A10" s="46"/>
      <c r="B10" s="46"/>
      <c r="C10" s="46"/>
      <c r="D10" s="46"/>
      <c r="E10" s="46"/>
      <c r="F10" s="46"/>
      <c r="G10" s="46"/>
      <c r="H10" s="46"/>
      <c r="I10" s="46"/>
      <c r="J10" s="46"/>
      <c r="K10" s="46"/>
      <c r="L10" s="46"/>
      <c r="M10" s="46"/>
      <c r="N10" s="46"/>
      <c r="O10" s="46"/>
      <c r="P10" s="46"/>
      <c r="Q10" s="46"/>
      <c r="R10" s="46"/>
      <c r="S10" s="46"/>
      <c r="T10" s="46"/>
      <c r="U10" s="46"/>
      <c r="V10" s="46"/>
      <c r="W10" s="46"/>
      <c r="X10" s="46"/>
      <c r="Y10" s="57"/>
      <c r="Z10" s="46"/>
    </row>
    <row r="11" spans="1:26">
      <c r="A11" s="46"/>
      <c r="B11" s="46"/>
      <c r="C11" s="46"/>
      <c r="D11" s="46"/>
      <c r="E11" s="46"/>
      <c r="F11" s="46"/>
      <c r="G11" s="46"/>
      <c r="H11" s="46"/>
      <c r="I11" s="46"/>
      <c r="J11" s="46"/>
      <c r="K11" s="46"/>
      <c r="L11" s="46"/>
      <c r="M11" s="46"/>
      <c r="N11" s="46"/>
      <c r="O11" s="46"/>
      <c r="P11" s="46"/>
      <c r="Q11" s="46"/>
      <c r="R11" s="46"/>
      <c r="S11" s="46"/>
      <c r="T11" s="46"/>
      <c r="U11" s="46"/>
      <c r="V11" s="46"/>
      <c r="W11" s="46"/>
      <c r="X11" s="46"/>
      <c r="Y11" s="57"/>
      <c r="Z11" s="46"/>
    </row>
    <row r="12" spans="1:26">
      <c r="A12" s="46"/>
      <c r="B12" s="46"/>
      <c r="C12" s="46"/>
      <c r="D12" s="46"/>
      <c r="E12" s="46"/>
      <c r="F12" s="46"/>
      <c r="G12" s="46"/>
      <c r="H12" s="46"/>
      <c r="I12" s="46"/>
      <c r="J12" s="46"/>
      <c r="K12" s="46"/>
      <c r="L12" s="46"/>
      <c r="M12" s="46"/>
      <c r="N12" s="46"/>
      <c r="O12" s="46"/>
      <c r="P12" s="46"/>
      <c r="Q12" s="46"/>
      <c r="R12" s="46"/>
      <c r="S12" s="46"/>
      <c r="T12" s="46"/>
      <c r="U12" s="46"/>
      <c r="V12" s="46"/>
      <c r="W12" s="46"/>
      <c r="X12" s="46"/>
      <c r="Y12" s="57"/>
      <c r="Z12" s="46"/>
    </row>
    <row r="13" spans="1:26">
      <c r="A13" s="46"/>
      <c r="B13" s="46"/>
      <c r="C13" s="46"/>
      <c r="D13" s="46"/>
      <c r="E13" s="46"/>
      <c r="F13" s="46"/>
      <c r="G13" s="46"/>
      <c r="H13" s="46"/>
      <c r="I13" s="46"/>
      <c r="J13" s="46"/>
      <c r="K13" s="46"/>
      <c r="L13" s="46"/>
      <c r="M13" s="46"/>
      <c r="N13" s="46"/>
      <c r="O13" s="46"/>
      <c r="P13" s="46"/>
      <c r="Q13" s="46"/>
      <c r="R13" s="46"/>
      <c r="S13" s="46"/>
      <c r="T13" s="46"/>
      <c r="U13" s="46"/>
      <c r="V13" s="46"/>
      <c r="W13" s="46"/>
      <c r="X13" s="46"/>
      <c r="Y13" s="57"/>
      <c r="Z13" s="46"/>
    </row>
    <row r="14" spans="1:26">
      <c r="A14" s="46"/>
      <c r="B14" s="46"/>
      <c r="C14" s="46"/>
      <c r="D14" s="46"/>
      <c r="E14" s="46"/>
      <c r="F14" s="46"/>
      <c r="G14" s="46"/>
      <c r="H14" s="46"/>
      <c r="I14" s="46"/>
      <c r="J14" s="46"/>
      <c r="K14" s="46"/>
      <c r="L14" s="46"/>
      <c r="M14" s="46"/>
      <c r="N14" s="46"/>
      <c r="O14" s="46"/>
      <c r="P14" s="46"/>
      <c r="Q14" s="46"/>
      <c r="R14" s="46"/>
      <c r="S14" s="46"/>
      <c r="T14" s="46"/>
      <c r="U14" s="46"/>
      <c r="V14" s="46"/>
      <c r="W14" s="46"/>
      <c r="X14" s="46"/>
      <c r="Y14" s="57"/>
      <c r="Z14" s="46"/>
    </row>
    <row r="15" spans="1:26">
      <c r="A15" s="46"/>
      <c r="B15" s="46"/>
      <c r="C15" s="46"/>
      <c r="D15" s="46"/>
      <c r="E15" s="46"/>
      <c r="F15" s="46"/>
      <c r="G15" s="46"/>
      <c r="H15" s="46"/>
      <c r="I15" s="46"/>
      <c r="J15" s="46"/>
      <c r="K15" s="46"/>
      <c r="L15" s="46"/>
      <c r="M15" s="46"/>
      <c r="N15" s="46"/>
      <c r="O15" s="46"/>
      <c r="P15" s="46"/>
      <c r="Q15" s="46"/>
      <c r="R15" s="46"/>
      <c r="S15" s="46"/>
      <c r="T15" s="46"/>
      <c r="U15" s="46"/>
      <c r="V15" s="46"/>
      <c r="W15" s="46"/>
      <c r="X15" s="46"/>
      <c r="Y15" s="57"/>
      <c r="Z15" s="46"/>
    </row>
    <row r="16" spans="1:26">
      <c r="A16" s="46"/>
      <c r="B16" s="46"/>
      <c r="C16" s="46"/>
      <c r="D16" s="46"/>
      <c r="E16" s="46"/>
      <c r="F16" s="46"/>
      <c r="G16" s="46"/>
      <c r="H16" s="46"/>
      <c r="I16" s="46"/>
      <c r="J16" s="46"/>
      <c r="K16" s="46"/>
      <c r="L16" s="46"/>
      <c r="M16" s="46"/>
      <c r="N16" s="46"/>
      <c r="O16" s="46"/>
      <c r="P16" s="46"/>
      <c r="Q16" s="46"/>
      <c r="R16" s="46"/>
      <c r="S16" s="46"/>
      <c r="T16" s="46"/>
      <c r="U16" s="46"/>
      <c r="V16" s="46"/>
      <c r="W16" s="46"/>
      <c r="X16" s="46"/>
      <c r="Y16" s="57"/>
      <c r="Z16" s="46"/>
    </row>
    <row r="17" spans="1:26">
      <c r="A17" s="46"/>
      <c r="B17" s="46"/>
      <c r="C17" s="46"/>
      <c r="D17" s="46"/>
      <c r="E17" s="46"/>
      <c r="F17" s="46"/>
      <c r="G17" s="46"/>
      <c r="H17" s="46"/>
      <c r="I17" s="46"/>
      <c r="J17" s="46"/>
      <c r="K17" s="46"/>
      <c r="L17" s="46"/>
      <c r="M17" s="46"/>
      <c r="N17" s="46"/>
      <c r="O17" s="46"/>
      <c r="P17" s="46"/>
      <c r="Q17" s="46"/>
      <c r="R17" s="46"/>
      <c r="S17" s="46"/>
      <c r="T17" s="46"/>
      <c r="U17" s="46"/>
      <c r="V17" s="46"/>
      <c r="W17" s="46"/>
      <c r="X17" s="46"/>
      <c r="Y17" s="57"/>
      <c r="Z17" s="46"/>
    </row>
    <row r="18" spans="1:26">
      <c r="A18" s="46"/>
      <c r="B18" s="46"/>
      <c r="C18" s="46"/>
      <c r="D18" s="46"/>
      <c r="E18" s="46"/>
      <c r="F18" s="46"/>
      <c r="G18" s="46"/>
      <c r="H18" s="46"/>
      <c r="I18" s="46"/>
      <c r="J18" s="46"/>
      <c r="K18" s="46"/>
      <c r="L18" s="46"/>
      <c r="M18" s="46"/>
      <c r="N18" s="46"/>
      <c r="O18" s="46"/>
      <c r="P18" s="46"/>
      <c r="Q18" s="46"/>
      <c r="R18" s="46"/>
      <c r="S18" s="46"/>
      <c r="T18" s="46"/>
      <c r="U18" s="46"/>
      <c r="V18" s="46"/>
      <c r="W18" s="46"/>
      <c r="X18" s="46"/>
      <c r="Y18" s="57"/>
      <c r="Z18" s="46"/>
    </row>
    <row r="19" spans="1:26">
      <c r="A19" s="46"/>
      <c r="B19" s="46"/>
      <c r="C19" s="46"/>
      <c r="D19" s="46"/>
      <c r="E19" s="46"/>
      <c r="F19" s="46"/>
      <c r="G19" s="46"/>
      <c r="H19" s="46"/>
      <c r="I19" s="46"/>
      <c r="J19" s="46"/>
      <c r="K19" s="46"/>
      <c r="L19" s="46"/>
      <c r="M19" s="46"/>
      <c r="N19" s="46"/>
      <c r="O19" s="46"/>
      <c r="P19" s="46"/>
      <c r="Q19" s="46"/>
      <c r="R19" s="46"/>
      <c r="S19" s="46"/>
      <c r="T19" s="46"/>
      <c r="U19" s="46"/>
      <c r="V19" s="46"/>
      <c r="W19" s="46"/>
      <c r="X19" s="46"/>
      <c r="Y19" s="57"/>
      <c r="Z19" s="46"/>
    </row>
    <row r="20" spans="1:26">
      <c r="A20" s="46"/>
      <c r="B20" s="46"/>
      <c r="C20" s="46"/>
      <c r="D20" s="46"/>
      <c r="E20" s="46"/>
      <c r="F20" s="46"/>
      <c r="G20" s="46"/>
      <c r="H20" s="46"/>
      <c r="I20" s="46"/>
      <c r="J20" s="46"/>
      <c r="K20" s="46"/>
      <c r="L20" s="46"/>
      <c r="M20" s="46"/>
      <c r="N20" s="46"/>
      <c r="O20" s="46"/>
      <c r="P20" s="46"/>
      <c r="Q20" s="46"/>
      <c r="R20" s="46"/>
      <c r="S20" s="46"/>
      <c r="T20" s="46"/>
      <c r="U20" s="46"/>
      <c r="V20" s="46"/>
      <c r="W20" s="46"/>
      <c r="X20" s="46"/>
      <c r="Y20" s="57"/>
      <c r="Z20" s="46"/>
    </row>
    <row r="21" spans="1:26">
      <c r="A21" s="46"/>
      <c r="B21" s="46"/>
      <c r="C21" s="46"/>
      <c r="D21" s="46"/>
      <c r="E21" s="46"/>
      <c r="F21" s="46"/>
      <c r="G21" s="46"/>
      <c r="H21" s="46"/>
      <c r="I21" s="46"/>
      <c r="J21" s="46"/>
      <c r="K21" s="46"/>
      <c r="L21" s="46"/>
      <c r="M21" s="46"/>
      <c r="N21" s="46"/>
      <c r="O21" s="46"/>
      <c r="P21" s="46"/>
      <c r="Q21" s="46"/>
      <c r="R21" s="46"/>
      <c r="S21" s="46"/>
      <c r="T21" s="46"/>
      <c r="U21" s="46"/>
      <c r="V21" s="46"/>
      <c r="W21" s="46"/>
      <c r="X21" s="46"/>
      <c r="Y21" s="57"/>
      <c r="Z21" s="46"/>
    </row>
    <row r="22" spans="1:26">
      <c r="A22" s="46"/>
      <c r="B22" s="46"/>
      <c r="C22" s="46"/>
      <c r="D22" s="46"/>
      <c r="E22" s="46"/>
      <c r="F22" s="46"/>
      <c r="G22" s="46"/>
      <c r="H22" s="46"/>
      <c r="I22" s="46"/>
      <c r="J22" s="46"/>
      <c r="K22" s="46"/>
      <c r="L22" s="46"/>
      <c r="M22" s="46"/>
      <c r="N22" s="46"/>
      <c r="O22" s="46"/>
      <c r="P22" s="46"/>
      <c r="Q22" s="46"/>
      <c r="R22" s="46"/>
      <c r="S22" s="46"/>
      <c r="T22" s="46"/>
      <c r="U22" s="46"/>
      <c r="V22" s="46"/>
      <c r="W22" s="46"/>
      <c r="X22" s="46"/>
      <c r="Y22" s="57"/>
      <c r="Z22" s="46"/>
    </row>
    <row r="23" spans="1:26">
      <c r="A23" s="46"/>
      <c r="B23" s="46"/>
      <c r="C23" s="46"/>
      <c r="D23" s="46"/>
      <c r="E23" s="46"/>
      <c r="F23" s="46"/>
      <c r="G23" s="46"/>
      <c r="H23" s="46"/>
      <c r="I23" s="46"/>
      <c r="J23" s="46"/>
      <c r="K23" s="46"/>
      <c r="L23" s="46"/>
      <c r="M23" s="46"/>
      <c r="N23" s="46"/>
      <c r="O23" s="46"/>
      <c r="P23" s="46"/>
      <c r="Q23" s="46"/>
      <c r="R23" s="46"/>
      <c r="S23" s="46"/>
      <c r="T23" s="46"/>
      <c r="U23" s="46"/>
      <c r="V23" s="46"/>
      <c r="W23" s="46"/>
      <c r="X23" s="46"/>
      <c r="Y23" s="57"/>
      <c r="Z23" s="46"/>
    </row>
    <row r="24" spans="1:26">
      <c r="A24" s="46"/>
      <c r="B24" s="46"/>
      <c r="C24" s="46"/>
      <c r="D24" s="46"/>
      <c r="E24" s="46"/>
      <c r="F24" s="46"/>
      <c r="G24" s="46"/>
      <c r="H24" s="46"/>
      <c r="I24" s="46"/>
      <c r="J24" s="46"/>
      <c r="K24" s="46"/>
      <c r="L24" s="46"/>
      <c r="M24" s="46"/>
      <c r="N24" s="46"/>
      <c r="O24" s="46"/>
      <c r="P24" s="46"/>
      <c r="Q24" s="46"/>
      <c r="R24" s="46"/>
      <c r="S24" s="46"/>
      <c r="T24" s="46"/>
      <c r="U24" s="46"/>
      <c r="V24" s="46"/>
      <c r="W24" s="46"/>
      <c r="X24" s="46"/>
      <c r="Y24" s="57"/>
      <c r="Z24" s="46"/>
    </row>
    <row r="25" spans="1:26">
      <c r="A25" s="46"/>
      <c r="B25" s="46"/>
      <c r="C25" s="46"/>
      <c r="D25" s="46"/>
      <c r="E25" s="46"/>
      <c r="F25" s="46"/>
      <c r="G25" s="46"/>
      <c r="H25" s="46"/>
      <c r="I25" s="46"/>
      <c r="J25" s="46"/>
      <c r="K25" s="46"/>
      <c r="L25" s="46"/>
      <c r="M25" s="46"/>
      <c r="N25" s="46"/>
      <c r="O25" s="46"/>
      <c r="P25" s="46"/>
      <c r="Q25" s="46"/>
      <c r="R25" s="46"/>
      <c r="S25" s="46"/>
      <c r="T25" s="46"/>
      <c r="U25" s="46"/>
      <c r="V25" s="46"/>
      <c r="W25" s="46"/>
      <c r="X25" s="46"/>
      <c r="Y25" s="57"/>
      <c r="Z25" s="46"/>
    </row>
    <row r="26" spans="1:26">
      <c r="A26" s="46"/>
      <c r="B26" s="46"/>
      <c r="C26" s="46"/>
      <c r="D26" s="46"/>
      <c r="E26" s="46"/>
      <c r="F26" s="46"/>
      <c r="G26" s="46"/>
      <c r="H26" s="46"/>
      <c r="I26" s="46"/>
      <c r="J26" s="46"/>
      <c r="K26" s="46"/>
      <c r="L26" s="46"/>
      <c r="M26" s="46"/>
      <c r="N26" s="46"/>
      <c r="O26" s="46"/>
      <c r="P26" s="46"/>
      <c r="Q26" s="46"/>
      <c r="R26" s="46"/>
      <c r="S26" s="46"/>
      <c r="T26" s="46"/>
      <c r="U26" s="46"/>
      <c r="V26" s="46"/>
      <c r="W26" s="46"/>
      <c r="X26" s="46"/>
      <c r="Y26" s="57"/>
      <c r="Z26" s="46"/>
    </row>
    <row r="27" spans="1:26">
      <c r="A27" s="46"/>
      <c r="B27" s="46"/>
      <c r="C27" s="46"/>
      <c r="D27" s="46"/>
      <c r="E27" s="46"/>
      <c r="F27" s="46"/>
      <c r="G27" s="46"/>
      <c r="H27" s="46"/>
      <c r="I27" s="46"/>
      <c r="J27" s="46"/>
      <c r="K27" s="46"/>
      <c r="L27" s="46"/>
      <c r="M27" s="46"/>
      <c r="N27" s="46"/>
      <c r="O27" s="46"/>
      <c r="P27" s="46"/>
      <c r="Q27" s="46"/>
      <c r="R27" s="46"/>
      <c r="S27" s="46"/>
      <c r="T27" s="46"/>
      <c r="U27" s="46"/>
      <c r="V27" s="46"/>
      <c r="W27" s="46"/>
      <c r="X27" s="46"/>
      <c r="Y27" s="57"/>
      <c r="Z27" s="46"/>
    </row>
    <row r="28" spans="1:26">
      <c r="A28" s="46"/>
      <c r="B28" s="46"/>
      <c r="C28" s="46"/>
      <c r="D28" s="46"/>
      <c r="E28" s="46"/>
      <c r="F28" s="46"/>
      <c r="G28" s="46"/>
      <c r="H28" s="46"/>
      <c r="I28" s="46"/>
      <c r="J28" s="46"/>
      <c r="K28" s="46"/>
      <c r="L28" s="46"/>
      <c r="M28" s="46"/>
      <c r="N28" s="46"/>
      <c r="O28" s="46"/>
      <c r="P28" s="46"/>
      <c r="Q28" s="46"/>
      <c r="R28" s="46"/>
      <c r="S28" s="46"/>
      <c r="T28" s="46"/>
      <c r="U28" s="46"/>
      <c r="V28" s="46"/>
      <c r="W28" s="46"/>
      <c r="X28" s="46"/>
      <c r="Y28" s="57"/>
      <c r="Z28" s="46"/>
    </row>
    <row r="29" spans="1:26">
      <c r="A29" s="46"/>
      <c r="B29" s="46"/>
      <c r="C29" s="46"/>
      <c r="D29" s="46"/>
      <c r="E29" s="46"/>
      <c r="F29" s="46"/>
      <c r="G29" s="46"/>
      <c r="H29" s="46"/>
      <c r="I29" s="46"/>
      <c r="J29" s="46"/>
      <c r="K29" s="46"/>
      <c r="L29" s="46"/>
      <c r="M29" s="46"/>
      <c r="N29" s="46"/>
      <c r="O29" s="46"/>
      <c r="P29" s="46"/>
      <c r="Q29" s="46"/>
      <c r="R29" s="46"/>
      <c r="S29" s="46"/>
      <c r="T29" s="46"/>
      <c r="U29" s="46"/>
      <c r="V29" s="46"/>
      <c r="W29" s="46"/>
      <c r="X29" s="46"/>
      <c r="Y29" s="57"/>
      <c r="Z29" s="46"/>
    </row>
    <row r="30" spans="1:26">
      <c r="A30" s="46"/>
      <c r="B30" s="46"/>
      <c r="C30" s="46"/>
      <c r="D30" s="46"/>
      <c r="E30" s="46"/>
      <c r="F30" s="46"/>
      <c r="G30" s="46"/>
      <c r="H30" s="46"/>
      <c r="I30" s="46"/>
      <c r="J30" s="46"/>
      <c r="K30" s="46"/>
      <c r="L30" s="46"/>
      <c r="M30" s="46"/>
      <c r="N30" s="46"/>
      <c r="O30" s="46"/>
      <c r="P30" s="46"/>
      <c r="Q30" s="46"/>
      <c r="R30" s="46"/>
      <c r="S30" s="46"/>
      <c r="T30" s="46"/>
      <c r="U30" s="46"/>
      <c r="V30" s="46"/>
      <c r="W30" s="46"/>
      <c r="X30" s="46"/>
      <c r="Y30" s="57"/>
      <c r="Z30" s="46"/>
    </row>
    <row r="31" spans="1:26">
      <c r="A31" s="46"/>
      <c r="B31" s="46"/>
      <c r="C31" s="46"/>
      <c r="D31" s="46"/>
      <c r="E31" s="46"/>
      <c r="F31" s="46"/>
      <c r="G31" s="46"/>
      <c r="H31" s="46"/>
      <c r="I31" s="46"/>
      <c r="J31" s="46"/>
      <c r="K31" s="46"/>
      <c r="L31" s="46"/>
      <c r="M31" s="46"/>
      <c r="N31" s="46"/>
      <c r="O31" s="46"/>
      <c r="P31" s="46"/>
      <c r="Q31" s="46"/>
      <c r="R31" s="46"/>
      <c r="S31" s="46"/>
      <c r="T31" s="46"/>
      <c r="U31" s="46"/>
      <c r="V31" s="46"/>
      <c r="W31" s="46"/>
      <c r="X31" s="46"/>
      <c r="Y31" s="57"/>
      <c r="Z31" s="46"/>
    </row>
    <row r="32" spans="1:26">
      <c r="A32" s="46"/>
      <c r="B32" s="46"/>
      <c r="C32" s="46"/>
      <c r="D32" s="46"/>
      <c r="E32" s="46"/>
      <c r="F32" s="46"/>
      <c r="G32" s="46"/>
      <c r="H32" s="46"/>
      <c r="I32" s="46"/>
      <c r="J32" s="46"/>
      <c r="K32" s="46"/>
      <c r="L32" s="46"/>
      <c r="M32" s="46"/>
      <c r="N32" s="46"/>
      <c r="O32" s="46"/>
      <c r="P32" s="46"/>
      <c r="Q32" s="46"/>
      <c r="R32" s="46"/>
      <c r="S32" s="46"/>
      <c r="T32" s="46"/>
      <c r="U32" s="46"/>
      <c r="V32" s="46"/>
      <c r="W32" s="46"/>
      <c r="X32" s="46"/>
      <c r="Y32" s="57"/>
      <c r="Z32" s="46"/>
    </row>
    <row r="33" spans="1:26">
      <c r="A33" s="46"/>
      <c r="B33" s="46"/>
      <c r="C33" s="46"/>
      <c r="D33" s="46"/>
      <c r="E33" s="46"/>
      <c r="F33" s="46"/>
      <c r="G33" s="46"/>
      <c r="H33" s="46"/>
      <c r="I33" s="46"/>
      <c r="J33" s="46"/>
      <c r="K33" s="46"/>
      <c r="L33" s="46"/>
      <c r="M33" s="46"/>
      <c r="N33" s="46"/>
      <c r="O33" s="46"/>
      <c r="P33" s="46"/>
      <c r="Q33" s="46"/>
      <c r="R33" s="46"/>
      <c r="S33" s="46"/>
      <c r="T33" s="46"/>
      <c r="U33" s="46"/>
      <c r="V33" s="46"/>
      <c r="W33" s="46"/>
      <c r="X33" s="46"/>
      <c r="Y33" s="57"/>
      <c r="Z33" s="46"/>
    </row>
    <row r="34" spans="1:26">
      <c r="A34" s="46"/>
      <c r="B34" s="46"/>
      <c r="C34" s="46"/>
      <c r="D34" s="46"/>
      <c r="E34" s="46"/>
      <c r="F34" s="46"/>
      <c r="G34" s="46"/>
      <c r="H34" s="46"/>
      <c r="I34" s="46"/>
      <c r="J34" s="46"/>
      <c r="K34" s="46"/>
      <c r="L34" s="46"/>
      <c r="M34" s="46"/>
      <c r="N34" s="46"/>
      <c r="O34" s="46"/>
      <c r="P34" s="46"/>
      <c r="Q34" s="46"/>
      <c r="R34" s="46"/>
      <c r="S34" s="46"/>
      <c r="T34" s="46"/>
      <c r="U34" s="46"/>
      <c r="V34" s="46"/>
      <c r="W34" s="46"/>
      <c r="X34" s="46"/>
      <c r="Y34" s="57"/>
      <c r="Z34" s="46"/>
    </row>
    <row r="35" spans="1:26">
      <c r="A35" s="46"/>
      <c r="B35" s="46"/>
      <c r="C35" s="46"/>
      <c r="D35" s="46"/>
      <c r="E35" s="46"/>
      <c r="F35" s="46"/>
      <c r="G35" s="46"/>
      <c r="H35" s="46"/>
      <c r="I35" s="46"/>
      <c r="J35" s="46"/>
      <c r="K35" s="46"/>
      <c r="L35" s="46"/>
      <c r="M35" s="46"/>
      <c r="N35" s="46"/>
      <c r="O35" s="46"/>
      <c r="P35" s="46"/>
      <c r="Q35" s="46"/>
      <c r="R35" s="46"/>
      <c r="S35" s="46"/>
      <c r="T35" s="46"/>
      <c r="U35" s="46"/>
      <c r="V35" s="46"/>
      <c r="W35" s="46"/>
      <c r="X35" s="46"/>
      <c r="Y35" s="57"/>
      <c r="Z35" s="46"/>
    </row>
    <row r="36" spans="1:26">
      <c r="A36" s="46"/>
      <c r="B36" s="46"/>
      <c r="C36" s="46"/>
      <c r="D36" s="46"/>
      <c r="E36" s="46"/>
      <c r="F36" s="46"/>
      <c r="G36" s="46"/>
      <c r="H36" s="46"/>
      <c r="I36" s="46"/>
      <c r="J36" s="46"/>
      <c r="K36" s="46"/>
      <c r="L36" s="46"/>
      <c r="M36" s="46"/>
      <c r="N36" s="46"/>
      <c r="O36" s="46"/>
      <c r="P36" s="46"/>
      <c r="Q36" s="46"/>
      <c r="R36" s="46"/>
      <c r="S36" s="46"/>
      <c r="T36" s="46"/>
      <c r="U36" s="46"/>
      <c r="V36" s="46"/>
      <c r="W36" s="46"/>
      <c r="X36" s="46"/>
      <c r="Y36" s="57"/>
      <c r="Z36" s="46"/>
    </row>
    <row r="37" spans="1:26">
      <c r="A37" s="46"/>
      <c r="B37" s="46"/>
      <c r="C37" s="46"/>
      <c r="D37" s="46"/>
      <c r="E37" s="46"/>
      <c r="F37" s="46"/>
      <c r="G37" s="46"/>
      <c r="H37" s="46"/>
      <c r="I37" s="46"/>
      <c r="J37" s="46"/>
      <c r="K37" s="46"/>
      <c r="L37" s="46"/>
      <c r="M37" s="46"/>
      <c r="N37" s="46"/>
      <c r="O37" s="46"/>
      <c r="P37" s="46"/>
      <c r="Q37" s="46"/>
      <c r="R37" s="46"/>
      <c r="S37" s="46"/>
      <c r="T37" s="46"/>
      <c r="U37" s="46"/>
      <c r="V37" s="46"/>
      <c r="W37" s="46"/>
      <c r="X37" s="46"/>
      <c r="Y37" s="57"/>
      <c r="Z37" s="46"/>
    </row>
    <row r="38" spans="1:26">
      <c r="A38" s="46"/>
      <c r="B38" s="46"/>
      <c r="C38" s="46"/>
      <c r="D38" s="46"/>
      <c r="E38" s="46"/>
      <c r="F38" s="46"/>
      <c r="G38" s="46"/>
      <c r="H38" s="46"/>
      <c r="I38" s="46"/>
      <c r="J38" s="46"/>
      <c r="K38" s="46"/>
      <c r="L38" s="46"/>
      <c r="M38" s="46"/>
      <c r="N38" s="46"/>
      <c r="O38" s="46"/>
      <c r="P38" s="46"/>
      <c r="Q38" s="46"/>
      <c r="R38" s="46"/>
      <c r="S38" s="46"/>
      <c r="T38" s="46"/>
      <c r="U38" s="46"/>
      <c r="V38" s="46"/>
      <c r="W38" s="46"/>
      <c r="X38" s="46"/>
      <c r="Y38" s="57"/>
      <c r="Z38" s="46"/>
    </row>
    <row r="39" spans="1:26">
      <c r="A39" s="46"/>
      <c r="B39" s="46"/>
      <c r="C39" s="46"/>
      <c r="D39" s="46"/>
      <c r="E39" s="46"/>
      <c r="F39" s="46"/>
      <c r="G39" s="46"/>
      <c r="H39" s="46"/>
      <c r="I39" s="46"/>
      <c r="J39" s="46"/>
      <c r="K39" s="46"/>
      <c r="L39" s="46"/>
      <c r="M39" s="46"/>
      <c r="N39" s="46"/>
      <c r="O39" s="46"/>
      <c r="P39" s="46"/>
      <c r="Q39" s="46"/>
      <c r="R39" s="46"/>
      <c r="S39" s="46"/>
      <c r="T39" s="46"/>
      <c r="U39" s="46"/>
      <c r="V39" s="46"/>
      <c r="W39" s="46"/>
      <c r="X39" s="46"/>
      <c r="Y39" s="57"/>
      <c r="Z39" s="46"/>
    </row>
    <row r="40" spans="1:26">
      <c r="A40" s="46"/>
      <c r="B40" s="46"/>
      <c r="C40" s="46"/>
      <c r="D40" s="46"/>
      <c r="E40" s="46"/>
      <c r="F40" s="46"/>
      <c r="G40" s="46"/>
      <c r="H40" s="46"/>
      <c r="I40" s="46"/>
      <c r="J40" s="46"/>
      <c r="K40" s="46"/>
      <c r="L40" s="46"/>
      <c r="M40" s="46"/>
      <c r="N40" s="46"/>
      <c r="O40" s="46"/>
      <c r="P40" s="46"/>
      <c r="Q40" s="46"/>
      <c r="R40" s="46"/>
      <c r="S40" s="46"/>
      <c r="T40" s="46"/>
      <c r="U40" s="46"/>
      <c r="V40" s="46"/>
      <c r="W40" s="46"/>
      <c r="X40" s="46"/>
      <c r="Y40" s="57"/>
      <c r="Z40" s="46"/>
    </row>
    <row r="41" spans="1:26">
      <c r="A41" s="46"/>
      <c r="B41" s="46"/>
      <c r="C41" s="46"/>
      <c r="D41" s="46"/>
      <c r="E41" s="46"/>
      <c r="F41" s="46"/>
      <c r="G41" s="46"/>
      <c r="H41" s="46"/>
      <c r="I41" s="46"/>
      <c r="J41" s="46"/>
      <c r="K41" s="46"/>
      <c r="L41" s="46"/>
      <c r="M41" s="46"/>
      <c r="N41" s="46"/>
      <c r="O41" s="46"/>
      <c r="P41" s="46"/>
      <c r="Q41" s="46"/>
      <c r="R41" s="46"/>
      <c r="S41" s="46"/>
      <c r="T41" s="46"/>
      <c r="U41" s="46"/>
      <c r="V41" s="46"/>
      <c r="W41" s="46"/>
      <c r="X41" s="46"/>
      <c r="Y41" s="57"/>
      <c r="Z41" s="46"/>
    </row>
    <row r="42" spans="1:26">
      <c r="A42" s="46"/>
      <c r="B42" s="46"/>
      <c r="C42" s="46"/>
      <c r="D42" s="46"/>
      <c r="E42" s="46"/>
      <c r="F42" s="46"/>
      <c r="G42" s="46"/>
      <c r="H42" s="46"/>
      <c r="I42" s="46"/>
      <c r="J42" s="46"/>
      <c r="K42" s="46"/>
      <c r="L42" s="46"/>
      <c r="M42" s="46"/>
      <c r="N42" s="46"/>
      <c r="O42" s="46"/>
      <c r="P42" s="46"/>
      <c r="Q42" s="46"/>
      <c r="R42" s="46"/>
      <c r="S42" s="46"/>
      <c r="T42" s="46"/>
      <c r="U42" s="46"/>
      <c r="V42" s="46"/>
      <c r="W42" s="46"/>
      <c r="X42" s="46"/>
      <c r="Y42" s="57"/>
      <c r="Z42" s="46"/>
    </row>
    <row r="43" spans="1:26">
      <c r="A43" s="46"/>
      <c r="B43" s="46"/>
      <c r="C43" s="46"/>
      <c r="D43" s="46"/>
      <c r="E43" s="46"/>
      <c r="F43" s="46"/>
      <c r="G43" s="46"/>
      <c r="H43" s="46"/>
      <c r="I43" s="46"/>
      <c r="J43" s="46"/>
      <c r="K43" s="46"/>
      <c r="L43" s="46"/>
      <c r="M43" s="46"/>
      <c r="N43" s="46"/>
      <c r="O43" s="46"/>
      <c r="P43" s="46"/>
      <c r="Q43" s="46"/>
      <c r="R43" s="46"/>
      <c r="S43" s="46"/>
      <c r="T43" s="46"/>
      <c r="U43" s="46"/>
      <c r="V43" s="46"/>
      <c r="W43" s="46"/>
      <c r="X43" s="46"/>
      <c r="Y43" s="57"/>
      <c r="Z43" s="46"/>
    </row>
    <row r="44" spans="1:26">
      <c r="A44" s="46"/>
      <c r="B44" s="46"/>
      <c r="C44" s="46"/>
      <c r="D44" s="46"/>
      <c r="E44" s="46"/>
      <c r="F44" s="46"/>
      <c r="G44" s="46"/>
      <c r="H44" s="46"/>
      <c r="I44" s="46"/>
      <c r="J44" s="46"/>
      <c r="K44" s="46"/>
      <c r="L44" s="46"/>
      <c r="M44" s="46"/>
      <c r="N44" s="46"/>
      <c r="O44" s="46"/>
      <c r="P44" s="46"/>
      <c r="Q44" s="46"/>
      <c r="R44" s="46"/>
      <c r="S44" s="46"/>
      <c r="T44" s="46"/>
      <c r="U44" s="46"/>
      <c r="V44" s="46"/>
      <c r="W44" s="46"/>
      <c r="X44" s="46"/>
      <c r="Y44" s="57"/>
      <c r="Z44" s="46"/>
    </row>
    <row r="45" spans="1:26">
      <c r="A45" s="46"/>
      <c r="B45" s="46"/>
      <c r="C45" s="46"/>
      <c r="D45" s="46"/>
      <c r="E45" s="46"/>
      <c r="F45" s="46"/>
      <c r="G45" s="46"/>
      <c r="H45" s="46"/>
      <c r="I45" s="46"/>
      <c r="J45" s="46"/>
      <c r="K45" s="46"/>
      <c r="L45" s="46"/>
      <c r="M45" s="46"/>
      <c r="N45" s="46"/>
      <c r="O45" s="46"/>
      <c r="P45" s="46"/>
      <c r="Q45" s="46"/>
      <c r="R45" s="46"/>
      <c r="S45" s="46"/>
      <c r="T45" s="46"/>
      <c r="U45" s="46"/>
      <c r="V45" s="46"/>
      <c r="W45" s="46"/>
      <c r="X45" s="46"/>
      <c r="Y45" s="57"/>
      <c r="Z45" s="46"/>
    </row>
    <row r="46" spans="1:26">
      <c r="A46" s="46"/>
      <c r="B46" s="46"/>
      <c r="C46" s="46"/>
      <c r="D46" s="46"/>
      <c r="E46" s="46"/>
      <c r="F46" s="46"/>
      <c r="G46" s="46"/>
      <c r="H46" s="46"/>
      <c r="I46" s="46"/>
      <c r="J46" s="46"/>
      <c r="K46" s="46"/>
      <c r="L46" s="46"/>
      <c r="M46" s="46"/>
      <c r="N46" s="46"/>
      <c r="O46" s="46"/>
      <c r="P46" s="46"/>
      <c r="Q46" s="46"/>
      <c r="R46" s="46"/>
      <c r="S46" s="46"/>
      <c r="T46" s="46"/>
      <c r="U46" s="46"/>
      <c r="V46" s="46"/>
      <c r="W46" s="46"/>
      <c r="X46" s="46"/>
      <c r="Y46" s="57"/>
      <c r="Z46" s="46"/>
    </row>
    <row r="47" spans="1:26">
      <c r="A47" s="46"/>
      <c r="B47" s="46"/>
      <c r="C47" s="46"/>
      <c r="D47" s="46"/>
      <c r="E47" s="46"/>
      <c r="F47" s="46"/>
      <c r="G47" s="46"/>
      <c r="H47" s="46"/>
      <c r="I47" s="46"/>
      <c r="J47" s="46"/>
      <c r="K47" s="46"/>
      <c r="L47" s="46"/>
      <c r="M47" s="46"/>
      <c r="N47" s="46"/>
      <c r="O47" s="46"/>
      <c r="P47" s="46"/>
      <c r="Q47" s="46"/>
      <c r="R47" s="46"/>
      <c r="S47" s="46"/>
      <c r="T47" s="46"/>
      <c r="U47" s="46"/>
      <c r="V47" s="46"/>
      <c r="W47" s="46"/>
      <c r="X47" s="46"/>
      <c r="Y47" s="57"/>
      <c r="Z47" s="46"/>
    </row>
    <row r="48" spans="1:26">
      <c r="A48" s="46"/>
      <c r="B48" s="46"/>
      <c r="C48" s="46"/>
      <c r="D48" s="46"/>
      <c r="E48" s="46"/>
      <c r="F48" s="46"/>
      <c r="G48" s="46"/>
      <c r="H48" s="46"/>
      <c r="I48" s="46"/>
      <c r="J48" s="46"/>
      <c r="K48" s="46"/>
      <c r="L48" s="46"/>
      <c r="M48" s="46"/>
      <c r="N48" s="46"/>
      <c r="O48" s="46"/>
      <c r="P48" s="46"/>
      <c r="Q48" s="46"/>
      <c r="R48" s="46"/>
      <c r="S48" s="46"/>
      <c r="T48" s="46"/>
      <c r="U48" s="46"/>
      <c r="V48" s="46"/>
      <c r="W48" s="46"/>
      <c r="X48" s="46"/>
      <c r="Y48" s="57"/>
      <c r="Z48" s="46"/>
    </row>
    <row r="49" spans="1:26">
      <c r="A49" s="46"/>
      <c r="B49" s="46"/>
      <c r="C49" s="46"/>
      <c r="D49" s="46"/>
      <c r="E49" s="46"/>
      <c r="F49" s="46"/>
      <c r="G49" s="46"/>
      <c r="H49" s="46"/>
      <c r="I49" s="46"/>
      <c r="J49" s="46"/>
      <c r="K49" s="46"/>
      <c r="L49" s="46"/>
      <c r="M49" s="46"/>
      <c r="N49" s="46"/>
      <c r="O49" s="46"/>
      <c r="P49" s="46"/>
      <c r="Q49" s="46"/>
      <c r="R49" s="46"/>
      <c r="S49" s="46"/>
      <c r="T49" s="46"/>
      <c r="U49" s="46"/>
      <c r="V49" s="46"/>
      <c r="W49" s="46"/>
      <c r="X49" s="46"/>
      <c r="Y49" s="57"/>
      <c r="Z49" s="46"/>
    </row>
    <row r="50" spans="1:26">
      <c r="A50" s="46"/>
      <c r="B50" s="46"/>
      <c r="C50" s="46"/>
      <c r="D50" s="46"/>
      <c r="E50" s="46"/>
      <c r="F50" s="46"/>
      <c r="G50" s="46"/>
      <c r="H50" s="46"/>
      <c r="I50" s="46"/>
      <c r="J50" s="46"/>
      <c r="K50" s="46"/>
      <c r="L50" s="46"/>
      <c r="M50" s="46"/>
      <c r="N50" s="46"/>
      <c r="O50" s="46"/>
      <c r="P50" s="46"/>
      <c r="Q50" s="46"/>
      <c r="R50" s="46"/>
      <c r="S50" s="46"/>
      <c r="T50" s="46"/>
      <c r="U50" s="46"/>
      <c r="V50" s="46"/>
      <c r="W50" s="46"/>
      <c r="X50" s="46"/>
      <c r="Y50" s="57"/>
      <c r="Z50" s="46"/>
    </row>
    <row r="51" spans="1:26">
      <c r="A51" s="46"/>
      <c r="B51" s="46"/>
      <c r="C51" s="46"/>
      <c r="D51" s="46"/>
      <c r="E51" s="46"/>
      <c r="F51" s="46"/>
      <c r="G51" s="46"/>
      <c r="H51" s="46"/>
      <c r="I51" s="46"/>
      <c r="J51" s="46"/>
      <c r="K51" s="46"/>
      <c r="L51" s="46"/>
      <c r="M51" s="46"/>
      <c r="N51" s="46"/>
      <c r="O51" s="46"/>
      <c r="P51" s="46"/>
      <c r="Q51" s="46"/>
      <c r="R51" s="46"/>
      <c r="S51" s="46"/>
      <c r="T51" s="46"/>
      <c r="U51" s="46"/>
      <c r="V51" s="46"/>
      <c r="W51" s="46"/>
      <c r="X51" s="46"/>
      <c r="Y51" s="57"/>
      <c r="Z51" s="46"/>
    </row>
    <row r="52" spans="1:26">
      <c r="A52" s="46"/>
      <c r="B52" s="46"/>
      <c r="C52" s="46"/>
      <c r="D52" s="46"/>
      <c r="E52" s="46"/>
      <c r="F52" s="46"/>
      <c r="G52" s="46"/>
      <c r="H52" s="46"/>
      <c r="I52" s="46"/>
      <c r="J52" s="46"/>
      <c r="K52" s="46"/>
      <c r="L52" s="46"/>
      <c r="M52" s="46"/>
      <c r="N52" s="46"/>
      <c r="O52" s="46"/>
      <c r="P52" s="46"/>
      <c r="Q52" s="46"/>
      <c r="R52" s="46"/>
      <c r="S52" s="46"/>
      <c r="T52" s="46"/>
      <c r="U52" s="46"/>
      <c r="V52" s="46"/>
      <c r="W52" s="46"/>
      <c r="X52" s="46"/>
      <c r="Y52" s="57"/>
      <c r="Z52" s="46"/>
    </row>
    <row r="53" spans="1:26">
      <c r="A53" s="46"/>
      <c r="B53" s="46"/>
      <c r="C53" s="46"/>
      <c r="D53" s="46"/>
      <c r="E53" s="46"/>
      <c r="F53" s="46"/>
      <c r="G53" s="46"/>
      <c r="H53" s="46"/>
      <c r="I53" s="46"/>
      <c r="J53" s="46"/>
      <c r="K53" s="46"/>
      <c r="L53" s="46"/>
      <c r="M53" s="46"/>
      <c r="N53" s="46"/>
      <c r="O53" s="46"/>
      <c r="P53" s="46"/>
      <c r="Q53" s="46"/>
      <c r="R53" s="46"/>
      <c r="S53" s="46"/>
      <c r="T53" s="46"/>
      <c r="U53" s="46"/>
      <c r="V53" s="46"/>
      <c r="W53" s="46"/>
      <c r="X53" s="46"/>
      <c r="Y53" s="57"/>
      <c r="Z53" s="46"/>
    </row>
    <row r="54" spans="1:26">
      <c r="A54" s="46"/>
      <c r="B54" s="46"/>
      <c r="C54" s="46"/>
      <c r="D54" s="46"/>
      <c r="E54" s="46"/>
      <c r="F54" s="46"/>
      <c r="G54" s="46"/>
      <c r="H54" s="46"/>
      <c r="I54" s="46"/>
      <c r="J54" s="46"/>
      <c r="K54" s="46"/>
      <c r="L54" s="46"/>
      <c r="M54" s="46"/>
      <c r="N54" s="46"/>
      <c r="O54" s="46"/>
      <c r="P54" s="46"/>
      <c r="Q54" s="46"/>
      <c r="R54" s="46"/>
      <c r="S54" s="46"/>
      <c r="T54" s="46"/>
      <c r="U54" s="46"/>
      <c r="V54" s="46"/>
      <c r="W54" s="46"/>
      <c r="X54" s="46"/>
      <c r="Y54" s="57"/>
      <c r="Z54" s="46"/>
    </row>
    <row r="55" spans="1:26">
      <c r="A55" s="46"/>
      <c r="B55" s="46"/>
      <c r="C55" s="46"/>
      <c r="D55" s="46"/>
      <c r="E55" s="46"/>
      <c r="F55" s="46"/>
      <c r="G55" s="46"/>
      <c r="H55" s="46"/>
      <c r="I55" s="46"/>
      <c r="J55" s="46"/>
      <c r="K55" s="46"/>
      <c r="L55" s="46"/>
      <c r="M55" s="46"/>
      <c r="N55" s="46"/>
      <c r="O55" s="46"/>
      <c r="P55" s="46"/>
      <c r="Q55" s="46"/>
      <c r="R55" s="46"/>
      <c r="S55" s="46"/>
      <c r="T55" s="46"/>
      <c r="U55" s="46"/>
      <c r="V55" s="46"/>
      <c r="W55" s="46"/>
      <c r="X55" s="46"/>
      <c r="Y55" s="57"/>
      <c r="Z55" s="46"/>
    </row>
    <row r="56" spans="1:26">
      <c r="A56" s="46"/>
      <c r="B56" s="46"/>
      <c r="C56" s="46"/>
      <c r="D56" s="46"/>
      <c r="E56" s="46"/>
      <c r="F56" s="46"/>
      <c r="G56" s="46"/>
      <c r="H56" s="46"/>
      <c r="I56" s="46"/>
      <c r="J56" s="46"/>
      <c r="K56" s="46"/>
      <c r="L56" s="46"/>
      <c r="M56" s="46"/>
      <c r="N56" s="46"/>
      <c r="O56" s="46"/>
      <c r="P56" s="46"/>
      <c r="Q56" s="46"/>
      <c r="R56" s="46"/>
      <c r="S56" s="46"/>
      <c r="T56" s="46"/>
      <c r="U56" s="46"/>
      <c r="V56" s="46"/>
      <c r="W56" s="46"/>
      <c r="X56" s="46"/>
      <c r="Y56" s="57"/>
      <c r="Z56" s="46"/>
    </row>
    <row r="57" spans="1:26">
      <c r="A57" s="46"/>
      <c r="B57" s="46"/>
      <c r="C57" s="46"/>
      <c r="D57" s="46"/>
      <c r="E57" s="46"/>
      <c r="F57" s="46"/>
      <c r="G57" s="46"/>
      <c r="H57" s="46"/>
      <c r="I57" s="46"/>
      <c r="J57" s="46"/>
      <c r="K57" s="46"/>
      <c r="L57" s="46"/>
      <c r="M57" s="46"/>
      <c r="N57" s="46"/>
      <c r="O57" s="46"/>
      <c r="P57" s="46"/>
      <c r="Q57" s="46"/>
      <c r="R57" s="46"/>
      <c r="S57" s="46"/>
      <c r="T57" s="46"/>
      <c r="U57" s="46"/>
      <c r="V57" s="46"/>
      <c r="W57" s="46"/>
      <c r="X57" s="46"/>
      <c r="Y57" s="57"/>
      <c r="Z57" s="46"/>
    </row>
    <row r="58" spans="1:26">
      <c r="A58" s="46"/>
      <c r="B58" s="46"/>
      <c r="C58" s="46"/>
      <c r="D58" s="46"/>
      <c r="E58" s="46"/>
      <c r="F58" s="46"/>
      <c r="G58" s="46"/>
      <c r="H58" s="46"/>
      <c r="I58" s="46"/>
      <c r="J58" s="46"/>
      <c r="K58" s="46"/>
      <c r="L58" s="46"/>
      <c r="M58" s="46"/>
      <c r="N58" s="46"/>
      <c r="O58" s="46"/>
      <c r="P58" s="46"/>
      <c r="Q58" s="46"/>
      <c r="R58" s="46"/>
      <c r="S58" s="46"/>
      <c r="T58" s="46"/>
      <c r="U58" s="46"/>
      <c r="V58" s="46"/>
      <c r="W58" s="46"/>
      <c r="X58" s="46"/>
      <c r="Y58" s="57"/>
      <c r="Z58" s="46"/>
    </row>
    <row r="59" spans="1:26">
      <c r="A59" s="46"/>
      <c r="B59" s="46"/>
      <c r="C59" s="46"/>
      <c r="D59" s="46"/>
      <c r="E59" s="46"/>
      <c r="F59" s="46"/>
      <c r="G59" s="46"/>
      <c r="H59" s="46"/>
      <c r="I59" s="46"/>
      <c r="J59" s="46"/>
      <c r="K59" s="46"/>
      <c r="L59" s="46"/>
      <c r="M59" s="46"/>
      <c r="N59" s="46"/>
      <c r="O59" s="46"/>
      <c r="P59" s="46"/>
      <c r="Q59" s="46"/>
      <c r="R59" s="46"/>
      <c r="S59" s="46"/>
      <c r="T59" s="46"/>
      <c r="U59" s="46"/>
      <c r="V59" s="46"/>
      <c r="W59" s="46"/>
      <c r="X59" s="46"/>
      <c r="Y59" s="57"/>
      <c r="Z59" s="46"/>
    </row>
    <row r="60" spans="1:26">
      <c r="A60" s="46"/>
      <c r="B60" s="46"/>
      <c r="C60" s="46"/>
      <c r="D60" s="46"/>
      <c r="E60" s="46"/>
      <c r="F60" s="46"/>
      <c r="G60" s="46"/>
      <c r="H60" s="46"/>
      <c r="I60" s="46"/>
      <c r="J60" s="46"/>
      <c r="K60" s="46"/>
      <c r="L60" s="46"/>
      <c r="M60" s="46"/>
      <c r="N60" s="46"/>
      <c r="O60" s="46"/>
      <c r="P60" s="46"/>
      <c r="Q60" s="46"/>
      <c r="R60" s="46"/>
      <c r="S60" s="46"/>
      <c r="T60" s="46"/>
      <c r="U60" s="46"/>
      <c r="V60" s="46"/>
      <c r="W60" s="46"/>
      <c r="X60" s="46"/>
      <c r="Y60" s="57"/>
      <c r="Z60" s="46"/>
    </row>
    <row r="61" spans="1:26">
      <c r="A61" s="46"/>
      <c r="B61" s="46"/>
      <c r="C61" s="46"/>
      <c r="D61" s="46"/>
      <c r="E61" s="46"/>
      <c r="F61" s="46"/>
      <c r="G61" s="46"/>
      <c r="H61" s="46"/>
      <c r="I61" s="46"/>
      <c r="J61" s="46"/>
      <c r="K61" s="46"/>
      <c r="L61" s="46"/>
      <c r="M61" s="46"/>
      <c r="N61" s="46"/>
      <c r="O61" s="46"/>
      <c r="P61" s="46"/>
      <c r="Q61" s="46"/>
      <c r="R61" s="46"/>
      <c r="S61" s="46"/>
      <c r="T61" s="46"/>
      <c r="U61" s="46"/>
      <c r="V61" s="46"/>
      <c r="W61" s="46"/>
      <c r="X61" s="46"/>
      <c r="Y61" s="57"/>
      <c r="Z61" s="46"/>
    </row>
    <row r="62" spans="1:26">
      <c r="A62" s="46"/>
      <c r="B62" s="46"/>
      <c r="C62" s="46"/>
      <c r="D62" s="46"/>
      <c r="E62" s="46"/>
      <c r="F62" s="46"/>
      <c r="G62" s="46"/>
      <c r="H62" s="46"/>
      <c r="I62" s="46"/>
      <c r="J62" s="46"/>
      <c r="K62" s="46"/>
      <c r="L62" s="46"/>
      <c r="M62" s="46"/>
      <c r="N62" s="46"/>
      <c r="O62" s="46"/>
      <c r="P62" s="46"/>
      <c r="Q62" s="46"/>
      <c r="R62" s="46"/>
      <c r="S62" s="46"/>
      <c r="T62" s="46"/>
      <c r="U62" s="46"/>
      <c r="V62" s="46"/>
      <c r="W62" s="46"/>
      <c r="X62" s="46"/>
      <c r="Y62" s="57"/>
      <c r="Z62" s="46"/>
    </row>
    <row r="63" spans="1:26">
      <c r="A63" s="46"/>
      <c r="B63" s="46"/>
      <c r="C63" s="46"/>
      <c r="D63" s="46"/>
      <c r="E63" s="46"/>
      <c r="F63" s="46"/>
      <c r="G63" s="46"/>
      <c r="H63" s="46"/>
      <c r="I63" s="46"/>
      <c r="J63" s="46"/>
      <c r="K63" s="46"/>
      <c r="L63" s="46"/>
      <c r="M63" s="46"/>
      <c r="N63" s="46"/>
      <c r="O63" s="46"/>
      <c r="P63" s="46"/>
      <c r="Q63" s="46"/>
      <c r="R63" s="46"/>
      <c r="S63" s="46"/>
      <c r="T63" s="46"/>
      <c r="U63" s="46"/>
      <c r="V63" s="46"/>
      <c r="W63" s="46"/>
      <c r="X63" s="46"/>
      <c r="Y63" s="57"/>
      <c r="Z63" s="46"/>
    </row>
    <row r="64" spans="1:26">
      <c r="A64" s="46"/>
      <c r="B64" s="46"/>
      <c r="C64" s="46"/>
      <c r="D64" s="46"/>
      <c r="E64" s="46"/>
      <c r="F64" s="46"/>
      <c r="G64" s="46"/>
      <c r="H64" s="46"/>
      <c r="I64" s="46"/>
      <c r="J64" s="46"/>
      <c r="K64" s="46"/>
      <c r="L64" s="46"/>
      <c r="M64" s="46"/>
      <c r="N64" s="46"/>
      <c r="O64" s="46"/>
      <c r="P64" s="46"/>
      <c r="Q64" s="46"/>
      <c r="R64" s="46"/>
      <c r="S64" s="46"/>
      <c r="T64" s="46"/>
      <c r="U64" s="46"/>
      <c r="V64" s="46"/>
      <c r="W64" s="46"/>
      <c r="X64" s="46"/>
      <c r="Y64" s="57"/>
      <c r="Z64" s="46"/>
    </row>
    <row r="65" spans="1:26">
      <c r="A65" s="46"/>
      <c r="B65" s="46"/>
      <c r="C65" s="46"/>
      <c r="D65" s="46"/>
      <c r="E65" s="46"/>
      <c r="F65" s="46"/>
      <c r="G65" s="46"/>
      <c r="H65" s="46"/>
      <c r="I65" s="46"/>
      <c r="J65" s="46"/>
      <c r="K65" s="46"/>
      <c r="L65" s="46"/>
      <c r="M65" s="46"/>
      <c r="N65" s="46"/>
      <c r="O65" s="46"/>
      <c r="P65" s="46"/>
      <c r="Q65" s="46"/>
      <c r="R65" s="46"/>
      <c r="S65" s="46"/>
      <c r="T65" s="46"/>
      <c r="U65" s="46"/>
      <c r="V65" s="46"/>
      <c r="W65" s="46"/>
      <c r="X65" s="46"/>
      <c r="Y65" s="57"/>
      <c r="Z65" s="46"/>
    </row>
    <row r="66" spans="1:26">
      <c r="A66" s="46"/>
      <c r="B66" s="46"/>
      <c r="C66" s="46"/>
      <c r="D66" s="46"/>
      <c r="E66" s="46"/>
      <c r="F66" s="46"/>
      <c r="G66" s="46"/>
      <c r="H66" s="46"/>
      <c r="I66" s="46"/>
      <c r="J66" s="46"/>
      <c r="K66" s="46"/>
      <c r="L66" s="46"/>
      <c r="M66" s="46"/>
      <c r="N66" s="46"/>
      <c r="O66" s="46"/>
      <c r="P66" s="46"/>
      <c r="Q66" s="46"/>
      <c r="R66" s="46"/>
      <c r="S66" s="46"/>
      <c r="T66" s="46"/>
      <c r="U66" s="46"/>
      <c r="V66" s="46"/>
      <c r="W66" s="46"/>
      <c r="X66" s="46"/>
      <c r="Y66" s="57"/>
      <c r="Z66" s="46"/>
    </row>
    <row r="67" spans="1:26">
      <c r="A67" s="46"/>
      <c r="B67" s="46"/>
      <c r="C67" s="46"/>
      <c r="D67" s="46"/>
      <c r="E67" s="46"/>
      <c r="F67" s="46"/>
      <c r="G67" s="46"/>
      <c r="H67" s="46"/>
      <c r="I67" s="46"/>
      <c r="J67" s="46"/>
      <c r="K67" s="46"/>
      <c r="L67" s="46"/>
      <c r="M67" s="46"/>
      <c r="N67" s="46"/>
      <c r="O67" s="46"/>
      <c r="P67" s="46"/>
      <c r="Q67" s="46"/>
      <c r="R67" s="46"/>
      <c r="S67" s="46"/>
      <c r="T67" s="46"/>
      <c r="U67" s="46"/>
      <c r="V67" s="46"/>
      <c r="W67" s="46"/>
      <c r="X67" s="46"/>
      <c r="Y67" s="57"/>
      <c r="Z67" s="46"/>
    </row>
    <row r="68" spans="1:26">
      <c r="A68" s="46"/>
      <c r="B68" s="46"/>
      <c r="C68" s="46"/>
      <c r="D68" s="46"/>
      <c r="E68" s="46"/>
      <c r="F68" s="46"/>
      <c r="G68" s="46"/>
      <c r="H68" s="46"/>
      <c r="I68" s="46"/>
      <c r="J68" s="46"/>
      <c r="K68" s="46"/>
      <c r="L68" s="46"/>
      <c r="M68" s="46"/>
      <c r="N68" s="46"/>
      <c r="O68" s="46"/>
      <c r="P68" s="46"/>
      <c r="Q68" s="46"/>
      <c r="R68" s="46"/>
      <c r="S68" s="46"/>
      <c r="T68" s="46"/>
      <c r="U68" s="46"/>
      <c r="V68" s="46"/>
      <c r="W68" s="46"/>
      <c r="X68" s="46"/>
      <c r="Y68" s="57"/>
      <c r="Z68" s="46"/>
    </row>
    <row r="69" spans="1:26">
      <c r="A69" s="46"/>
      <c r="B69" s="46"/>
      <c r="C69" s="46"/>
      <c r="D69" s="46"/>
      <c r="E69" s="46"/>
      <c r="F69" s="46"/>
      <c r="G69" s="46"/>
      <c r="H69" s="46"/>
      <c r="I69" s="46"/>
      <c r="J69" s="46"/>
      <c r="K69" s="46"/>
      <c r="L69" s="46"/>
      <c r="M69" s="46"/>
      <c r="N69" s="46"/>
      <c r="O69" s="46"/>
      <c r="P69" s="46"/>
      <c r="Q69" s="46"/>
      <c r="R69" s="46"/>
      <c r="S69" s="46"/>
      <c r="T69" s="46"/>
      <c r="U69" s="46"/>
      <c r="V69" s="46"/>
      <c r="W69" s="46"/>
      <c r="X69" s="46"/>
      <c r="Y69" s="57"/>
      <c r="Z69" s="46"/>
    </row>
    <row r="70" spans="1:26">
      <c r="A70" s="46"/>
      <c r="B70" s="46"/>
      <c r="C70" s="46"/>
      <c r="D70" s="46"/>
      <c r="E70" s="46"/>
      <c r="F70" s="46"/>
      <c r="G70" s="46"/>
      <c r="H70" s="46"/>
      <c r="I70" s="46"/>
      <c r="J70" s="46"/>
      <c r="K70" s="46"/>
      <c r="L70" s="46"/>
      <c r="M70" s="46"/>
      <c r="N70" s="46"/>
      <c r="O70" s="46"/>
      <c r="P70" s="46"/>
      <c r="Q70" s="46"/>
      <c r="R70" s="46"/>
      <c r="S70" s="46"/>
      <c r="T70" s="46"/>
      <c r="U70" s="46"/>
      <c r="V70" s="46"/>
      <c r="W70" s="46"/>
      <c r="X70" s="46"/>
      <c r="Y70" s="57"/>
      <c r="Z70" s="46"/>
    </row>
    <row r="71" spans="1:26">
      <c r="A71" s="46"/>
      <c r="B71" s="46"/>
      <c r="C71" s="46"/>
      <c r="D71" s="46"/>
      <c r="E71" s="46"/>
      <c r="F71" s="46"/>
      <c r="G71" s="46"/>
      <c r="H71" s="46"/>
      <c r="I71" s="46"/>
      <c r="J71" s="46"/>
      <c r="K71" s="46"/>
      <c r="L71" s="46"/>
      <c r="M71" s="46"/>
      <c r="N71" s="46"/>
      <c r="O71" s="46"/>
      <c r="P71" s="46"/>
      <c r="Q71" s="46"/>
      <c r="R71" s="46"/>
      <c r="S71" s="46"/>
      <c r="T71" s="46"/>
      <c r="U71" s="46"/>
      <c r="V71" s="46"/>
      <c r="W71" s="46"/>
      <c r="X71" s="46"/>
      <c r="Y71" s="57"/>
      <c r="Z71" s="46"/>
    </row>
    <row r="72" spans="1:26">
      <c r="A72" s="46"/>
      <c r="B72" s="46"/>
      <c r="C72" s="46"/>
      <c r="D72" s="46"/>
      <c r="E72" s="46"/>
      <c r="F72" s="46"/>
      <c r="G72" s="46"/>
      <c r="H72" s="46"/>
      <c r="I72" s="46"/>
      <c r="J72" s="46"/>
      <c r="K72" s="46"/>
      <c r="L72" s="46"/>
      <c r="M72" s="46"/>
      <c r="N72" s="46"/>
      <c r="O72" s="46"/>
      <c r="P72" s="46"/>
      <c r="Q72" s="46"/>
      <c r="R72" s="46"/>
      <c r="S72" s="46"/>
      <c r="T72" s="46"/>
      <c r="U72" s="46"/>
      <c r="V72" s="46"/>
      <c r="W72" s="46"/>
      <c r="X72" s="46"/>
      <c r="Y72" s="57"/>
      <c r="Z72" s="46"/>
    </row>
    <row r="73" spans="1:26">
      <c r="A73" s="46"/>
      <c r="B73" s="46"/>
      <c r="C73" s="46"/>
      <c r="D73" s="46"/>
      <c r="E73" s="46"/>
      <c r="F73" s="46"/>
      <c r="G73" s="46"/>
      <c r="H73" s="46"/>
      <c r="I73" s="46"/>
      <c r="J73" s="46"/>
      <c r="K73" s="46"/>
      <c r="L73" s="46"/>
      <c r="M73" s="46"/>
      <c r="N73" s="46"/>
      <c r="O73" s="46"/>
      <c r="P73" s="46"/>
      <c r="Q73" s="46"/>
      <c r="R73" s="46"/>
      <c r="S73" s="46"/>
      <c r="T73" s="46"/>
      <c r="U73" s="46"/>
      <c r="V73" s="46"/>
      <c r="W73" s="46"/>
      <c r="X73" s="46"/>
      <c r="Y73" s="57"/>
      <c r="Z73" s="46"/>
    </row>
    <row r="74" spans="1:26">
      <c r="A74" s="46"/>
      <c r="B74" s="46"/>
      <c r="C74" s="46"/>
      <c r="D74" s="46"/>
      <c r="E74" s="46"/>
      <c r="F74" s="46"/>
      <c r="G74" s="46"/>
      <c r="H74" s="46"/>
      <c r="I74" s="46"/>
      <c r="J74" s="46"/>
      <c r="K74" s="46"/>
      <c r="L74" s="46"/>
      <c r="M74" s="46"/>
      <c r="N74" s="46"/>
      <c r="O74" s="46"/>
      <c r="P74" s="46"/>
      <c r="Q74" s="46"/>
      <c r="R74" s="46"/>
      <c r="S74" s="46"/>
      <c r="T74" s="46"/>
      <c r="U74" s="46"/>
      <c r="V74" s="46"/>
      <c r="W74" s="46"/>
      <c r="X74" s="46"/>
      <c r="Y74" s="57"/>
      <c r="Z74" s="46"/>
    </row>
    <row r="75" spans="1:26">
      <c r="A75" s="46"/>
      <c r="B75" s="46"/>
      <c r="C75" s="46"/>
      <c r="D75" s="46"/>
      <c r="E75" s="46"/>
      <c r="F75" s="46"/>
      <c r="G75" s="46"/>
      <c r="H75" s="46"/>
      <c r="I75" s="46"/>
      <c r="J75" s="46"/>
      <c r="K75" s="46"/>
      <c r="L75" s="46"/>
      <c r="M75" s="46"/>
      <c r="N75" s="46"/>
      <c r="O75" s="46"/>
      <c r="P75" s="46"/>
      <c r="Q75" s="46"/>
      <c r="R75" s="46"/>
      <c r="S75" s="46"/>
      <c r="T75" s="46"/>
      <c r="U75" s="46"/>
      <c r="V75" s="46"/>
      <c r="W75" s="46"/>
      <c r="X75" s="46"/>
      <c r="Y75" s="57"/>
      <c r="Z75" s="46"/>
    </row>
    <row r="76" spans="1:26">
      <c r="A76" s="46"/>
      <c r="B76" s="46"/>
      <c r="C76" s="46"/>
      <c r="D76" s="46"/>
      <c r="E76" s="46"/>
      <c r="F76" s="46"/>
      <c r="G76" s="46"/>
      <c r="H76" s="46"/>
      <c r="I76" s="46"/>
      <c r="J76" s="46"/>
      <c r="K76" s="46"/>
      <c r="L76" s="46"/>
      <c r="M76" s="46"/>
      <c r="N76" s="46"/>
      <c r="O76" s="46"/>
      <c r="P76" s="46"/>
      <c r="Q76" s="46"/>
      <c r="R76" s="46"/>
      <c r="S76" s="46"/>
      <c r="T76" s="46"/>
      <c r="U76" s="46"/>
      <c r="V76" s="46"/>
      <c r="W76" s="46"/>
      <c r="X76" s="46"/>
      <c r="Y76" s="57"/>
      <c r="Z76" s="46"/>
    </row>
    <row r="77" spans="1:26">
      <c r="A77" s="46"/>
      <c r="B77" s="46"/>
      <c r="C77" s="46"/>
      <c r="D77" s="46"/>
      <c r="E77" s="46"/>
      <c r="F77" s="46"/>
      <c r="G77" s="46"/>
      <c r="H77" s="46"/>
      <c r="I77" s="46"/>
      <c r="J77" s="46"/>
      <c r="K77" s="46"/>
      <c r="L77" s="46"/>
      <c r="M77" s="46"/>
      <c r="N77" s="46"/>
      <c r="O77" s="46"/>
      <c r="P77" s="46"/>
      <c r="Q77" s="46"/>
      <c r="R77" s="46"/>
      <c r="S77" s="46"/>
      <c r="T77" s="46"/>
      <c r="U77" s="46"/>
      <c r="V77" s="46"/>
      <c r="W77" s="46"/>
      <c r="X77" s="46"/>
      <c r="Y77" s="57"/>
      <c r="Z77" s="46"/>
    </row>
    <row r="78" spans="1:26">
      <c r="A78" s="46"/>
      <c r="B78" s="46"/>
      <c r="C78" s="46"/>
      <c r="D78" s="46"/>
      <c r="E78" s="46"/>
      <c r="F78" s="46"/>
      <c r="G78" s="46"/>
      <c r="H78" s="46"/>
      <c r="I78" s="46"/>
      <c r="J78" s="46"/>
      <c r="K78" s="46"/>
      <c r="L78" s="46"/>
      <c r="M78" s="46"/>
      <c r="N78" s="46"/>
      <c r="O78" s="46"/>
      <c r="P78" s="46"/>
      <c r="Q78" s="46"/>
      <c r="R78" s="46"/>
      <c r="S78" s="46"/>
      <c r="T78" s="46"/>
      <c r="U78" s="46"/>
      <c r="V78" s="46"/>
      <c r="W78" s="46"/>
      <c r="X78" s="46"/>
      <c r="Y78" s="57"/>
      <c r="Z78" s="46"/>
    </row>
    <row r="79" spans="1:26">
      <c r="A79" s="46"/>
      <c r="B79" s="46"/>
      <c r="C79" s="46"/>
      <c r="D79" s="46"/>
      <c r="E79" s="46"/>
      <c r="F79" s="46"/>
      <c r="G79" s="46"/>
      <c r="H79" s="46"/>
      <c r="I79" s="46"/>
      <c r="J79" s="46"/>
      <c r="K79" s="46"/>
      <c r="L79" s="46"/>
      <c r="M79" s="46"/>
      <c r="N79" s="46"/>
      <c r="O79" s="46"/>
      <c r="P79" s="46"/>
      <c r="Q79" s="46"/>
      <c r="R79" s="46"/>
      <c r="S79" s="46"/>
      <c r="T79" s="46"/>
      <c r="U79" s="46"/>
      <c r="V79" s="46"/>
      <c r="W79" s="46"/>
      <c r="X79" s="46"/>
      <c r="Y79" s="57"/>
      <c r="Z79" s="46"/>
    </row>
    <row r="80" spans="1:26">
      <c r="A80" s="46"/>
      <c r="B80" s="46"/>
      <c r="C80" s="46"/>
      <c r="D80" s="46"/>
      <c r="E80" s="46"/>
      <c r="F80" s="46"/>
      <c r="G80" s="46"/>
      <c r="H80" s="46"/>
      <c r="I80" s="46"/>
      <c r="J80" s="46"/>
      <c r="K80" s="46"/>
      <c r="L80" s="46"/>
      <c r="M80" s="46"/>
      <c r="N80" s="46"/>
      <c r="O80" s="46"/>
      <c r="P80" s="46"/>
      <c r="Q80" s="46"/>
      <c r="R80" s="46"/>
      <c r="S80" s="46"/>
      <c r="T80" s="46"/>
      <c r="U80" s="46"/>
      <c r="V80" s="46"/>
      <c r="W80" s="46"/>
      <c r="X80" s="46"/>
      <c r="Y80" s="57"/>
      <c r="Z80" s="46"/>
    </row>
    <row r="81" spans="1:26">
      <c r="A81" s="46"/>
      <c r="B81" s="46"/>
      <c r="C81" s="46"/>
      <c r="D81" s="46"/>
      <c r="E81" s="46"/>
      <c r="F81" s="46"/>
      <c r="G81" s="46"/>
      <c r="H81" s="46"/>
      <c r="I81" s="46"/>
      <c r="J81" s="46"/>
      <c r="K81" s="46"/>
      <c r="L81" s="46"/>
      <c r="M81" s="46"/>
      <c r="N81" s="46"/>
      <c r="O81" s="46"/>
      <c r="P81" s="46"/>
      <c r="Q81" s="46"/>
      <c r="R81" s="46"/>
      <c r="S81" s="46"/>
      <c r="T81" s="46"/>
      <c r="U81" s="46"/>
      <c r="V81" s="46"/>
      <c r="W81" s="46"/>
      <c r="X81" s="46"/>
      <c r="Y81" s="57"/>
      <c r="Z81" s="46"/>
    </row>
    <row r="82" spans="1:26">
      <c r="A82" s="46"/>
      <c r="B82" s="46"/>
      <c r="C82" s="46"/>
      <c r="D82" s="46"/>
      <c r="E82" s="46"/>
      <c r="F82" s="46"/>
      <c r="G82" s="46"/>
      <c r="H82" s="46"/>
      <c r="I82" s="46"/>
      <c r="J82" s="46"/>
      <c r="K82" s="46"/>
      <c r="L82" s="46"/>
      <c r="M82" s="46"/>
      <c r="N82" s="46"/>
      <c r="O82" s="46"/>
      <c r="P82" s="46"/>
      <c r="Q82" s="46"/>
      <c r="R82" s="46"/>
      <c r="S82" s="46"/>
      <c r="T82" s="46"/>
      <c r="U82" s="46"/>
      <c r="V82" s="46"/>
      <c r="W82" s="46"/>
      <c r="X82" s="46"/>
      <c r="Y82" s="57"/>
      <c r="Z82" s="46"/>
    </row>
    <row r="83" spans="1:26">
      <c r="A83" s="46"/>
      <c r="B83" s="46"/>
      <c r="C83" s="46"/>
      <c r="D83" s="46"/>
      <c r="E83" s="46"/>
      <c r="F83" s="46"/>
      <c r="G83" s="46"/>
      <c r="H83" s="46"/>
      <c r="I83" s="46"/>
      <c r="J83" s="46"/>
      <c r="K83" s="46"/>
      <c r="L83" s="46"/>
      <c r="M83" s="46"/>
      <c r="N83" s="46"/>
      <c r="O83" s="46"/>
      <c r="P83" s="46"/>
      <c r="Q83" s="46"/>
      <c r="R83" s="46"/>
      <c r="S83" s="46"/>
      <c r="T83" s="46"/>
      <c r="U83" s="46"/>
      <c r="V83" s="46"/>
      <c r="W83" s="46"/>
      <c r="X83" s="46"/>
      <c r="Y83" s="57"/>
      <c r="Z83" s="46"/>
    </row>
    <row r="84" spans="1:26">
      <c r="A84" s="46"/>
      <c r="B84" s="46"/>
      <c r="C84" s="46"/>
      <c r="D84" s="46"/>
      <c r="E84" s="46"/>
      <c r="F84" s="46"/>
      <c r="G84" s="46"/>
      <c r="H84" s="46"/>
      <c r="I84" s="46"/>
      <c r="J84" s="46"/>
      <c r="K84" s="46"/>
      <c r="L84" s="46"/>
      <c r="M84" s="46"/>
      <c r="N84" s="46"/>
      <c r="O84" s="46"/>
      <c r="P84" s="46"/>
      <c r="Q84" s="46"/>
      <c r="R84" s="46"/>
      <c r="S84" s="46"/>
      <c r="T84" s="46"/>
      <c r="U84" s="46"/>
      <c r="V84" s="46"/>
      <c r="W84" s="46"/>
      <c r="X84" s="46"/>
      <c r="Y84" s="57"/>
      <c r="Z84" s="46"/>
    </row>
    <row r="85" spans="1:26">
      <c r="A85" s="46"/>
      <c r="B85" s="46"/>
      <c r="C85" s="46"/>
      <c r="D85" s="46"/>
      <c r="E85" s="46"/>
      <c r="F85" s="46"/>
      <c r="G85" s="46"/>
      <c r="H85" s="46"/>
      <c r="I85" s="46"/>
      <c r="J85" s="46"/>
      <c r="K85" s="46"/>
      <c r="L85" s="46"/>
      <c r="M85" s="46"/>
      <c r="N85" s="46"/>
      <c r="O85" s="46"/>
      <c r="P85" s="46"/>
      <c r="Q85" s="46"/>
      <c r="R85" s="46"/>
      <c r="S85" s="46"/>
      <c r="T85" s="46"/>
      <c r="U85" s="46"/>
      <c r="V85" s="46"/>
      <c r="W85" s="46"/>
      <c r="X85" s="46"/>
      <c r="Y85" s="57"/>
      <c r="Z85" s="46"/>
    </row>
    <row r="86" spans="1:26">
      <c r="A86" s="46"/>
      <c r="B86" s="46"/>
      <c r="C86" s="46"/>
      <c r="D86" s="46"/>
      <c r="E86" s="46"/>
      <c r="F86" s="46"/>
      <c r="G86" s="46"/>
      <c r="H86" s="46"/>
      <c r="I86" s="46"/>
      <c r="J86" s="46"/>
      <c r="K86" s="46"/>
      <c r="L86" s="46"/>
      <c r="M86" s="46"/>
      <c r="N86" s="46"/>
      <c r="O86" s="46"/>
      <c r="P86" s="46"/>
      <c r="Q86" s="46"/>
      <c r="R86" s="46"/>
      <c r="S86" s="46"/>
      <c r="T86" s="46"/>
      <c r="U86" s="46"/>
      <c r="V86" s="46"/>
      <c r="W86" s="46"/>
      <c r="X86" s="46"/>
      <c r="Y86" s="57"/>
      <c r="Z86" s="46"/>
    </row>
    <row r="87" spans="1:26">
      <c r="A87" s="46"/>
      <c r="B87" s="46"/>
      <c r="C87" s="46"/>
      <c r="D87" s="46"/>
      <c r="E87" s="46"/>
      <c r="F87" s="46"/>
      <c r="G87" s="46"/>
      <c r="H87" s="46"/>
      <c r="I87" s="46"/>
      <c r="J87" s="46"/>
      <c r="K87" s="46"/>
      <c r="L87" s="46"/>
      <c r="M87" s="46"/>
      <c r="N87" s="46"/>
      <c r="O87" s="46"/>
      <c r="P87" s="46"/>
      <c r="Q87" s="46"/>
      <c r="R87" s="46"/>
      <c r="S87" s="46"/>
      <c r="T87" s="46"/>
      <c r="U87" s="46"/>
      <c r="V87" s="46"/>
      <c r="W87" s="46"/>
      <c r="X87" s="46"/>
      <c r="Y87" s="57"/>
      <c r="Z87" s="46"/>
    </row>
    <row r="88" spans="1:26">
      <c r="A88" s="46"/>
      <c r="B88" s="46"/>
      <c r="C88" s="46"/>
      <c r="D88" s="46"/>
      <c r="E88" s="46"/>
      <c r="F88" s="46"/>
      <c r="G88" s="46"/>
      <c r="H88" s="46"/>
      <c r="I88" s="46"/>
      <c r="J88" s="46"/>
      <c r="K88" s="46"/>
      <c r="L88" s="46"/>
      <c r="M88" s="46"/>
      <c r="N88" s="46"/>
      <c r="O88" s="46"/>
      <c r="P88" s="46"/>
      <c r="Q88" s="46"/>
      <c r="R88" s="46"/>
      <c r="S88" s="46"/>
      <c r="T88" s="46"/>
      <c r="U88" s="46"/>
      <c r="V88" s="46"/>
      <c r="W88" s="46"/>
      <c r="X88" s="46"/>
      <c r="Y88" s="57"/>
      <c r="Z88" s="46"/>
    </row>
    <row r="89" spans="1:26">
      <c r="A89" s="46"/>
      <c r="B89" s="46"/>
      <c r="C89" s="46"/>
      <c r="D89" s="46"/>
      <c r="E89" s="46"/>
      <c r="F89" s="46"/>
      <c r="G89" s="46"/>
      <c r="H89" s="46"/>
      <c r="I89" s="46"/>
      <c r="J89" s="46"/>
      <c r="K89" s="46"/>
      <c r="L89" s="46"/>
      <c r="M89" s="46"/>
      <c r="N89" s="46"/>
      <c r="O89" s="46"/>
      <c r="P89" s="46"/>
      <c r="Q89" s="46"/>
      <c r="R89" s="46"/>
      <c r="S89" s="46"/>
      <c r="T89" s="46"/>
      <c r="U89" s="46"/>
      <c r="V89" s="46"/>
      <c r="W89" s="46"/>
      <c r="X89" s="46"/>
      <c r="Y89" s="57"/>
      <c r="Z89" s="46"/>
    </row>
    <row r="90" spans="1:26">
      <c r="A90" s="46"/>
      <c r="B90" s="46"/>
      <c r="C90" s="46"/>
      <c r="D90" s="46"/>
      <c r="E90" s="46"/>
      <c r="F90" s="46"/>
      <c r="G90" s="46"/>
      <c r="H90" s="46"/>
      <c r="I90" s="46"/>
      <c r="J90" s="46"/>
      <c r="K90" s="46"/>
      <c r="L90" s="46"/>
      <c r="M90" s="46"/>
      <c r="N90" s="46"/>
      <c r="O90" s="46"/>
      <c r="P90" s="46"/>
      <c r="Q90" s="46"/>
      <c r="R90" s="46"/>
      <c r="S90" s="46"/>
      <c r="T90" s="46"/>
      <c r="U90" s="46"/>
      <c r="V90" s="46"/>
      <c r="W90" s="46"/>
      <c r="X90" s="46"/>
      <c r="Y90" s="57"/>
      <c r="Z90" s="46"/>
    </row>
    <row r="91" spans="1:26">
      <c r="A91" s="46"/>
      <c r="B91" s="46"/>
      <c r="C91" s="46"/>
      <c r="D91" s="46"/>
      <c r="E91" s="46"/>
      <c r="F91" s="46"/>
      <c r="G91" s="46"/>
      <c r="H91" s="46"/>
      <c r="I91" s="46"/>
      <c r="J91" s="46"/>
      <c r="K91" s="46"/>
      <c r="L91" s="46"/>
      <c r="M91" s="46"/>
      <c r="N91" s="46"/>
      <c r="O91" s="46"/>
      <c r="P91" s="46"/>
      <c r="Q91" s="46"/>
      <c r="R91" s="46"/>
      <c r="S91" s="46"/>
      <c r="T91" s="46"/>
      <c r="U91" s="46"/>
      <c r="V91" s="46"/>
      <c r="W91" s="46"/>
      <c r="X91" s="46"/>
      <c r="Y91" s="57"/>
      <c r="Z91" s="46"/>
    </row>
    <row r="92" spans="1:26">
      <c r="A92" s="46"/>
      <c r="B92" s="46"/>
      <c r="C92" s="46"/>
      <c r="D92" s="46"/>
      <c r="E92" s="46"/>
      <c r="F92" s="46"/>
      <c r="G92" s="46"/>
      <c r="H92" s="46"/>
      <c r="I92" s="46"/>
      <c r="J92" s="46"/>
      <c r="K92" s="46"/>
      <c r="L92" s="46"/>
      <c r="M92" s="46"/>
      <c r="N92" s="46"/>
      <c r="O92" s="46"/>
      <c r="P92" s="46"/>
      <c r="Q92" s="46"/>
      <c r="R92" s="46"/>
      <c r="S92" s="46"/>
      <c r="T92" s="46"/>
      <c r="U92" s="46"/>
      <c r="V92" s="46"/>
      <c r="W92" s="46"/>
      <c r="X92" s="46"/>
      <c r="Y92" s="57"/>
      <c r="Z92" s="46"/>
    </row>
    <row r="93" spans="1:26">
      <c r="A93" s="46"/>
      <c r="B93" s="46"/>
      <c r="C93" s="46"/>
      <c r="D93" s="46"/>
      <c r="E93" s="46"/>
      <c r="F93" s="46"/>
      <c r="G93" s="46"/>
      <c r="H93" s="46"/>
      <c r="I93" s="46"/>
      <c r="J93" s="46"/>
      <c r="K93" s="46"/>
      <c r="L93" s="46"/>
      <c r="M93" s="46"/>
      <c r="N93" s="46"/>
      <c r="O93" s="46"/>
      <c r="P93" s="46"/>
      <c r="Q93" s="46"/>
      <c r="R93" s="46"/>
      <c r="S93" s="46"/>
      <c r="T93" s="46"/>
      <c r="U93" s="46"/>
      <c r="V93" s="46"/>
      <c r="W93" s="46"/>
      <c r="X93" s="46"/>
      <c r="Y93" s="57"/>
      <c r="Z93" s="46"/>
    </row>
    <row r="94" spans="1:26">
      <c r="A94" s="46"/>
      <c r="B94" s="46"/>
      <c r="C94" s="46"/>
      <c r="D94" s="46"/>
      <c r="E94" s="46"/>
      <c r="F94" s="46"/>
      <c r="G94" s="46"/>
      <c r="H94" s="46"/>
      <c r="I94" s="46"/>
      <c r="J94" s="46"/>
      <c r="K94" s="46"/>
      <c r="L94" s="46"/>
      <c r="M94" s="46"/>
      <c r="N94" s="46"/>
      <c r="O94" s="46"/>
      <c r="P94" s="46"/>
      <c r="Q94" s="46"/>
      <c r="R94" s="46"/>
      <c r="S94" s="46"/>
      <c r="T94" s="46"/>
      <c r="U94" s="46"/>
      <c r="V94" s="46"/>
      <c r="W94" s="46"/>
      <c r="X94" s="46"/>
      <c r="Y94" s="57"/>
      <c r="Z94" s="46"/>
    </row>
    <row r="95" spans="1:26">
      <c r="A95" s="46"/>
      <c r="B95" s="46"/>
      <c r="C95" s="46"/>
      <c r="D95" s="46"/>
      <c r="E95" s="46"/>
      <c r="F95" s="46"/>
      <c r="G95" s="46"/>
      <c r="H95" s="46"/>
      <c r="I95" s="46"/>
      <c r="J95" s="46"/>
      <c r="K95" s="46"/>
      <c r="L95" s="46"/>
      <c r="M95" s="46"/>
      <c r="N95" s="46"/>
      <c r="O95" s="46"/>
      <c r="P95" s="46"/>
      <c r="Q95" s="46"/>
      <c r="R95" s="46"/>
      <c r="S95" s="46"/>
      <c r="T95" s="46"/>
      <c r="U95" s="46"/>
      <c r="V95" s="46"/>
      <c r="W95" s="46"/>
      <c r="X95" s="46"/>
      <c r="Y95" s="57"/>
      <c r="Z95" s="46"/>
    </row>
    <row r="96" spans="1:26">
      <c r="A96" s="46"/>
      <c r="B96" s="46"/>
      <c r="C96" s="46"/>
      <c r="D96" s="46"/>
      <c r="E96" s="46"/>
      <c r="F96" s="46"/>
      <c r="G96" s="46"/>
      <c r="H96" s="46"/>
      <c r="I96" s="46"/>
      <c r="J96" s="46"/>
      <c r="K96" s="46"/>
      <c r="L96" s="46"/>
      <c r="M96" s="46"/>
      <c r="N96" s="46"/>
      <c r="O96" s="46"/>
      <c r="P96" s="46"/>
      <c r="Q96" s="46"/>
      <c r="R96" s="46"/>
      <c r="S96" s="46"/>
      <c r="T96" s="46"/>
      <c r="U96" s="46"/>
      <c r="V96" s="46"/>
      <c r="W96" s="46"/>
      <c r="X96" s="46"/>
      <c r="Y96" s="57"/>
      <c r="Z96" s="46"/>
    </row>
    <row r="97" spans="1:26">
      <c r="A97" s="46"/>
      <c r="B97" s="46"/>
      <c r="C97" s="46"/>
      <c r="D97" s="46"/>
      <c r="E97" s="46"/>
      <c r="F97" s="46"/>
      <c r="G97" s="46"/>
      <c r="H97" s="46"/>
      <c r="I97" s="46"/>
      <c r="J97" s="46"/>
      <c r="K97" s="46"/>
      <c r="L97" s="46"/>
      <c r="M97" s="46"/>
      <c r="N97" s="46"/>
      <c r="O97" s="46"/>
      <c r="P97" s="46"/>
      <c r="Q97" s="46"/>
      <c r="R97" s="46"/>
      <c r="S97" s="46"/>
      <c r="T97" s="46"/>
      <c r="U97" s="46"/>
      <c r="V97" s="46"/>
      <c r="W97" s="46"/>
      <c r="X97" s="46"/>
      <c r="Y97" s="57"/>
      <c r="Z97" s="46"/>
    </row>
    <row r="98" spans="1:26">
      <c r="A98" s="46"/>
      <c r="B98" s="46"/>
      <c r="C98" s="46"/>
      <c r="D98" s="46"/>
      <c r="E98" s="46"/>
      <c r="F98" s="46"/>
      <c r="G98" s="46"/>
      <c r="H98" s="46"/>
      <c r="I98" s="46"/>
      <c r="J98" s="46"/>
      <c r="K98" s="46"/>
      <c r="L98" s="46"/>
      <c r="M98" s="46"/>
      <c r="N98" s="46"/>
      <c r="O98" s="46"/>
      <c r="P98" s="46"/>
      <c r="Q98" s="46"/>
      <c r="R98" s="46"/>
      <c r="S98" s="46"/>
      <c r="T98" s="46"/>
      <c r="U98" s="46"/>
      <c r="V98" s="46"/>
      <c r="W98" s="46"/>
      <c r="X98" s="46"/>
      <c r="Y98" s="57"/>
      <c r="Z98" s="46"/>
    </row>
    <row r="99" spans="1:26">
      <c r="A99" s="46"/>
      <c r="B99" s="46"/>
      <c r="C99" s="46"/>
      <c r="D99" s="46"/>
      <c r="E99" s="46"/>
      <c r="F99" s="46"/>
      <c r="G99" s="46"/>
      <c r="H99" s="46"/>
      <c r="I99" s="46"/>
      <c r="J99" s="46"/>
      <c r="K99" s="46"/>
      <c r="L99" s="46"/>
      <c r="M99" s="46"/>
      <c r="N99" s="46"/>
      <c r="O99" s="46"/>
      <c r="P99" s="46"/>
      <c r="Q99" s="46"/>
      <c r="R99" s="46"/>
      <c r="S99" s="46"/>
      <c r="T99" s="46"/>
      <c r="U99" s="46"/>
      <c r="V99" s="46"/>
      <c r="W99" s="46"/>
      <c r="X99" s="46"/>
      <c r="Y99" s="57"/>
      <c r="Z99" s="46"/>
    </row>
    <row r="100" spans="1:26">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57"/>
      <c r="Z100" s="46"/>
    </row>
    <row r="101" spans="1:26">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57"/>
      <c r="Z101" s="46"/>
    </row>
    <row r="102" spans="1:26">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57"/>
      <c r="Z102" s="46"/>
    </row>
    <row r="103" spans="1:26">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57"/>
      <c r="Z103" s="46"/>
    </row>
    <row r="104" spans="1:26">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57"/>
      <c r="Z104" s="46"/>
    </row>
    <row r="105" spans="1:26">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57"/>
      <c r="Z105" s="46"/>
    </row>
    <row r="106" spans="1:26">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57"/>
      <c r="Z106" s="46"/>
    </row>
    <row r="107" spans="1:26">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57"/>
      <c r="Z107" s="46"/>
    </row>
    <row r="108" spans="1:26">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57"/>
      <c r="Z108" s="46"/>
    </row>
    <row r="109" spans="1:26">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57"/>
      <c r="Z109" s="46"/>
    </row>
    <row r="110" spans="1:26">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57"/>
      <c r="Z110" s="46"/>
    </row>
    <row r="111" spans="1:26">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57"/>
      <c r="Z111" s="46"/>
    </row>
    <row r="112" spans="1:26">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57"/>
      <c r="Z112" s="46"/>
    </row>
    <row r="113" spans="1:26">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57"/>
      <c r="Z113" s="46"/>
    </row>
    <row r="114" spans="1:26">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57"/>
      <c r="Z114" s="46"/>
    </row>
    <row r="115" spans="1:26">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57"/>
      <c r="Z115" s="46"/>
    </row>
    <row r="116" spans="1:26">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57"/>
      <c r="Z116" s="46"/>
    </row>
    <row r="117" spans="1:26">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57"/>
      <c r="Z117" s="46"/>
    </row>
    <row r="118" spans="1:26">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57"/>
      <c r="Z118" s="46"/>
    </row>
    <row r="119" spans="1:26">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57"/>
      <c r="Z119" s="46"/>
    </row>
    <row r="120" spans="1:26">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57"/>
      <c r="Z120" s="46"/>
    </row>
    <row r="121" spans="1:26">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57"/>
      <c r="Z121" s="46"/>
    </row>
    <row r="122" spans="1:26">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57"/>
      <c r="Z122" s="46"/>
    </row>
    <row r="123" spans="1:26">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57"/>
      <c r="Z123" s="46"/>
    </row>
    <row r="124" spans="1:26">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57"/>
      <c r="Z124" s="46"/>
    </row>
    <row r="125" spans="1:26">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57"/>
      <c r="Z125" s="46"/>
    </row>
    <row r="126" spans="1:26">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57"/>
      <c r="Z126" s="46"/>
    </row>
    <row r="127" spans="1:26">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57"/>
      <c r="Z127" s="46"/>
    </row>
    <row r="128" spans="1:26">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57"/>
      <c r="Z128" s="46"/>
    </row>
    <row r="129" spans="1:26">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57"/>
      <c r="Z129" s="46"/>
    </row>
    <row r="130" spans="1:26">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57"/>
      <c r="Z130" s="46"/>
    </row>
    <row r="131" spans="1:26">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57"/>
      <c r="Z131" s="46"/>
    </row>
    <row r="132" spans="1:26">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57"/>
      <c r="Z132" s="46"/>
    </row>
    <row r="133" spans="1:26">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57"/>
      <c r="Z133" s="46"/>
    </row>
    <row r="134" spans="1:26">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57"/>
      <c r="Z134" s="46"/>
    </row>
    <row r="135" spans="1:26">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57"/>
      <c r="Z135" s="46"/>
    </row>
    <row r="136" spans="1:26">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57"/>
      <c r="Z136" s="46"/>
    </row>
    <row r="137" spans="1:26">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57"/>
      <c r="Z137" s="46"/>
    </row>
    <row r="138" spans="1:26">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57"/>
      <c r="Z138" s="46"/>
    </row>
    <row r="139" spans="1:26">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57"/>
      <c r="Z139" s="46"/>
    </row>
    <row r="140" spans="1:26">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57"/>
      <c r="Z140" s="46"/>
    </row>
    <row r="141" spans="1:26">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57"/>
      <c r="Z141" s="46"/>
    </row>
    <row r="142" spans="1:26">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57"/>
      <c r="Z142" s="46"/>
    </row>
    <row r="143" spans="1:26">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57"/>
      <c r="Z143" s="46"/>
    </row>
    <row r="144" spans="1:26">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57"/>
      <c r="Z144" s="46"/>
    </row>
    <row r="145" spans="1:26">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57"/>
      <c r="Z145" s="46"/>
    </row>
    <row r="146" spans="1:26">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57"/>
      <c r="Z146" s="46"/>
    </row>
    <row r="147" spans="1:26">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57"/>
      <c r="Z147" s="46"/>
    </row>
    <row r="148" spans="1:26">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57"/>
      <c r="Z148" s="46"/>
    </row>
    <row r="149" spans="1:26">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57"/>
      <c r="Z149" s="46"/>
    </row>
    <row r="150" spans="1:26">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57"/>
      <c r="Z150" s="46"/>
    </row>
    <row r="151" spans="1:26">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57"/>
      <c r="Z151" s="46"/>
    </row>
    <row r="152" spans="1:26">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57"/>
      <c r="Z152" s="46"/>
    </row>
    <row r="153" spans="1:26">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57"/>
      <c r="Z153" s="46"/>
    </row>
    <row r="154" spans="1:26">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57"/>
      <c r="Z154" s="46"/>
    </row>
    <row r="155" spans="1:26">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57"/>
      <c r="Z155" s="46"/>
    </row>
    <row r="156" spans="1:26">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57"/>
      <c r="Z156" s="46"/>
    </row>
    <row r="157" spans="1:26">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57"/>
      <c r="Z157" s="46"/>
    </row>
    <row r="158" spans="1:26">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57"/>
      <c r="Z158" s="46"/>
    </row>
    <row r="159" spans="1:26">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57"/>
      <c r="Z159" s="46"/>
    </row>
    <row r="160" spans="1:26">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57"/>
      <c r="Z160" s="46"/>
    </row>
    <row r="161" spans="1:26">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57"/>
      <c r="Z161" s="46"/>
    </row>
    <row r="162" spans="1:26">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57"/>
      <c r="Z162" s="46"/>
    </row>
    <row r="163" spans="1:26">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57"/>
      <c r="Z163" s="46"/>
    </row>
    <row r="164" spans="1:26">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57"/>
      <c r="Z164" s="46"/>
    </row>
    <row r="165" spans="1:26">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57"/>
      <c r="Z165" s="46"/>
    </row>
    <row r="166" spans="1:26">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57"/>
      <c r="Z166" s="46"/>
    </row>
    <row r="167" spans="1:26">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57"/>
      <c r="Z167" s="46"/>
    </row>
    <row r="168" spans="1:26">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57"/>
      <c r="Z168" s="46"/>
    </row>
    <row r="169" spans="1:26">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57"/>
      <c r="Z169" s="46"/>
    </row>
    <row r="170" spans="1:26">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57"/>
      <c r="Z170" s="46"/>
    </row>
    <row r="171" spans="1:26">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57"/>
      <c r="Z171" s="46"/>
    </row>
    <row r="172" spans="1:26">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57"/>
      <c r="Z172" s="46"/>
    </row>
    <row r="173" spans="1:26">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57"/>
      <c r="Z173" s="46"/>
    </row>
    <row r="174" spans="1:26">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57"/>
      <c r="Z174" s="46"/>
    </row>
    <row r="175" spans="1:26">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57"/>
      <c r="Z175" s="46"/>
    </row>
    <row r="176" spans="1:26">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57"/>
      <c r="Z176" s="46"/>
    </row>
    <row r="177" spans="1:26">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57"/>
      <c r="Z177" s="46"/>
    </row>
    <row r="178" spans="1:26">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57"/>
      <c r="Z178" s="46"/>
    </row>
    <row r="179" spans="1:26">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57"/>
      <c r="Z179" s="46"/>
    </row>
    <row r="180" spans="1:26">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57"/>
      <c r="Z180" s="46"/>
    </row>
    <row r="181" spans="1:26">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57"/>
      <c r="Z181" s="46"/>
    </row>
    <row r="182" spans="1:26">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57"/>
      <c r="Z182" s="46"/>
    </row>
    <row r="183" spans="1:26">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57"/>
      <c r="Z183" s="46"/>
    </row>
    <row r="184" spans="1:26">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57"/>
      <c r="Z184" s="46"/>
    </row>
    <row r="185" spans="1:26">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57"/>
      <c r="Z185" s="46"/>
    </row>
    <row r="186" spans="1:26">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57"/>
      <c r="Z186" s="46"/>
    </row>
    <row r="187" spans="1:26">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57"/>
      <c r="Z187" s="46"/>
    </row>
    <row r="188" spans="1:26">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57"/>
      <c r="Z188" s="46"/>
    </row>
    <row r="189" spans="1:26">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57"/>
      <c r="Z189" s="46"/>
    </row>
    <row r="190" spans="1:26">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57"/>
      <c r="Z190" s="46"/>
    </row>
    <row r="191" spans="1:26">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57"/>
      <c r="Z191" s="46"/>
    </row>
    <row r="192" spans="1:26">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57"/>
      <c r="Z192" s="46"/>
    </row>
    <row r="193" spans="1:26">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57"/>
      <c r="Z193" s="46"/>
    </row>
    <row r="194" spans="1:26">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57"/>
      <c r="Z194" s="46"/>
    </row>
    <row r="195" spans="1:26">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57"/>
      <c r="Z195" s="46"/>
    </row>
    <row r="196" spans="1:26">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57"/>
      <c r="Z196" s="46"/>
    </row>
    <row r="197" spans="1:26">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57"/>
      <c r="Z197" s="46"/>
    </row>
    <row r="198" spans="1:26">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57"/>
      <c r="Z198" s="46"/>
    </row>
    <row r="199" spans="1:26">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57"/>
      <c r="Z199" s="46"/>
    </row>
    <row r="200" spans="1:26">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57"/>
      <c r="Z200" s="46"/>
    </row>
    <row r="201" spans="1:26">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57"/>
      <c r="Z201" s="46"/>
    </row>
    <row r="202" spans="1:26">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57"/>
      <c r="Z202" s="46"/>
    </row>
    <row r="203" spans="1:26">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57"/>
      <c r="Z203" s="46"/>
    </row>
    <row r="204" spans="1:26">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57"/>
      <c r="Z204" s="46"/>
    </row>
    <row r="205" spans="1:26">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57"/>
      <c r="Z205" s="46"/>
    </row>
    <row r="206" spans="1:26">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57"/>
      <c r="Z206" s="46"/>
    </row>
    <row r="207" spans="1:26">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57"/>
      <c r="Z207" s="46"/>
    </row>
    <row r="208" spans="1:26">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57"/>
      <c r="Z208" s="46"/>
    </row>
    <row r="209" spans="1:26">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57"/>
      <c r="Z209" s="46"/>
    </row>
    <row r="210" spans="1:26">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57"/>
      <c r="Z210" s="46"/>
    </row>
    <row r="211" spans="1:26">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57"/>
      <c r="Z211" s="46"/>
    </row>
    <row r="212" spans="1:26">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57"/>
      <c r="Z212" s="46"/>
    </row>
    <row r="213" spans="1:26">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57"/>
      <c r="Z213" s="46"/>
    </row>
    <row r="214" spans="1:26">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57"/>
      <c r="Z214" s="46"/>
    </row>
    <row r="215" spans="1:26">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57"/>
      <c r="Z215" s="46"/>
    </row>
    <row r="216" spans="1:26">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57"/>
      <c r="Z216" s="46"/>
    </row>
    <row r="217" spans="1:26">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57"/>
      <c r="Z217" s="46"/>
    </row>
    <row r="218" spans="1:26">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57"/>
      <c r="Z218" s="46"/>
    </row>
    <row r="219" spans="1:26">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57"/>
      <c r="Z219" s="46"/>
    </row>
    <row r="220" spans="1:26">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57"/>
      <c r="Z220" s="46"/>
    </row>
    <row r="221" spans="1:26">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57"/>
      <c r="Z221" s="46"/>
    </row>
    <row r="222" spans="1:26">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57"/>
      <c r="Z222" s="46"/>
    </row>
    <row r="223" spans="1:26">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57"/>
      <c r="Z223" s="46"/>
    </row>
    <row r="224" spans="1:26">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57"/>
      <c r="Z224" s="46"/>
    </row>
    <row r="225" spans="1:26">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57"/>
      <c r="Z225" s="46"/>
    </row>
    <row r="226" spans="1:26">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57"/>
      <c r="Z226" s="46"/>
    </row>
    <row r="227" spans="1:26">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57"/>
      <c r="Z227" s="46"/>
    </row>
    <row r="228" spans="1:26">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57"/>
      <c r="Z228" s="46"/>
    </row>
    <row r="229" spans="1:26">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57"/>
      <c r="Z229" s="46"/>
    </row>
    <row r="230" spans="1:26">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57"/>
      <c r="Z230" s="46"/>
    </row>
    <row r="231" spans="1:26">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57"/>
      <c r="Z231" s="46"/>
    </row>
    <row r="232" spans="1:26">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57"/>
      <c r="Z232" s="46"/>
    </row>
    <row r="233" spans="1:26">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57"/>
      <c r="Z233" s="46"/>
    </row>
    <row r="234" spans="1:26">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57"/>
      <c r="Z234" s="46"/>
    </row>
    <row r="235" spans="1:26">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57"/>
      <c r="Z235" s="46"/>
    </row>
    <row r="236" spans="1:26">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57"/>
      <c r="Z236" s="46"/>
    </row>
    <row r="237" spans="1:26">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57"/>
      <c r="Z237" s="46"/>
    </row>
    <row r="238" spans="1:26">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57"/>
      <c r="Z238" s="46"/>
    </row>
    <row r="239" spans="1:26">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57"/>
      <c r="Z239" s="46"/>
    </row>
    <row r="240" spans="1:26">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57"/>
      <c r="Z240" s="46"/>
    </row>
    <row r="241" spans="1:26">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57"/>
      <c r="Z241" s="46"/>
    </row>
    <row r="242" spans="1:26">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57"/>
      <c r="Z242" s="46"/>
    </row>
    <row r="243" spans="1:26">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57"/>
      <c r="Z243" s="46"/>
    </row>
    <row r="244" spans="1:26">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57"/>
      <c r="Z244" s="46"/>
    </row>
    <row r="245" spans="1:26">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57"/>
      <c r="Z245" s="46"/>
    </row>
    <row r="246" spans="1:26">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57"/>
      <c r="Z246" s="46"/>
    </row>
    <row r="247" spans="1:26">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57"/>
      <c r="Z247" s="46"/>
    </row>
    <row r="248" spans="1:26">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57"/>
      <c r="Z248" s="46"/>
    </row>
    <row r="249" spans="1:26">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57"/>
      <c r="Z249" s="46"/>
    </row>
    <row r="250" spans="1:26">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57"/>
      <c r="Z250" s="46"/>
    </row>
    <row r="251" spans="1:26">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57"/>
      <c r="Z251" s="46"/>
    </row>
    <row r="252" spans="1:26">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57"/>
      <c r="Z252" s="46"/>
    </row>
    <row r="253" spans="1:26">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57"/>
      <c r="Z253" s="46"/>
    </row>
    <row r="254" spans="1:26">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57"/>
      <c r="Z254" s="46"/>
    </row>
    <row r="255" spans="1:26">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57"/>
      <c r="Z255" s="46"/>
    </row>
    <row r="256" spans="1:26">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57"/>
      <c r="Z256" s="46"/>
    </row>
    <row r="257" spans="1:26">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57"/>
      <c r="Z257" s="46"/>
    </row>
    <row r="258" spans="1:26">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57"/>
      <c r="Z258" s="46"/>
    </row>
    <row r="259" spans="1:26">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57"/>
      <c r="Z259" s="46"/>
    </row>
    <row r="260" spans="1:26">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57"/>
      <c r="Z260" s="46"/>
    </row>
    <row r="261" spans="1:26">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57"/>
      <c r="Z261" s="46"/>
    </row>
    <row r="262" spans="1:26">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57"/>
      <c r="Z262" s="46"/>
    </row>
    <row r="263" spans="1:26">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57"/>
      <c r="Z263" s="46"/>
    </row>
    <row r="264" spans="1:26">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57"/>
      <c r="Z264" s="46"/>
    </row>
    <row r="265" spans="1:26">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57"/>
      <c r="Z265" s="46"/>
    </row>
    <row r="266" spans="1:26">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57"/>
      <c r="Z266" s="46"/>
    </row>
    <row r="267" spans="1:26">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57"/>
      <c r="Z267" s="46"/>
    </row>
    <row r="268" spans="1:26">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57"/>
      <c r="Z268" s="46"/>
    </row>
    <row r="269" spans="1:26">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57"/>
      <c r="Z269" s="46"/>
    </row>
    <row r="270" spans="1:26">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57"/>
      <c r="Z270" s="46"/>
    </row>
    <row r="271" spans="1:26">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57"/>
      <c r="Z271" s="46"/>
    </row>
    <row r="272" spans="1:26">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57"/>
      <c r="Z272" s="46"/>
    </row>
    <row r="273" spans="1:26">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57"/>
      <c r="Z273" s="46"/>
    </row>
    <row r="274" spans="1:26">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57"/>
      <c r="Z274" s="46"/>
    </row>
    <row r="275" spans="1:26">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57"/>
      <c r="Z275" s="46"/>
    </row>
    <row r="276" spans="1:26">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57"/>
      <c r="Z276" s="46"/>
    </row>
    <row r="277" spans="1:26">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57"/>
      <c r="Z277" s="46"/>
    </row>
    <row r="278" spans="1:26">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57"/>
      <c r="Z278" s="46"/>
    </row>
    <row r="279" spans="1:26">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57"/>
      <c r="Z279" s="46"/>
    </row>
    <row r="280" spans="1:26">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57"/>
      <c r="Z280" s="46"/>
    </row>
    <row r="281" spans="1:26">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57"/>
      <c r="Z281" s="46"/>
    </row>
    <row r="282" spans="1:26">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57"/>
      <c r="Z282" s="46"/>
    </row>
    <row r="283" spans="1:26">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57"/>
      <c r="Z283" s="46"/>
    </row>
    <row r="284" spans="1:26">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57"/>
      <c r="Z284" s="46"/>
    </row>
    <row r="285" spans="1:26">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57"/>
      <c r="Z285" s="46"/>
    </row>
    <row r="286" spans="1:26">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57"/>
      <c r="Z286" s="46"/>
    </row>
    <row r="287" spans="1:26">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57"/>
      <c r="Z287" s="46"/>
    </row>
    <row r="288" spans="1:26">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57"/>
      <c r="Z288" s="46"/>
    </row>
    <row r="289" spans="1:26">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57"/>
      <c r="Z289" s="46"/>
    </row>
    <row r="290" spans="1:26">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57"/>
      <c r="Z290" s="46"/>
    </row>
    <row r="291" spans="1:26">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57"/>
      <c r="Z291" s="46"/>
    </row>
    <row r="292" spans="1:26">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57"/>
      <c r="Z292" s="46"/>
    </row>
    <row r="293" spans="1:26">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57"/>
      <c r="Z293" s="46"/>
    </row>
    <row r="294" spans="1:26">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57"/>
      <c r="Z294" s="46"/>
    </row>
    <row r="295" spans="1:26">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57"/>
      <c r="Z295" s="46"/>
    </row>
    <row r="296" spans="1:26">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57"/>
      <c r="Z296" s="46"/>
    </row>
    <row r="297" spans="1:26">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57"/>
      <c r="Z297" s="46"/>
    </row>
    <row r="298" spans="1:26">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57"/>
      <c r="Z298" s="46"/>
    </row>
    <row r="299" spans="1:26">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57"/>
      <c r="Z299" s="46"/>
    </row>
    <row r="300" spans="1:26">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57"/>
      <c r="Z300" s="46"/>
    </row>
    <row r="301" spans="1:26">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57"/>
      <c r="Z301" s="46"/>
    </row>
    <row r="302" spans="1:26">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57"/>
      <c r="Z302" s="46"/>
    </row>
    <row r="303" spans="1:26">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57"/>
      <c r="Z303" s="46"/>
    </row>
    <row r="304" spans="1:26">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57"/>
      <c r="Z304" s="46"/>
    </row>
    <row r="305" spans="1:26">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57"/>
      <c r="Z305" s="46"/>
    </row>
    <row r="306" spans="1:26">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57"/>
      <c r="Z306" s="46"/>
    </row>
    <row r="307" spans="1:26">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57"/>
      <c r="Z307" s="46"/>
    </row>
    <row r="308" spans="1:26">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57"/>
      <c r="Z308" s="46"/>
    </row>
    <row r="309" spans="1:26">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57"/>
      <c r="Z309" s="46"/>
    </row>
    <row r="310" spans="1:26">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57"/>
      <c r="Z310" s="46"/>
    </row>
    <row r="311" spans="1:26">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57"/>
      <c r="Z311" s="46"/>
    </row>
    <row r="312" spans="1:26">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57"/>
      <c r="Z312" s="46"/>
    </row>
    <row r="313" spans="1:26">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57"/>
      <c r="Z313" s="46"/>
    </row>
    <row r="314" spans="1:26">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57"/>
      <c r="Z314" s="46"/>
    </row>
    <row r="315" spans="1:26">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57"/>
      <c r="Z315" s="46"/>
    </row>
    <row r="316" spans="1:26">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57"/>
      <c r="Z316" s="46"/>
    </row>
    <row r="317" spans="1:26">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57"/>
      <c r="Z317" s="46"/>
    </row>
    <row r="318" spans="1:26">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57"/>
      <c r="Z318" s="46"/>
    </row>
    <row r="319" spans="1:26">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57"/>
      <c r="Z319" s="46"/>
    </row>
    <row r="320" spans="1:26">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57"/>
      <c r="Z320" s="46"/>
    </row>
    <row r="321" spans="1:26">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57"/>
      <c r="Z321" s="46"/>
    </row>
    <row r="322" spans="1:26">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57"/>
      <c r="Z322" s="46"/>
    </row>
    <row r="323" spans="1:26">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57"/>
      <c r="Z323" s="46"/>
    </row>
    <row r="324" spans="1:26">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57"/>
      <c r="Z324" s="46"/>
    </row>
    <row r="325" spans="1:26">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57"/>
      <c r="Z325" s="46"/>
    </row>
    <row r="326" spans="1:26">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57"/>
      <c r="Z326" s="46"/>
    </row>
    <row r="327" spans="1:26">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57"/>
      <c r="Z327" s="46"/>
    </row>
    <row r="328" spans="1:26">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57"/>
      <c r="Z328" s="46"/>
    </row>
    <row r="329" spans="1:26">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57"/>
      <c r="Z329" s="46"/>
    </row>
    <row r="330" spans="1:26">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57"/>
      <c r="Z330" s="46"/>
    </row>
    <row r="331" spans="1:26">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57"/>
      <c r="Z331" s="46"/>
    </row>
    <row r="332" spans="1:26">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57"/>
      <c r="Z332" s="46"/>
    </row>
    <row r="333" spans="1:26">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57"/>
      <c r="Z333" s="46"/>
    </row>
    <row r="334" spans="1:26">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57"/>
      <c r="Z334" s="46"/>
    </row>
    <row r="335" spans="1:26">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57"/>
      <c r="Z335" s="46"/>
    </row>
    <row r="336" spans="1:26">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57"/>
      <c r="Z336" s="46"/>
    </row>
    <row r="337" spans="1:26">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57"/>
      <c r="Z337" s="46"/>
    </row>
    <row r="338" spans="1:26">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57"/>
      <c r="Z338" s="46"/>
    </row>
    <row r="339" spans="1:26">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57"/>
      <c r="Z339" s="46"/>
    </row>
    <row r="340" spans="1:26">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57"/>
      <c r="Z340" s="46"/>
    </row>
    <row r="341" spans="1:26">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57"/>
      <c r="Z341" s="46"/>
    </row>
    <row r="342" spans="1:26">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57"/>
      <c r="Z342" s="46"/>
    </row>
    <row r="343" spans="1:26">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57"/>
      <c r="Z343" s="46"/>
    </row>
    <row r="344" spans="1:26">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57"/>
      <c r="Z344" s="46"/>
    </row>
    <row r="345" spans="1:26">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57"/>
      <c r="Z345" s="46"/>
    </row>
    <row r="346" spans="1:26">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57"/>
      <c r="Z346" s="46"/>
    </row>
    <row r="347" spans="1:26">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57"/>
      <c r="Z347" s="46"/>
    </row>
    <row r="348" spans="1:26">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57"/>
      <c r="Z348" s="46"/>
    </row>
    <row r="349" spans="1:26">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57"/>
      <c r="Z349" s="46"/>
    </row>
    <row r="350" spans="1:26">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57"/>
      <c r="Z350" s="46"/>
    </row>
    <row r="351" spans="1:26">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57"/>
      <c r="Z351" s="46"/>
    </row>
    <row r="352" spans="1:26">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57"/>
      <c r="Z352" s="46"/>
    </row>
    <row r="353" spans="1:26">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57"/>
      <c r="Z353" s="46"/>
    </row>
    <row r="354" spans="1:26">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57"/>
      <c r="Z354" s="46"/>
    </row>
    <row r="355" spans="1:26">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57"/>
      <c r="Z355" s="46"/>
    </row>
    <row r="356" spans="1:26">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57"/>
      <c r="Z356" s="46"/>
    </row>
    <row r="357" spans="1:26">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57"/>
      <c r="Z357" s="46"/>
    </row>
    <row r="358" spans="1:26">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57"/>
      <c r="Z358" s="46"/>
    </row>
    <row r="359" spans="1:26">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57"/>
      <c r="Z359" s="46"/>
    </row>
    <row r="360" spans="1:26">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57"/>
      <c r="Z360" s="46"/>
    </row>
    <row r="361" spans="1:26">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57"/>
      <c r="Z361" s="46"/>
    </row>
    <row r="362" spans="1:26">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57"/>
      <c r="Z362" s="46"/>
    </row>
    <row r="363" spans="1:26">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57"/>
      <c r="Z363" s="46"/>
    </row>
    <row r="364" spans="1:26">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57"/>
      <c r="Z364" s="46"/>
    </row>
    <row r="365" spans="1:26">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57"/>
      <c r="Z365" s="46"/>
    </row>
    <row r="366" spans="1:26">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57"/>
      <c r="Z366" s="46"/>
    </row>
    <row r="367" spans="1:26">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57"/>
      <c r="Z367" s="46"/>
    </row>
    <row r="368" spans="1:26">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57"/>
      <c r="Z368" s="46"/>
    </row>
    <row r="369" spans="1:26">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57"/>
      <c r="Z369" s="46"/>
    </row>
    <row r="370" spans="1:26">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57"/>
      <c r="Z370" s="46"/>
    </row>
    <row r="371" spans="1:26">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57"/>
      <c r="Z371" s="46"/>
    </row>
    <row r="372" spans="1:26">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57"/>
      <c r="Z372" s="46"/>
    </row>
    <row r="373" spans="1:26">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57"/>
      <c r="Z373" s="46"/>
    </row>
    <row r="374" spans="1:26">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57"/>
      <c r="Z374" s="46"/>
    </row>
    <row r="375" spans="1:26">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57"/>
      <c r="Z375" s="46"/>
    </row>
    <row r="376" spans="1:26">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57"/>
      <c r="Z376" s="46"/>
    </row>
    <row r="377" spans="1:26">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57"/>
      <c r="Z377" s="46"/>
    </row>
    <row r="378" spans="1:26">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57"/>
      <c r="Z378" s="46"/>
    </row>
    <row r="379" spans="1:26">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57"/>
      <c r="Z379" s="46"/>
    </row>
    <row r="380" spans="1:26">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57"/>
      <c r="Z380" s="46"/>
    </row>
    <row r="381" spans="1:26">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57"/>
      <c r="Z381" s="46"/>
    </row>
    <row r="382" spans="1:26">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57"/>
      <c r="Z382" s="46"/>
    </row>
    <row r="383" spans="1:26">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57"/>
      <c r="Z383" s="46"/>
    </row>
    <row r="384" spans="1:26">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57"/>
      <c r="Z384" s="46"/>
    </row>
    <row r="385" spans="1:26">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57"/>
      <c r="Z385" s="46"/>
    </row>
    <row r="386" spans="1:26">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57"/>
      <c r="Z386" s="46"/>
    </row>
    <row r="387" spans="1:26">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57"/>
      <c r="Z387" s="46"/>
    </row>
    <row r="388" spans="1:26">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57"/>
      <c r="Z388" s="46"/>
    </row>
    <row r="389" spans="1:26">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57"/>
      <c r="Z389" s="46"/>
    </row>
    <row r="390" spans="1:26">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57"/>
      <c r="Z390" s="46"/>
    </row>
    <row r="391" spans="1:26">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57"/>
      <c r="Z391" s="46"/>
    </row>
    <row r="392" spans="1:26">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57"/>
      <c r="Z392" s="46"/>
    </row>
    <row r="393" spans="1:26">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57"/>
      <c r="Z393" s="46"/>
    </row>
    <row r="394" spans="1:26">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57"/>
      <c r="Z394" s="46"/>
    </row>
    <row r="395" spans="1:26">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57"/>
      <c r="Z395" s="46"/>
    </row>
    <row r="396" spans="1:26">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57"/>
      <c r="Z396" s="46"/>
    </row>
    <row r="397" spans="1:26">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57"/>
      <c r="Z397" s="46"/>
    </row>
    <row r="398" spans="1:26">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57"/>
      <c r="Z398" s="46"/>
    </row>
    <row r="399" spans="1:26">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57"/>
      <c r="Z399" s="46"/>
    </row>
    <row r="400" spans="1:26">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57"/>
      <c r="Z400" s="46"/>
    </row>
    <row r="401" spans="1:26">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57"/>
      <c r="Z401" s="46"/>
    </row>
    <row r="402" spans="1:26">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57"/>
      <c r="Z402" s="46"/>
    </row>
    <row r="403" spans="1:26">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57"/>
      <c r="Z403" s="46"/>
    </row>
    <row r="404" spans="1:26">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57"/>
      <c r="Z404" s="46"/>
    </row>
    <row r="405" spans="1:26">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57"/>
      <c r="Z405" s="46"/>
    </row>
    <row r="406" spans="1:26">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57"/>
      <c r="Z406" s="46"/>
    </row>
    <row r="407" spans="1:26">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57"/>
      <c r="Z407" s="46"/>
    </row>
    <row r="408" spans="1:26">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57"/>
      <c r="Z408" s="46"/>
    </row>
    <row r="409" spans="1:26">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57"/>
      <c r="Z409" s="46"/>
    </row>
    <row r="410" spans="1:26">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57"/>
      <c r="Z410" s="46"/>
    </row>
    <row r="411" spans="1:26">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57"/>
      <c r="Z411" s="46"/>
    </row>
    <row r="412" spans="1:26">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57"/>
      <c r="Z412" s="46"/>
    </row>
    <row r="413" spans="1:26">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57"/>
      <c r="Z413" s="46"/>
    </row>
    <row r="414" spans="1:26">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57"/>
      <c r="Z414" s="46"/>
    </row>
    <row r="415" spans="1:26">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57"/>
      <c r="Z415" s="46"/>
    </row>
    <row r="416" spans="1:26">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57"/>
      <c r="Z416" s="46"/>
    </row>
    <row r="417" spans="1:26">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57"/>
      <c r="Z417" s="46"/>
    </row>
    <row r="418" spans="1:26">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57"/>
      <c r="Z418" s="46"/>
    </row>
    <row r="419" spans="1:26">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57"/>
      <c r="Z419" s="46"/>
    </row>
    <row r="420" spans="1:26">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57"/>
      <c r="Z420" s="46"/>
    </row>
    <row r="421" spans="1:26">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57"/>
      <c r="Z421" s="46"/>
    </row>
    <row r="422" spans="1:26">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57"/>
      <c r="Z422" s="46"/>
    </row>
    <row r="423" spans="1:26">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57"/>
      <c r="Z423" s="46"/>
    </row>
    <row r="424" spans="1:26">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57"/>
      <c r="Z424" s="46"/>
    </row>
    <row r="425" spans="1:26">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57"/>
      <c r="Z425" s="46"/>
    </row>
    <row r="426" spans="1:26">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57"/>
      <c r="Z426" s="46"/>
    </row>
    <row r="427" spans="1:26">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57"/>
      <c r="Z427" s="46"/>
    </row>
    <row r="428" spans="1:26">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57"/>
      <c r="Z428" s="46"/>
    </row>
    <row r="429" spans="1:26">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57"/>
      <c r="Z429" s="46"/>
    </row>
    <row r="430" spans="1:26">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57"/>
      <c r="Z430" s="46"/>
    </row>
    <row r="431" spans="1:26">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57"/>
      <c r="Z431" s="46"/>
    </row>
    <row r="432" spans="1:26">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57"/>
      <c r="Z432" s="46"/>
    </row>
    <row r="433" spans="1:26">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57"/>
      <c r="Z433" s="46"/>
    </row>
    <row r="434" spans="1:26">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57"/>
      <c r="Z434" s="46"/>
    </row>
    <row r="435" spans="1:26">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57"/>
      <c r="Z435" s="46"/>
    </row>
    <row r="436" spans="1:26">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57"/>
      <c r="Z436" s="46"/>
    </row>
    <row r="437" spans="1:26">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57"/>
      <c r="Z437" s="46"/>
    </row>
    <row r="438" spans="1:26">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57"/>
      <c r="Z438" s="46"/>
    </row>
    <row r="439" spans="1:26">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57"/>
      <c r="Z439" s="46"/>
    </row>
    <row r="440" spans="1:26">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57"/>
      <c r="Z440" s="46"/>
    </row>
    <row r="441" spans="1:26">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57"/>
      <c r="Z441" s="46"/>
    </row>
    <row r="442" spans="1:26">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57"/>
      <c r="Z442" s="46"/>
    </row>
    <row r="443" spans="1:26">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57"/>
      <c r="Z443" s="46"/>
    </row>
    <row r="444" spans="1:26">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57"/>
      <c r="Z444" s="46"/>
    </row>
    <row r="445" spans="1:26">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57"/>
      <c r="Z445" s="46"/>
    </row>
    <row r="446" spans="1:26">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57"/>
      <c r="Z446" s="46"/>
    </row>
    <row r="447" spans="1:26">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57"/>
      <c r="Z447" s="46"/>
    </row>
    <row r="448" spans="1:26">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57"/>
      <c r="Z448" s="46"/>
    </row>
    <row r="449" spans="1:26">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57"/>
      <c r="Z449" s="46"/>
    </row>
    <row r="450" spans="1:26">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57"/>
      <c r="Z450" s="46"/>
    </row>
    <row r="451" spans="1:26">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57"/>
      <c r="Z451" s="46"/>
    </row>
    <row r="452" spans="1:26">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57"/>
      <c r="Z452" s="46"/>
    </row>
    <row r="453" spans="1:26">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57"/>
      <c r="Z453" s="46"/>
    </row>
    <row r="454" spans="1:26">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57"/>
      <c r="Z454" s="46"/>
    </row>
    <row r="455" spans="1:26">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57"/>
      <c r="Z455" s="46"/>
    </row>
    <row r="456" spans="1:26">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57"/>
      <c r="Z456" s="46"/>
    </row>
    <row r="457" spans="1:26">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57"/>
      <c r="Z457" s="46"/>
    </row>
    <row r="458" spans="1:26">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57"/>
      <c r="Z458" s="46"/>
    </row>
    <row r="459" spans="1:26">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57"/>
      <c r="Z459" s="46"/>
    </row>
    <row r="460" spans="1:26">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57"/>
      <c r="Z460" s="46"/>
    </row>
    <row r="461" spans="1:26">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57"/>
      <c r="Z461" s="46"/>
    </row>
    <row r="462" spans="1:26">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57"/>
      <c r="Z462" s="46"/>
    </row>
    <row r="463" spans="1:26">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57"/>
      <c r="Z463" s="46"/>
    </row>
    <row r="464" spans="1:26">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57"/>
      <c r="Z464" s="46"/>
    </row>
    <row r="465" spans="1:26">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57"/>
      <c r="Z465" s="46"/>
    </row>
    <row r="466" spans="1:26">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57"/>
      <c r="Z466" s="46"/>
    </row>
    <row r="467" spans="1:26">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57"/>
      <c r="Z467" s="46"/>
    </row>
    <row r="468" spans="1:26">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57"/>
      <c r="Z468" s="46"/>
    </row>
    <row r="469" spans="1:26">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57"/>
      <c r="Z469" s="46"/>
    </row>
    <row r="470" spans="1:26">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57"/>
      <c r="Z470" s="46"/>
    </row>
    <row r="471" spans="1:26">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57"/>
      <c r="Z471" s="46"/>
    </row>
    <row r="472" spans="1:26">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57"/>
      <c r="Z472" s="46"/>
    </row>
    <row r="473" spans="1:26">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57"/>
      <c r="Z473" s="46"/>
    </row>
    <row r="474" spans="1:26">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57"/>
      <c r="Z474" s="46"/>
    </row>
    <row r="475" spans="1:26">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57"/>
      <c r="Z475" s="46"/>
    </row>
    <row r="476" spans="1:26">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57"/>
      <c r="Z476" s="46"/>
    </row>
    <row r="477" spans="1:26">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57"/>
      <c r="Z477" s="46"/>
    </row>
    <row r="478" spans="1:26">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57"/>
      <c r="Z478" s="46"/>
    </row>
    <row r="479" spans="1:26">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57"/>
      <c r="Z479" s="46"/>
    </row>
    <row r="480" spans="1:26">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57"/>
      <c r="Z480" s="46"/>
    </row>
    <row r="481" spans="1:26">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57"/>
      <c r="Z481" s="46"/>
    </row>
    <row r="482" spans="1:26">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57"/>
      <c r="Z482" s="46"/>
    </row>
    <row r="483" spans="1:26">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57"/>
      <c r="Z483" s="46"/>
    </row>
    <row r="484" spans="1:26">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57"/>
      <c r="Z484" s="46"/>
    </row>
    <row r="485" spans="1:26">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57"/>
      <c r="Z485" s="46"/>
    </row>
    <row r="486" spans="1:26">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57"/>
      <c r="Z486" s="46"/>
    </row>
    <row r="487" spans="1:26">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57"/>
      <c r="Z487" s="46"/>
    </row>
    <row r="488" spans="1:26">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57"/>
      <c r="Z488" s="46"/>
    </row>
    <row r="489" spans="1:26">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57"/>
      <c r="Z489" s="46"/>
    </row>
    <row r="490" spans="1:26">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57"/>
      <c r="Z490" s="46"/>
    </row>
    <row r="491" spans="1:26">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57"/>
      <c r="Z491" s="46"/>
    </row>
    <row r="492" spans="1:26">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57"/>
      <c r="Z492" s="46"/>
    </row>
    <row r="493" spans="1:26">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57"/>
      <c r="Z493" s="46"/>
    </row>
    <row r="494" spans="1:26">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57"/>
      <c r="Z494" s="46"/>
    </row>
    <row r="495" spans="1:26">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57"/>
      <c r="Z495" s="46"/>
    </row>
    <row r="496" spans="1:26">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57"/>
      <c r="Z496" s="46"/>
    </row>
    <row r="497" spans="1:26">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57"/>
      <c r="Z497" s="46"/>
    </row>
    <row r="498" spans="1:26">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57"/>
      <c r="Z498" s="46"/>
    </row>
    <row r="499" spans="1:26">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57"/>
      <c r="Z499" s="46"/>
    </row>
    <row r="500" spans="1:26">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57"/>
      <c r="Z500" s="46"/>
    </row>
    <row r="501" spans="1:26">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57"/>
      <c r="Z501" s="46"/>
    </row>
    <row r="502" spans="1:26">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57"/>
      <c r="Z502" s="46"/>
    </row>
    <row r="503" spans="1:26">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57"/>
      <c r="Z503" s="46"/>
    </row>
    <row r="504" spans="1:26">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57"/>
      <c r="Z504" s="46"/>
    </row>
    <row r="505" spans="1:26">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57"/>
      <c r="Z505" s="46"/>
    </row>
    <row r="506" spans="1:26">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57"/>
      <c r="Z506" s="46"/>
    </row>
    <row r="507" spans="1:26">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57"/>
      <c r="Z507" s="46"/>
    </row>
    <row r="508" spans="1:26">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57"/>
      <c r="Z508" s="46"/>
    </row>
    <row r="509" spans="1:26">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57"/>
      <c r="Z509" s="46"/>
    </row>
    <row r="510" spans="1:26">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57"/>
      <c r="Z510" s="46"/>
    </row>
    <row r="511" spans="1:26">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57"/>
      <c r="Z511" s="46"/>
    </row>
    <row r="512" spans="1:26">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57"/>
      <c r="Z512" s="46"/>
    </row>
    <row r="513" spans="1:26">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57"/>
      <c r="Z513" s="46"/>
    </row>
    <row r="514" spans="1:26">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57"/>
      <c r="Z514" s="46"/>
    </row>
    <row r="515" spans="1:26">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57"/>
      <c r="Z515" s="46"/>
    </row>
    <row r="516" spans="1:26">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57"/>
      <c r="Z516" s="46"/>
    </row>
    <row r="517" spans="1:26">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57"/>
      <c r="Z517" s="46"/>
    </row>
    <row r="518" spans="1:26">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57"/>
      <c r="Z518" s="46"/>
    </row>
    <row r="519" spans="1:26">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57"/>
      <c r="Z519" s="46"/>
    </row>
    <row r="520" spans="1:26">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57"/>
      <c r="Z520" s="46"/>
    </row>
    <row r="521" spans="1:26">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57"/>
      <c r="Z521" s="46"/>
    </row>
    <row r="522" spans="1:26">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57"/>
      <c r="Z522" s="46"/>
    </row>
    <row r="523" spans="1:26">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57"/>
      <c r="Z523" s="46"/>
    </row>
    <row r="524" spans="1:26">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57"/>
      <c r="Z524" s="46"/>
    </row>
    <row r="525" spans="1:26">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57"/>
      <c r="Z525" s="46"/>
    </row>
    <row r="526" spans="1:26">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57"/>
      <c r="Z526" s="46"/>
    </row>
    <row r="527" spans="1:26">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57"/>
      <c r="Z527" s="46"/>
    </row>
    <row r="528" spans="1:26">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57"/>
      <c r="Z528" s="46"/>
    </row>
    <row r="529" spans="1:26">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57"/>
      <c r="Z529" s="46"/>
    </row>
    <row r="530" spans="1:26">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57"/>
      <c r="Z530" s="46"/>
    </row>
    <row r="531" spans="1:26">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57"/>
      <c r="Z531" s="46"/>
    </row>
    <row r="532" spans="1:26">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57"/>
      <c r="Z532" s="46"/>
    </row>
    <row r="533" spans="1:26">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57"/>
      <c r="Z533" s="46"/>
    </row>
    <row r="534" spans="1:26">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57"/>
      <c r="Z534" s="46"/>
    </row>
    <row r="535" spans="1:26">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57"/>
      <c r="Z535" s="46"/>
    </row>
    <row r="536" spans="1:26">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57"/>
      <c r="Z536" s="46"/>
    </row>
    <row r="537" spans="1:26">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57"/>
      <c r="Z537" s="46"/>
    </row>
    <row r="538" spans="1:26">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57"/>
      <c r="Z538" s="46"/>
    </row>
    <row r="539" spans="1:26">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57"/>
      <c r="Z539" s="46"/>
    </row>
    <row r="540" spans="1:26">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57"/>
      <c r="Z540" s="46"/>
    </row>
    <row r="541" spans="1:26">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57"/>
      <c r="Z541" s="46"/>
    </row>
    <row r="542" spans="1:26">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57"/>
      <c r="Z542" s="46"/>
    </row>
    <row r="543" spans="1:26">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57"/>
      <c r="Z543" s="46"/>
    </row>
    <row r="544" spans="1:26">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57"/>
      <c r="Z544" s="46"/>
    </row>
    <row r="545" spans="1:26">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57"/>
      <c r="Z545" s="46"/>
    </row>
    <row r="546" spans="1:26">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57"/>
      <c r="Z546" s="46"/>
    </row>
    <row r="547" spans="1:26">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57"/>
      <c r="Z547" s="46"/>
    </row>
    <row r="548" spans="1:26">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57"/>
      <c r="Z548" s="46"/>
    </row>
    <row r="549" spans="1:26">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57"/>
      <c r="Z549" s="46"/>
    </row>
    <row r="550" spans="1:26">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57"/>
      <c r="Z550" s="46"/>
    </row>
    <row r="551" spans="1:26">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57"/>
      <c r="Z551" s="46"/>
    </row>
    <row r="552" spans="1:26">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57"/>
      <c r="Z552" s="46"/>
    </row>
    <row r="553" spans="1:26">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57"/>
      <c r="Z553" s="46"/>
    </row>
    <row r="554" spans="1:26">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57"/>
      <c r="Z554" s="46"/>
    </row>
    <row r="555" spans="1:26">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57"/>
      <c r="Z555" s="46"/>
    </row>
    <row r="556" spans="1:26">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57"/>
      <c r="Z556" s="46"/>
    </row>
    <row r="557" spans="1:26">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57"/>
      <c r="Z557" s="46"/>
    </row>
    <row r="558" spans="1:26">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57"/>
      <c r="Z558" s="46"/>
    </row>
    <row r="559" spans="1:26">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57"/>
      <c r="Z559" s="46"/>
    </row>
    <row r="560" spans="1:26">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57"/>
      <c r="Z560" s="46"/>
    </row>
    <row r="561" spans="1:26">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57"/>
      <c r="Z561" s="46"/>
    </row>
    <row r="562" spans="1:26">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57"/>
      <c r="Z562" s="46"/>
    </row>
    <row r="563" spans="1:26">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57"/>
      <c r="Z563" s="46"/>
    </row>
    <row r="564" spans="1:26">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57"/>
      <c r="Z564" s="46"/>
    </row>
    <row r="565" spans="1:26">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57"/>
      <c r="Z565" s="46"/>
    </row>
    <row r="566" spans="1:26">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57"/>
      <c r="Z566" s="46"/>
    </row>
    <row r="567" spans="1:26">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57"/>
      <c r="Z567" s="46"/>
    </row>
    <row r="568" spans="1:26">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57"/>
      <c r="Z568" s="46"/>
    </row>
    <row r="569" spans="1:26">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57"/>
      <c r="Z569" s="46"/>
    </row>
    <row r="570" spans="1:26">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57"/>
      <c r="Z570" s="46"/>
    </row>
    <row r="571" spans="1:26">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57"/>
      <c r="Z571" s="46"/>
    </row>
    <row r="572" spans="1:26">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57"/>
      <c r="Z572" s="46"/>
    </row>
    <row r="573" spans="1:26">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57"/>
      <c r="Z573" s="46"/>
    </row>
    <row r="574" spans="1:26">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57"/>
      <c r="Z574" s="46"/>
    </row>
    <row r="575" spans="1:26">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57"/>
      <c r="Z575" s="46"/>
    </row>
    <row r="576" spans="1:26">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57"/>
      <c r="Z576" s="46"/>
    </row>
    <row r="577" spans="1:26">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57"/>
      <c r="Z577" s="46"/>
    </row>
    <row r="578" spans="1:26">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57"/>
      <c r="Z578" s="46"/>
    </row>
    <row r="579" spans="1:26">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57"/>
      <c r="Z579" s="46"/>
    </row>
    <row r="580" spans="1:26">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57"/>
      <c r="Z580" s="46"/>
    </row>
    <row r="581" spans="1:26">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57"/>
      <c r="Z581" s="46"/>
    </row>
    <row r="582" spans="1:26">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57"/>
      <c r="Z582" s="46"/>
    </row>
    <row r="583" spans="1:26">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57"/>
      <c r="Z583" s="46"/>
    </row>
    <row r="584" spans="1:26">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57"/>
      <c r="Z584" s="46"/>
    </row>
    <row r="585" spans="1:26">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57"/>
      <c r="Z585" s="46"/>
    </row>
    <row r="586" spans="1:26">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57"/>
      <c r="Z586" s="46"/>
    </row>
    <row r="587" spans="1:26">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57"/>
      <c r="Z587" s="46"/>
    </row>
    <row r="588" spans="1:26">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57"/>
      <c r="Z588" s="46"/>
    </row>
    <row r="589" spans="1:26">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57"/>
      <c r="Z589" s="46"/>
    </row>
    <row r="590" spans="1:26">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57"/>
      <c r="Z590" s="46"/>
    </row>
    <row r="591" spans="1:26">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57"/>
      <c r="Z591" s="46"/>
    </row>
    <row r="592" spans="1:26">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57"/>
      <c r="Z592" s="46"/>
    </row>
    <row r="593" spans="1:26">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57"/>
      <c r="Z593" s="46"/>
    </row>
    <row r="594" spans="1:26">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57"/>
      <c r="Z594" s="46"/>
    </row>
    <row r="595" spans="1:26">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57"/>
      <c r="Z595" s="46"/>
    </row>
    <row r="596" spans="1:26">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57"/>
      <c r="Z596" s="46"/>
    </row>
    <row r="597" spans="1:26">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57"/>
      <c r="Z597" s="46"/>
    </row>
    <row r="598" spans="1:26">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57"/>
      <c r="Z598" s="46"/>
    </row>
    <row r="599" spans="1:26">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57"/>
      <c r="Z599" s="46"/>
    </row>
    <row r="600" spans="1:26">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57"/>
      <c r="Z600" s="46"/>
    </row>
    <row r="601" spans="1:26">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57"/>
      <c r="Z601" s="46"/>
    </row>
    <row r="602" spans="1:26">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57"/>
      <c r="Z602" s="46"/>
    </row>
    <row r="603" spans="1:26">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57"/>
      <c r="Z603" s="46"/>
    </row>
    <row r="604" spans="1:26">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57"/>
      <c r="Z604" s="46"/>
    </row>
    <row r="605" spans="1:26">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57"/>
      <c r="Z605" s="46"/>
    </row>
    <row r="606" spans="1:26">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57"/>
      <c r="Z606" s="46"/>
    </row>
    <row r="607" spans="1:26">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57"/>
      <c r="Z607" s="46"/>
    </row>
    <row r="608" spans="1:26">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57"/>
      <c r="Z608" s="46"/>
    </row>
    <row r="609" spans="1:26">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57"/>
      <c r="Z609" s="46"/>
    </row>
    <row r="610" spans="1:26">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57"/>
      <c r="Z610" s="46"/>
    </row>
    <row r="611" spans="1:26">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57"/>
      <c r="Z611" s="46"/>
    </row>
    <row r="612" spans="1:26">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57"/>
      <c r="Z612" s="46"/>
    </row>
    <row r="613" spans="1:26">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57"/>
      <c r="Z613" s="46"/>
    </row>
    <row r="614" spans="1:26">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57"/>
      <c r="Z614" s="46"/>
    </row>
    <row r="615" spans="1:26">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57"/>
      <c r="Z615" s="46"/>
    </row>
    <row r="616" spans="1:26">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57"/>
      <c r="Z616" s="46"/>
    </row>
    <row r="617" spans="1:26">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57"/>
      <c r="Z617" s="46"/>
    </row>
    <row r="618" spans="1:26">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57"/>
      <c r="Z618" s="46"/>
    </row>
    <row r="619" spans="1:26">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57"/>
      <c r="Z619" s="46"/>
    </row>
    <row r="620" spans="1:26">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57"/>
      <c r="Z620" s="46"/>
    </row>
    <row r="621" spans="1:26">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57"/>
      <c r="Z621" s="46"/>
    </row>
    <row r="622" spans="1:26">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57"/>
      <c r="Z622" s="46"/>
    </row>
    <row r="623" spans="1:26">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57"/>
      <c r="Z623" s="46"/>
    </row>
    <row r="624" spans="1:26">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57"/>
      <c r="Z624" s="46"/>
    </row>
    <row r="625" spans="1:26">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57"/>
      <c r="Z625" s="46"/>
    </row>
    <row r="626" spans="1:26">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57"/>
      <c r="Z626" s="46"/>
    </row>
    <row r="627" spans="1:26">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57"/>
      <c r="Z627" s="46"/>
    </row>
    <row r="628" spans="1:26">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57"/>
      <c r="Z628" s="46"/>
    </row>
    <row r="629" spans="1:26">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57"/>
      <c r="Z629" s="46"/>
    </row>
    <row r="630" spans="1:26">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57"/>
      <c r="Z630" s="46"/>
    </row>
    <row r="631" spans="1:26">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57"/>
      <c r="Z631" s="46"/>
    </row>
    <row r="632" spans="1:26">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57"/>
      <c r="Z632" s="46"/>
    </row>
    <row r="633" spans="1:26">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57"/>
      <c r="Z633" s="46"/>
    </row>
    <row r="634" spans="1:26">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57"/>
      <c r="Z634" s="46"/>
    </row>
    <row r="635" spans="1:26">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57"/>
      <c r="Z635" s="46"/>
    </row>
    <row r="636" spans="1:26">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57"/>
      <c r="Z636" s="46"/>
    </row>
    <row r="637" spans="1:26">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57"/>
      <c r="Z637" s="46"/>
    </row>
    <row r="638" spans="1:26">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57"/>
      <c r="Z638" s="46"/>
    </row>
    <row r="639" spans="1:26">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57"/>
      <c r="Z639" s="46"/>
    </row>
    <row r="640" spans="1:26">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57"/>
      <c r="Z640" s="46"/>
    </row>
    <row r="641" spans="1:26">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57"/>
      <c r="Z641" s="46"/>
    </row>
    <row r="642" spans="1:26">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57"/>
      <c r="Z642" s="46"/>
    </row>
    <row r="643" spans="1:26">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57"/>
      <c r="Z643" s="46"/>
    </row>
    <row r="644" spans="1:26">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57"/>
      <c r="Z644" s="46"/>
    </row>
    <row r="645" spans="1:26">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57"/>
      <c r="Z645" s="46"/>
    </row>
    <row r="646" spans="1:26">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57"/>
      <c r="Z646" s="46"/>
    </row>
    <row r="647" spans="1:26">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57"/>
      <c r="Z647" s="46"/>
    </row>
    <row r="648" spans="1:26">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57"/>
      <c r="Z648" s="46"/>
    </row>
    <row r="649" spans="1:26">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57"/>
      <c r="Z649" s="46"/>
    </row>
    <row r="650" spans="1:26">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57"/>
      <c r="Z650" s="46"/>
    </row>
    <row r="651" spans="1:26">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57"/>
      <c r="Z651" s="46"/>
    </row>
    <row r="652" spans="1:26">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57"/>
      <c r="Z652" s="46"/>
    </row>
    <row r="653" spans="1:26">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57"/>
      <c r="Z653" s="46"/>
    </row>
    <row r="654" spans="1:26">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57"/>
      <c r="Z654" s="46"/>
    </row>
    <row r="655" spans="1:26">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57"/>
      <c r="Z655" s="46"/>
    </row>
    <row r="656" spans="1:26">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57"/>
      <c r="Z656" s="46"/>
    </row>
    <row r="657" spans="1:26">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57"/>
      <c r="Z657" s="46"/>
    </row>
    <row r="658" spans="1:26">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57"/>
      <c r="Z658" s="46"/>
    </row>
    <row r="659" spans="1:26">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57"/>
      <c r="Z659" s="46"/>
    </row>
    <row r="660" spans="1:26">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57"/>
      <c r="Z660" s="46"/>
    </row>
    <row r="661" spans="1:26">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57"/>
      <c r="Z661" s="46"/>
    </row>
    <row r="662" spans="1:26">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57"/>
      <c r="Z662" s="46"/>
    </row>
    <row r="663" spans="1:26">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57"/>
      <c r="Z663" s="46"/>
    </row>
    <row r="664" spans="1:26">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57"/>
      <c r="Z664" s="46"/>
    </row>
    <row r="665" spans="1:26">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57"/>
      <c r="Z665" s="46"/>
    </row>
    <row r="666" spans="1:26">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57"/>
      <c r="Z666" s="46"/>
    </row>
    <row r="667" spans="1:26">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57"/>
      <c r="Z667" s="46"/>
    </row>
    <row r="668" spans="1:26">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57"/>
      <c r="Z668" s="46"/>
    </row>
    <row r="669" spans="1:26">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57"/>
      <c r="Z669" s="46"/>
    </row>
    <row r="670" spans="1:26">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57"/>
      <c r="Z670" s="46"/>
    </row>
    <row r="671" spans="1:26">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57"/>
      <c r="Z671" s="46"/>
    </row>
    <row r="672" spans="1:26">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57"/>
      <c r="Z672" s="46"/>
    </row>
    <row r="673" spans="1:26">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57"/>
      <c r="Z673" s="46"/>
    </row>
    <row r="674" spans="1:26">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57"/>
      <c r="Z674" s="46"/>
    </row>
    <row r="675" spans="1:26">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57"/>
      <c r="Z675" s="46"/>
    </row>
    <row r="676" spans="1:26">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57"/>
      <c r="Z676" s="46"/>
    </row>
    <row r="677" spans="1:26">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57"/>
      <c r="Z677" s="46"/>
    </row>
    <row r="678" spans="1:26">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57"/>
      <c r="Z678" s="46"/>
    </row>
    <row r="679" spans="1:26">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57"/>
      <c r="Z679" s="46"/>
    </row>
    <row r="680" spans="1:26">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57"/>
      <c r="Z680" s="46"/>
    </row>
    <row r="681" spans="1:26">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57"/>
      <c r="Z681" s="46"/>
    </row>
    <row r="682" spans="1:26">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57"/>
      <c r="Z682" s="46"/>
    </row>
    <row r="683" spans="1:26">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57"/>
      <c r="Z683" s="46"/>
    </row>
    <row r="684" spans="1:26">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57"/>
      <c r="Z684" s="46"/>
    </row>
    <row r="685" spans="1:26">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57"/>
      <c r="Z685" s="46"/>
    </row>
    <row r="686" spans="1:26">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57"/>
      <c r="Z686" s="46"/>
    </row>
    <row r="687" spans="1:26">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57"/>
      <c r="Z687" s="46"/>
    </row>
    <row r="688" spans="1:26">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57"/>
      <c r="Z688" s="46"/>
    </row>
    <row r="689" spans="1:26">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57"/>
      <c r="Z689" s="46"/>
    </row>
    <row r="690" spans="1:26">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57"/>
      <c r="Z690" s="46"/>
    </row>
    <row r="691" spans="1:26">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57"/>
      <c r="Z691" s="46"/>
    </row>
    <row r="692" spans="1:26">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57"/>
      <c r="Z692" s="46"/>
    </row>
    <row r="693" spans="1:26">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57"/>
      <c r="Z693" s="46"/>
    </row>
    <row r="694" spans="1:26">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57"/>
      <c r="Z694" s="46"/>
    </row>
    <row r="695" spans="1:26">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57"/>
      <c r="Z695" s="46"/>
    </row>
    <row r="696" spans="1:26">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57"/>
      <c r="Z696" s="46"/>
    </row>
    <row r="697" spans="1:26">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57"/>
      <c r="Z697" s="46"/>
    </row>
    <row r="698" spans="1:26">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57"/>
      <c r="Z698" s="46"/>
    </row>
    <row r="699" spans="1:26">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57"/>
      <c r="Z699" s="46"/>
    </row>
    <row r="700" spans="1:26">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57"/>
      <c r="Z700" s="46"/>
    </row>
    <row r="701" spans="1:26">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57"/>
      <c r="Z701" s="46"/>
    </row>
    <row r="702" spans="1:26">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57"/>
      <c r="Z702" s="46"/>
    </row>
    <row r="703" spans="1:26">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57"/>
      <c r="Z703" s="46"/>
    </row>
    <row r="704" spans="1:26">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57"/>
      <c r="Z704" s="46"/>
    </row>
    <row r="705" spans="1:26">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57"/>
      <c r="Z705" s="46"/>
    </row>
    <row r="706" spans="1:26">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57"/>
      <c r="Z706" s="46"/>
    </row>
    <row r="707" spans="1:26">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57"/>
      <c r="Z707" s="46"/>
    </row>
    <row r="708" spans="1:26">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57"/>
      <c r="Z708" s="46"/>
    </row>
    <row r="709" spans="1:26">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57"/>
      <c r="Z709" s="46"/>
    </row>
    <row r="710" spans="1:26">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57"/>
      <c r="Z710" s="46"/>
    </row>
    <row r="711" spans="1:26">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57"/>
      <c r="Z711" s="46"/>
    </row>
    <row r="712" spans="1:26">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57"/>
      <c r="Z712" s="46"/>
    </row>
    <row r="713" spans="1:26">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57"/>
      <c r="Z713" s="46"/>
    </row>
    <row r="714" spans="1:26">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57"/>
      <c r="Z714" s="46"/>
    </row>
    <row r="715" spans="1:26">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57"/>
      <c r="Z715" s="46"/>
    </row>
    <row r="716" spans="1:26">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57"/>
      <c r="Z716" s="46"/>
    </row>
    <row r="717" spans="1:26">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57"/>
      <c r="Z717" s="46"/>
    </row>
    <row r="718" spans="1:26">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57"/>
      <c r="Z718" s="46"/>
    </row>
    <row r="719" spans="1:26">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57"/>
      <c r="Z719" s="46"/>
    </row>
    <row r="720" spans="1:26">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57"/>
      <c r="Z720" s="46"/>
    </row>
    <row r="721" spans="1:26">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57"/>
      <c r="Z721" s="46"/>
    </row>
    <row r="722" spans="1:26">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57"/>
      <c r="Z722" s="46"/>
    </row>
    <row r="723" spans="1:26">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57"/>
      <c r="Z723" s="46"/>
    </row>
    <row r="724" spans="1:26">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57"/>
      <c r="Z724" s="46"/>
    </row>
    <row r="725" spans="1:26">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57"/>
      <c r="Z725" s="46"/>
    </row>
    <row r="726" spans="1:26">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57"/>
      <c r="Z726" s="46"/>
    </row>
    <row r="727" spans="1:26">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57"/>
      <c r="Z727" s="46"/>
    </row>
    <row r="728" spans="1:26">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57"/>
      <c r="Z728" s="46"/>
    </row>
    <row r="729" spans="1:26">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57"/>
      <c r="Z729" s="46"/>
    </row>
    <row r="730" spans="1:26">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57"/>
      <c r="Z730" s="46"/>
    </row>
    <row r="731" spans="1:26">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57"/>
      <c r="Z731" s="46"/>
    </row>
    <row r="732" spans="1:26">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57"/>
      <c r="Z732" s="46"/>
    </row>
    <row r="733" spans="1:26">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57"/>
      <c r="Z733" s="46"/>
    </row>
    <row r="734" spans="1:26">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57"/>
      <c r="Z734" s="46"/>
    </row>
    <row r="735" spans="1:26">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57"/>
      <c r="Z735" s="46"/>
    </row>
    <row r="736" spans="1:26">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57"/>
      <c r="Z736" s="46"/>
    </row>
    <row r="737" spans="1:26">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57"/>
      <c r="Z737" s="46"/>
    </row>
    <row r="738" spans="1:26">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57"/>
      <c r="Z738" s="46"/>
    </row>
    <row r="739" spans="1:26">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57"/>
      <c r="Z739" s="46"/>
    </row>
    <row r="740" spans="1:26">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57"/>
      <c r="Z740" s="46"/>
    </row>
    <row r="741" spans="1:26">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57"/>
      <c r="Z741" s="46"/>
    </row>
    <row r="742" spans="1:26">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57"/>
      <c r="Z742" s="46"/>
    </row>
    <row r="743" spans="1:26">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57"/>
      <c r="Z743" s="46"/>
    </row>
    <row r="744" spans="1:26">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57"/>
      <c r="Z744" s="46"/>
    </row>
    <row r="745" spans="1:26">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57"/>
      <c r="Z745" s="46"/>
    </row>
    <row r="746" spans="1:26">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57"/>
      <c r="Z746" s="46"/>
    </row>
    <row r="747" spans="1:26">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57"/>
      <c r="Z747" s="46"/>
    </row>
    <row r="748" spans="1:26">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57"/>
      <c r="Z748" s="46"/>
    </row>
    <row r="749" spans="1:26">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57"/>
      <c r="Z749" s="46"/>
    </row>
    <row r="750" spans="1:26">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57"/>
      <c r="Z750" s="46"/>
    </row>
    <row r="751" spans="1:26">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57"/>
      <c r="Z751" s="46"/>
    </row>
    <row r="752" spans="1:26">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57"/>
      <c r="Z752" s="46"/>
    </row>
    <row r="753" spans="1:26">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57"/>
      <c r="Z753" s="46"/>
    </row>
    <row r="754" spans="1:26">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57"/>
      <c r="Z754" s="46"/>
    </row>
    <row r="755" spans="1:26">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57"/>
      <c r="Z755" s="46"/>
    </row>
    <row r="756" spans="1:26">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57"/>
      <c r="Z756" s="46"/>
    </row>
    <row r="757" spans="1:26">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57"/>
      <c r="Z757" s="46"/>
    </row>
    <row r="758" spans="1:26">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57"/>
      <c r="Z758" s="46"/>
    </row>
    <row r="759" spans="1:26">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57"/>
      <c r="Z759" s="46"/>
    </row>
    <row r="760" spans="1:26">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57"/>
      <c r="Z760" s="46"/>
    </row>
    <row r="761" spans="1:26">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57"/>
      <c r="Z761" s="46"/>
    </row>
    <row r="762" spans="1:26">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57"/>
      <c r="Z762" s="46"/>
    </row>
    <row r="763" spans="1:26">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57"/>
      <c r="Z763" s="46"/>
    </row>
    <row r="764" spans="1:26">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57"/>
      <c r="Z764" s="46"/>
    </row>
    <row r="765" spans="1:26">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57"/>
      <c r="Z765" s="46"/>
    </row>
    <row r="766" spans="1:26">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57"/>
      <c r="Z766" s="46"/>
    </row>
    <row r="767" spans="1:26">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57"/>
      <c r="Z767" s="46"/>
    </row>
    <row r="768" spans="1:26">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57"/>
      <c r="Z768" s="46"/>
    </row>
    <row r="769" spans="1:26">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57"/>
      <c r="Z769" s="46"/>
    </row>
    <row r="770" spans="1:26">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57"/>
      <c r="Z770" s="46"/>
    </row>
    <row r="771" spans="1:26">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57"/>
      <c r="Z771" s="46"/>
    </row>
    <row r="772" spans="1:26">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57"/>
      <c r="Z772" s="46"/>
    </row>
    <row r="773" spans="1:26">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57"/>
      <c r="Z773" s="46"/>
    </row>
    <row r="774" spans="1:26">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57"/>
      <c r="Z774" s="46"/>
    </row>
    <row r="775" spans="1:26">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57"/>
      <c r="Z775" s="46"/>
    </row>
    <row r="776" spans="1:26">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57"/>
      <c r="Z776" s="46"/>
    </row>
    <row r="777" spans="1:26">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57"/>
      <c r="Z777" s="46"/>
    </row>
    <row r="778" spans="1:26">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57"/>
      <c r="Z778" s="46"/>
    </row>
    <row r="779" spans="1:26">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57"/>
      <c r="Z779" s="46"/>
    </row>
    <row r="780" spans="1:26">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57"/>
      <c r="Z780" s="46"/>
    </row>
    <row r="781" spans="1:26">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57"/>
      <c r="Z781" s="46"/>
    </row>
    <row r="782" spans="1:26">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57"/>
      <c r="Z782" s="46"/>
    </row>
    <row r="783" spans="1:26">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57"/>
      <c r="Z783" s="46"/>
    </row>
    <row r="784" spans="1:26">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57"/>
      <c r="Z784" s="46"/>
    </row>
    <row r="785" spans="1:26">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57"/>
      <c r="Z785" s="46"/>
    </row>
    <row r="786" spans="1:26">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57"/>
      <c r="Z786" s="46"/>
    </row>
    <row r="787" spans="1:26">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57"/>
      <c r="Z787" s="46"/>
    </row>
    <row r="788" spans="1:26">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57"/>
      <c r="Z788" s="46"/>
    </row>
    <row r="789" spans="1:26">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57"/>
      <c r="Z789" s="46"/>
    </row>
    <row r="790" spans="1:26">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57"/>
      <c r="Z790" s="46"/>
    </row>
    <row r="791" spans="1:26">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57"/>
      <c r="Z791" s="46"/>
    </row>
    <row r="792" spans="1:26">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57"/>
      <c r="Z792" s="46"/>
    </row>
    <row r="793" spans="1:26">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57"/>
      <c r="Z793" s="46"/>
    </row>
    <row r="794" spans="1:26">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57"/>
      <c r="Z794" s="46"/>
    </row>
  </sheetData>
  <autoFilter ref="A1:Z5"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outlinePr summaryBelow="0" summaryRight="0"/>
  </sheetPr>
  <dimension ref="A1:T148"/>
  <sheetViews>
    <sheetView workbookViewId="0">
      <selection activeCell="C154" sqref="C154"/>
    </sheetView>
  </sheetViews>
  <sheetFormatPr defaultColWidth="12.625" defaultRowHeight="15" customHeight="1"/>
  <cols>
    <col min="3" max="3" width="38.125" customWidth="1"/>
    <col min="4" max="4" width="19.5" customWidth="1"/>
    <col min="7" max="7" width="29" customWidth="1"/>
    <col min="8" max="8" width="17.125" customWidth="1"/>
    <col min="9" max="9" width="20.25" customWidth="1"/>
    <col min="18" max="18" width="21.875" customWidth="1"/>
  </cols>
  <sheetData>
    <row r="1" spans="1:20" ht="14.25">
      <c r="A1" s="24" t="str">
        <f ca="1">IFERROR(__xludf.DUMMYFUNCTION("IMPORTRANGE(""https://docs.google.com/spreadsheets/d/16RHTYx2t4VGNKL2VAZSXfFbhVXCpCZnEKGSXryWfDq4/edit#gid=0"" , ""Raw!A:T"")"),"Year")</f>
        <v>Year</v>
      </c>
      <c r="B1" s="24" t="str">
        <f ca="1">IFERROR(__xludf.DUMMYFUNCTION("""COMPUTED_VALUE"""),"Code")</f>
        <v>Code</v>
      </c>
      <c r="C1" s="24" t="str">
        <f ca="1">IFERROR(__xludf.DUMMYFUNCTION("""COMPUTED_VALUE"""),"Name")</f>
        <v>Name</v>
      </c>
      <c r="D1" s="24" t="str">
        <f ca="1">IFERROR(__xludf.DUMMYFUNCTION("""COMPUTED_VALUE"""),"Cluster")</f>
        <v>Cluster</v>
      </c>
      <c r="E1" s="24" t="str">
        <f ca="1">IFERROR(__xludf.DUMMYFUNCTION("""COMPUTED_VALUE"""),"PublicCode")</f>
        <v>PublicCode</v>
      </c>
      <c r="F1" s="24" t="str">
        <f ca="1">IFERROR(__xludf.DUMMYFUNCTION("""COMPUTED_VALUE"""),"Species")</f>
        <v>Species</v>
      </c>
      <c r="G1" s="24" t="str">
        <f ca="1">IFERROR(__xludf.DUMMYFUNCTION("""COMPUTED_VALUE"""),"Journal")</f>
        <v>Journal</v>
      </c>
      <c r="H1" s="24" t="str">
        <f ca="1">IFERROR(__xludf.DUMMYFUNCTION("""COMPUTED_VALUE"""),"Head")</f>
        <v>Head</v>
      </c>
      <c r="I1" s="24" t="str">
        <f ca="1">IFERROR(__xludf.DUMMYFUNCTION("""COMPUTED_VALUE"""),"Position")</f>
        <v>Position</v>
      </c>
      <c r="J1" s="24" t="str">
        <f ca="1">IFERROR(__xludf.DUMMYFUNCTION("""COMPUTED_VALUE"""),"UnderGrad")</f>
        <v>UnderGrad</v>
      </c>
      <c r="K1" s="24" t="str">
        <f ca="1">IFERROR(__xludf.DUMMYFUNCTION("""COMPUTED_VALUE"""),"GradStu")</f>
        <v>GradStu</v>
      </c>
      <c r="L1" s="58" t="str">
        <f ca="1">IFERROR(__xludf.DUMMYFUNCTION("""COMPUTED_VALUE"""),"Timing")</f>
        <v>Timing</v>
      </c>
      <c r="M1" s="24" t="str">
        <f ca="1">IFERROR(__xludf.DUMMYFUNCTION("""COMPUTED_VALUE"""),"Level")</f>
        <v>Level</v>
      </c>
      <c r="N1" s="24" t="str">
        <f ca="1">IFERROR(__xludf.DUMMYFUNCTION("""COMPUTED_VALUE"""),"Quatile")</f>
        <v>Quatile</v>
      </c>
      <c r="O1" s="24" t="str">
        <f ca="1">IFERROR(__xludf.DUMMYFUNCTION("""COMPUTED_VALUE"""),"ImpactFactor")</f>
        <v>ImpactFactor</v>
      </c>
      <c r="P1" s="24" t="str">
        <f ca="1">IFERROR(__xludf.DUMMYFUNCTION("""COMPUTED_VALUE"""),"ISI")</f>
        <v>ISI</v>
      </c>
      <c r="Q1" s="24" t="str">
        <f ca="1">IFERROR(__xludf.DUMMYFUNCTION("""COMPUTED_VALUE"""),"Scopus")</f>
        <v>Scopus</v>
      </c>
      <c r="R1" s="24" t="str">
        <f ca="1">IFERROR(__xludf.DUMMYFUNCTION("""COMPUTED_VALUE"""),"Department")</f>
        <v>Department</v>
      </c>
      <c r="S1" s="24" t="str">
        <f ca="1">IFERROR(__xludf.DUMMYFUNCTION("""COMPUTED_VALUE"""),"Age")</f>
        <v>Age</v>
      </c>
      <c r="T1" s="24" t="str">
        <f ca="1">IFERROR(__xludf.DUMMYFUNCTION("""COMPUTED_VALUE"""),"Month")</f>
        <v>Month</v>
      </c>
    </row>
    <row r="2" spans="1:20" ht="14.25">
      <c r="A2" s="24">
        <f ca="1">IFERROR(__xludf.DUMMYFUNCTION("""COMPUTED_VALUE"""),2022)</f>
        <v>2022</v>
      </c>
      <c r="B2" s="24">
        <f ca="1">IFERROR(__xludf.DUMMYFUNCTION("""COMPUTED_VALUE"""),436)</f>
        <v>436</v>
      </c>
      <c r="C2" s="24" t="str">
        <f ca="1">IFERROR(__xludf.DUMMYFUNCTION("""COMPUTED_VALUE"""),"Anthelmintic resistance status of goat gastrointestinal nematodes in Sing Buri Province, Thailand")</f>
        <v>Anthelmintic resistance status of goat gastrointestinal nematodes in Sing Buri Province, Thailand</v>
      </c>
      <c r="D2" s="24">
        <f ca="1">IFERROR(__xludf.DUMMYFUNCTION("""COMPUTED_VALUE"""),2)</f>
        <v>2</v>
      </c>
      <c r="E2" s="24" t="str">
        <f ca="1">IFERROR(__xludf.DUMMYFUNCTION("""COMPUTED_VALUE"""),"2022.436")</f>
        <v>2022.436</v>
      </c>
      <c r="F2" s="24" t="str">
        <f ca="1">IFERROR(__xludf.DUMMYFUNCTION("""COMPUTED_VALUE"""),"Goat")</f>
        <v>Goat</v>
      </c>
      <c r="G2" s="24" t="str">
        <f ca="1">IFERROR(__xludf.DUMMYFUNCTION("""COMPUTED_VALUE"""),"Veterinary World")</f>
        <v>Veterinary World</v>
      </c>
      <c r="H2" s="24" t="str">
        <f ca="1">IFERROR(__xludf.DUMMYFUNCTION("""COMPUTED_VALUE"""),"Suporn Thongyuan")</f>
        <v>Suporn Thongyuan</v>
      </c>
      <c r="I2" s="24" t="str">
        <f ca="1">IFERROR(__xludf.DUMMYFUNCTION("""COMPUTED_VALUE"""),"CorrespondingAuthor")</f>
        <v>CorrespondingAuthor</v>
      </c>
      <c r="J2" s="24" t="b">
        <f ca="1">IFERROR(__xludf.DUMMYFUNCTION("""COMPUTED_VALUE"""),FALSE)</f>
        <v>0</v>
      </c>
      <c r="K2" s="24" t="b">
        <f ca="1">IFERROR(__xludf.DUMMYFUNCTION("""COMPUTED_VALUE"""),FALSE)</f>
        <v>0</v>
      </c>
      <c r="L2" s="58">
        <f ca="1">IFERROR(__xludf.DUMMYFUNCTION("""COMPUTED_VALUE"""),44576)</f>
        <v>44576</v>
      </c>
      <c r="M2" s="24" t="str">
        <f ca="1">IFERROR(__xludf.DUMMYFUNCTION("""COMPUTED_VALUE"""),"International")</f>
        <v>International</v>
      </c>
      <c r="N2" s="24">
        <f ca="1">IFERROR(__xludf.DUMMYFUNCTION("""COMPUTED_VALUE"""),2)</f>
        <v>2</v>
      </c>
      <c r="O2" s="24">
        <f ca="1">IFERROR(__xludf.DUMMYFUNCTION("""COMPUTED_VALUE"""),2.11)</f>
        <v>2.11</v>
      </c>
      <c r="P2" s="24" t="str">
        <f ca="1">IFERROR(__xludf.DUMMYFUNCTION("""COMPUTED_VALUE"""),"No")</f>
        <v>No</v>
      </c>
      <c r="Q2" s="24" t="str">
        <f ca="1">IFERROR(__xludf.DUMMYFUNCTION("""COMPUTED_VALUE"""),"Yes")</f>
        <v>Yes</v>
      </c>
      <c r="R2" s="24" t="str">
        <f ca="1">IFERROR(__xludf.DUMMYFUNCTION("""COMPUTED_VALUE"""),"ภาควิชาสัตวแพทยสาธารณสุขศาสตร์")</f>
        <v>ภาควิชาสัตวแพทยสาธารณสุขศาสตร์</v>
      </c>
      <c r="S2" s="24">
        <f ca="1">IFERROR(__xludf.DUMMYFUNCTION("""COMPUTED_VALUE"""),49)</f>
        <v>49</v>
      </c>
      <c r="T2" s="24" t="str">
        <f ca="1">IFERROR(__xludf.DUMMYFUNCTION("""COMPUTED_VALUE"""),"January")</f>
        <v>January</v>
      </c>
    </row>
    <row r="3" spans="1:20" ht="14.25">
      <c r="A3" s="24">
        <f ca="1">IFERROR(__xludf.DUMMYFUNCTION("""COMPUTED_VALUE"""),2022)</f>
        <v>2022</v>
      </c>
      <c r="B3" s="24">
        <f ca="1">IFERROR(__xludf.DUMMYFUNCTION("""COMPUTED_VALUE"""),437)</f>
        <v>437</v>
      </c>
      <c r="C3" s="24" t="str">
        <f ca="1">IFERROR(__xludf.DUMMYFUNCTION("""COMPUTED_VALUE"""),"Anti-cancer potentials of Gynura procumbens leaves extract against two canine mammary cancer cell lines")</f>
        <v>Anti-cancer potentials of Gynura procumbens leaves extract against two canine mammary cancer cell lines</v>
      </c>
      <c r="D3" s="24">
        <f ca="1">IFERROR(__xludf.DUMMYFUNCTION("""COMPUTED_VALUE"""),3)</f>
        <v>3</v>
      </c>
      <c r="E3" s="24" t="str">
        <f ca="1">IFERROR(__xludf.DUMMYFUNCTION("""COMPUTED_VALUE"""),"2022.437")</f>
        <v>2022.437</v>
      </c>
      <c r="F3" s="24" t="str">
        <f ca="1">IFERROR(__xludf.DUMMYFUNCTION("""COMPUTED_VALUE"""),"Canine (Cell line)")</f>
        <v>Canine (Cell line)</v>
      </c>
      <c r="G3" s="24" t="str">
        <f ca="1">IFERROR(__xludf.DUMMYFUNCTION("""COMPUTED_VALUE"""),"Veterinary Medicine and Science")</f>
        <v>Veterinary Medicine and Science</v>
      </c>
      <c r="H3" s="24" t="str">
        <f ca="1">IFERROR(__xludf.DUMMYFUNCTION("""COMPUTED_VALUE"""),"Usuma Jermnak")</f>
        <v>Usuma Jermnak</v>
      </c>
      <c r="I3" s="24" t="str">
        <f ca="1">IFERROR(__xludf.DUMMYFUNCTION("""COMPUTED_VALUE"""),"FirstAuthor&amp;CorrespondingAuthor")</f>
        <v>FirstAuthor&amp;CorrespondingAuthor</v>
      </c>
      <c r="J3" s="24" t="b">
        <f ca="1">IFERROR(__xludf.DUMMYFUNCTION("""COMPUTED_VALUE"""),FALSE)</f>
        <v>0</v>
      </c>
      <c r="K3" s="24" t="b">
        <f ca="1">IFERROR(__xludf.DUMMYFUNCTION("""COMPUTED_VALUE"""),FALSE)</f>
        <v>0</v>
      </c>
      <c r="L3" s="58">
        <f ca="1">IFERROR(__xludf.DUMMYFUNCTION("""COMPUTED_VALUE"""),44576)</f>
        <v>44576</v>
      </c>
      <c r="M3" s="24" t="str">
        <f ca="1">IFERROR(__xludf.DUMMYFUNCTION("""COMPUTED_VALUE"""),"International")</f>
        <v>International</v>
      </c>
      <c r="N3" s="24">
        <f ca="1">IFERROR(__xludf.DUMMYFUNCTION("""COMPUTED_VALUE"""),2)</f>
        <v>2</v>
      </c>
      <c r="O3" s="24">
        <f ca="1">IFERROR(__xludf.DUMMYFUNCTION("""COMPUTED_VALUE"""),1.95)</f>
        <v>1.95</v>
      </c>
      <c r="P3" s="24" t="str">
        <f ca="1">IFERROR(__xludf.DUMMYFUNCTION("""COMPUTED_VALUE"""),"Yes")</f>
        <v>Yes</v>
      </c>
      <c r="Q3" s="24" t="str">
        <f ca="1">IFERROR(__xludf.DUMMYFUNCTION("""COMPUTED_VALUE"""),"No")</f>
        <v>No</v>
      </c>
      <c r="R3" s="24" t="str">
        <f ca="1">IFERROR(__xludf.DUMMYFUNCTION("""COMPUTED_VALUE"""),"ภาควิชาเภสัชวิทยา")</f>
        <v>ภาควิชาเภสัชวิทยา</v>
      </c>
      <c r="S3" s="24">
        <f ca="1">IFERROR(__xludf.DUMMYFUNCTION("""COMPUTED_VALUE"""),46)</f>
        <v>46</v>
      </c>
      <c r="T3" s="24" t="str">
        <f ca="1">IFERROR(__xludf.DUMMYFUNCTION("""COMPUTED_VALUE"""),"January")</f>
        <v>January</v>
      </c>
    </row>
    <row r="4" spans="1:20" ht="14.25">
      <c r="A4" s="24">
        <f ca="1">IFERROR(__xludf.DUMMYFUNCTION("""COMPUTED_VALUE"""),2022)</f>
        <v>2022</v>
      </c>
      <c r="B4" s="24">
        <f ca="1">IFERROR(__xludf.DUMMYFUNCTION("""COMPUTED_VALUE"""),438)</f>
        <v>438</v>
      </c>
      <c r="C4" s="24" t="str">
        <f ca="1">IFERROR(__xludf.DUMMYFUNCTION("""COMPUTED_VALUE"""),"Buccal mucosal graft urethroplasty in male cats with traumatic complete urethral rupture")</f>
        <v>Buccal mucosal graft urethroplasty in male cats with traumatic complete urethral rupture</v>
      </c>
      <c r="D4" s="24">
        <f ca="1">IFERROR(__xludf.DUMMYFUNCTION("""COMPUTED_VALUE"""),5)</f>
        <v>5</v>
      </c>
      <c r="E4" s="24" t="str">
        <f ca="1">IFERROR(__xludf.DUMMYFUNCTION("""COMPUTED_VALUE"""),"2022.438")</f>
        <v>2022.438</v>
      </c>
      <c r="F4" s="24" t="str">
        <f ca="1">IFERROR(__xludf.DUMMYFUNCTION("""COMPUTED_VALUE"""),"Cat")</f>
        <v>Cat</v>
      </c>
      <c r="G4" s="24" t="str">
        <f ca="1">IFERROR(__xludf.DUMMYFUNCTION("""COMPUTED_VALUE"""),"Journal of the American Veterinary Medical Association")</f>
        <v>Journal of the American Veterinary Medical Association</v>
      </c>
      <c r="H4" s="24" t="str">
        <f ca="1">IFERROR(__xludf.DUMMYFUNCTION("""COMPUTED_VALUE"""),"Wanchart Yippaditr")</f>
        <v>Wanchart Yippaditr</v>
      </c>
      <c r="I4" s="24" t="str">
        <f ca="1">IFERROR(__xludf.DUMMYFUNCTION("""COMPUTED_VALUE"""),"FirstAuthor&amp;CorrespondingAuthor")</f>
        <v>FirstAuthor&amp;CorrespondingAuthor</v>
      </c>
      <c r="J4" s="24" t="b">
        <f ca="1">IFERROR(__xludf.DUMMYFUNCTION("""COMPUTED_VALUE"""),FALSE)</f>
        <v>0</v>
      </c>
      <c r="K4" s="24" t="b">
        <f ca="1">IFERROR(__xludf.DUMMYFUNCTION("""COMPUTED_VALUE"""),FALSE)</f>
        <v>0</v>
      </c>
      <c r="L4" s="58">
        <f ca="1">IFERROR(__xludf.DUMMYFUNCTION("""COMPUTED_VALUE"""),44576)</f>
        <v>44576</v>
      </c>
      <c r="M4" s="24" t="str">
        <f ca="1">IFERROR(__xludf.DUMMYFUNCTION("""COMPUTED_VALUE"""),"International")</f>
        <v>International</v>
      </c>
      <c r="N4" s="24">
        <f ca="1">IFERROR(__xludf.DUMMYFUNCTION("""COMPUTED_VALUE"""),1)</f>
        <v>1</v>
      </c>
      <c r="O4" s="24">
        <f ca="1">IFERROR(__xludf.DUMMYFUNCTION("""COMPUTED_VALUE"""),0.787)</f>
        <v>0.78700000000000003</v>
      </c>
      <c r="P4" s="24" t="str">
        <f ca="1">IFERROR(__xludf.DUMMYFUNCTION("""COMPUTED_VALUE"""),"Yes")</f>
        <v>Yes</v>
      </c>
      <c r="Q4" s="24" t="str">
        <f ca="1">IFERROR(__xludf.DUMMYFUNCTION("""COMPUTED_VALUE"""),"Yes")</f>
        <v>Yes</v>
      </c>
      <c r="R4" s="24" t="str">
        <f ca="1">IFERROR(__xludf.DUMMYFUNCTION("""COMPUTED_VALUE"""),"โรงพยาบาลสัตว์ มก. หัวหิน")</f>
        <v>โรงพยาบาลสัตว์ มก. หัวหิน</v>
      </c>
      <c r="S4" s="24">
        <f ca="1">IFERROR(__xludf.DUMMYFUNCTION("""COMPUTED_VALUE"""),47)</f>
        <v>47</v>
      </c>
      <c r="T4" s="24" t="str">
        <f ca="1">IFERROR(__xludf.DUMMYFUNCTION("""COMPUTED_VALUE"""),"January")</f>
        <v>January</v>
      </c>
    </row>
    <row r="5" spans="1:20" ht="14.25">
      <c r="A5" s="24">
        <f ca="1">IFERROR(__xludf.DUMMYFUNCTION("""COMPUTED_VALUE"""),2022)</f>
        <v>2022</v>
      </c>
      <c r="B5" s="24">
        <f ca="1">IFERROR(__xludf.DUMMYFUNCTION("""COMPUTED_VALUE"""),439)</f>
        <v>439</v>
      </c>
      <c r="C5" s="24" t="str">
        <f ca="1">IFERROR(__xludf.DUMMYFUNCTION("""COMPUTED_VALUE"""),"Detection of antibodies against three zoonotic Bartonella spp. and cross-reactivity among species and Coxiella burnetii in dogs and cats from Central Thailand")</f>
        <v>Detection of antibodies against three zoonotic Bartonella spp. and cross-reactivity among species and Coxiella burnetii in dogs and cats from Central Thailand</v>
      </c>
      <c r="D5" s="24">
        <f ca="1">IFERROR(__xludf.DUMMYFUNCTION("""COMPUTED_VALUE"""),2)</f>
        <v>2</v>
      </c>
      <c r="E5" s="24" t="str">
        <f ca="1">IFERROR(__xludf.DUMMYFUNCTION("""COMPUTED_VALUE"""),"2022.439")</f>
        <v>2022.439</v>
      </c>
      <c r="F5" s="24" t="str">
        <f ca="1">IFERROR(__xludf.DUMMYFUNCTION("""COMPUTED_VALUE"""),"Dog, Cat")</f>
        <v>Dog, Cat</v>
      </c>
      <c r="G5" s="24" t="str">
        <f ca="1">IFERROR(__xludf.DUMMYFUNCTION("""COMPUTED_VALUE"""),"Comparative Immunology, Microbiology and Infectious Diseases")</f>
        <v>Comparative Immunology, Microbiology and Infectious Diseases</v>
      </c>
      <c r="H5" s="24" t="str">
        <f ca="1">IFERROR(__xludf.DUMMYFUNCTION("""COMPUTED_VALUE"""),"Tawin Inpankaew")</f>
        <v>Tawin Inpankaew</v>
      </c>
      <c r="I5" s="24" t="str">
        <f ca="1">IFERROR(__xludf.DUMMYFUNCTION("""COMPUTED_VALUE"""),"CorrespondingAuthor")</f>
        <v>CorrespondingAuthor</v>
      </c>
      <c r="J5" s="24" t="b">
        <f ca="1">IFERROR(__xludf.DUMMYFUNCTION("""COMPUTED_VALUE"""),TRUE)</f>
        <v>1</v>
      </c>
      <c r="K5" s="24" t="b">
        <f ca="1">IFERROR(__xludf.DUMMYFUNCTION("""COMPUTED_VALUE"""),FALSE)</f>
        <v>0</v>
      </c>
      <c r="L5" s="58">
        <f ca="1">IFERROR(__xludf.DUMMYFUNCTION("""COMPUTED_VALUE"""),44607)</f>
        <v>44607</v>
      </c>
      <c r="M5" s="24" t="str">
        <f ca="1">IFERROR(__xludf.DUMMYFUNCTION("""COMPUTED_VALUE"""),"International")</f>
        <v>International</v>
      </c>
      <c r="N5" s="24">
        <f ca="1">IFERROR(__xludf.DUMMYFUNCTION("""COMPUTED_VALUE"""),1)</f>
        <v>1</v>
      </c>
      <c r="O5" s="24">
        <f ca="1">IFERROR(__xludf.DUMMYFUNCTION("""COMPUTED_VALUE"""),2.268)</f>
        <v>2.2679999999999998</v>
      </c>
      <c r="P5" s="24" t="str">
        <f ca="1">IFERROR(__xludf.DUMMYFUNCTION("""COMPUTED_VALUE"""),"No")</f>
        <v>No</v>
      </c>
      <c r="Q5" s="24" t="str">
        <f ca="1">IFERROR(__xludf.DUMMYFUNCTION("""COMPUTED_VALUE"""),"Yes")</f>
        <v>Yes</v>
      </c>
      <c r="R5" s="24" t="str">
        <f ca="1">IFERROR(__xludf.DUMMYFUNCTION("""COMPUTED_VALUE"""),"ภาควิชาปรสิตวิทยา")</f>
        <v>ภาควิชาปรสิตวิทยา</v>
      </c>
      <c r="S5" s="24">
        <f ca="1">IFERROR(__xludf.DUMMYFUNCTION("""COMPUTED_VALUE"""),47)</f>
        <v>47</v>
      </c>
      <c r="T5" s="24" t="str">
        <f ca="1">IFERROR(__xludf.DUMMYFUNCTION("""COMPUTED_VALUE"""),"February")</f>
        <v>February</v>
      </c>
    </row>
    <row r="6" spans="1:20" ht="14.25" hidden="1">
      <c r="A6" s="24"/>
      <c r="B6" s="24"/>
      <c r="C6" s="24" t="str">
        <f ca="1">IFERROR(__xludf.DUMMYFUNCTION("""COMPUTED_VALUE"""),"xxxx")</f>
        <v>xxxx</v>
      </c>
      <c r="D6" s="24"/>
      <c r="E6" s="24"/>
      <c r="F6" s="24"/>
      <c r="G6" s="24" t="str">
        <f ca="1">IFERROR(__xludf.DUMMYFUNCTION("""COMPUTED_VALUE"""),"xxxx")</f>
        <v>xxxx</v>
      </c>
      <c r="H6" s="24" t="str">
        <f ca="1">IFERROR(__xludf.DUMMYFUNCTION("""COMPUTED_VALUE"""),"xxxx")</f>
        <v>xxxx</v>
      </c>
      <c r="I6" s="24"/>
      <c r="J6" s="24"/>
      <c r="K6" s="24"/>
      <c r="L6" s="24"/>
      <c r="M6" s="24"/>
      <c r="N6" s="24"/>
      <c r="O6" s="24"/>
      <c r="P6" s="24"/>
      <c r="Q6" s="24"/>
      <c r="R6" s="24"/>
      <c r="S6" s="24"/>
      <c r="T6" s="24"/>
    </row>
    <row r="7" spans="1:20" ht="14.25" hidden="1">
      <c r="A7" s="24">
        <f ca="1">IFERROR(__xludf.DUMMYFUNCTION("""COMPUTED_VALUE"""),2023)</f>
        <v>2023</v>
      </c>
      <c r="B7" s="24">
        <f ca="1">IFERROR(__xludf.DUMMYFUNCTION("""COMPUTED_VALUE"""),551)</f>
        <v>551</v>
      </c>
      <c r="C7" s="24" t="str">
        <f ca="1">IFERROR(__xludf.DUMMYFUNCTION("""COMPUTED_VALUE"""),"Post-larvae movement network of marine shrimp during the 2013 outbreak of acute hepatopancreatic necrosis disease in Thailand")</f>
        <v>Post-larvae movement network of marine shrimp during the 2013 outbreak of acute hepatopancreatic necrosis disease in Thailand</v>
      </c>
      <c r="D7" s="24">
        <f ca="1">IFERROR(__xludf.DUMMYFUNCTION("""COMPUTED_VALUE"""),2)</f>
        <v>2</v>
      </c>
      <c r="E7" s="24" t="str">
        <f ca="1">IFERROR(__xludf.DUMMYFUNCTION("""COMPUTED_VALUE"""),"2023.551")</f>
        <v>2023.551</v>
      </c>
      <c r="F7" s="24" t="str">
        <f ca="1">IFERROR(__xludf.DUMMYFUNCTION("""COMPUTED_VALUE"""),"Shrimp")</f>
        <v>Shrimp</v>
      </c>
      <c r="G7" s="24" t="str">
        <f ca="1">IFERROR(__xludf.DUMMYFUNCTION("""COMPUTED_VALUE"""),"Preventive Veterinary Medicine")</f>
        <v>Preventive Veterinary Medicine</v>
      </c>
      <c r="H7" s="24" t="str">
        <f ca="1">IFERROR(__xludf.DUMMYFUNCTION("""COMPUTED_VALUE"""),"Chaithep Poolkhet")</f>
        <v>Chaithep Poolkhet</v>
      </c>
      <c r="I7" s="24" t="str">
        <f ca="1">IFERROR(__xludf.DUMMYFUNCTION("""COMPUTED_VALUE"""),"CorrespondingAuthor")</f>
        <v>CorrespondingAuthor</v>
      </c>
      <c r="J7" s="24" t="b">
        <f ca="1">IFERROR(__xludf.DUMMYFUNCTION("""COMPUTED_VALUE"""),FALSE)</f>
        <v>0</v>
      </c>
      <c r="K7" s="24" t="b">
        <f ca="1">IFERROR(__xludf.DUMMYFUNCTION("""COMPUTED_VALUE"""),FALSE)</f>
        <v>0</v>
      </c>
      <c r="L7" s="58">
        <f ca="1">IFERROR(__xludf.DUMMYFUNCTION("""COMPUTED_VALUE"""),44949)</f>
        <v>44949</v>
      </c>
      <c r="M7" s="24" t="str">
        <f ca="1">IFERROR(__xludf.DUMMYFUNCTION("""COMPUTED_VALUE"""),"International")</f>
        <v>International</v>
      </c>
      <c r="N7" s="24">
        <f ca="1">IFERROR(__xludf.DUMMYFUNCTION("""COMPUTED_VALUE"""),1)</f>
        <v>1</v>
      </c>
      <c r="O7" s="24">
        <f ca="1">IFERROR(__xludf.DUMMYFUNCTION("""COMPUTED_VALUE"""),2.67)</f>
        <v>2.67</v>
      </c>
      <c r="P7" s="24" t="str">
        <f ca="1">IFERROR(__xludf.DUMMYFUNCTION("""COMPUTED_VALUE"""),"No")</f>
        <v>No</v>
      </c>
      <c r="Q7" s="24" t="str">
        <f ca="1">IFERROR(__xludf.DUMMYFUNCTION("""COMPUTED_VALUE"""),"Yes")</f>
        <v>Yes</v>
      </c>
      <c r="R7" s="24" t="str">
        <f ca="1">IFERROR(__xludf.DUMMYFUNCTION("""COMPUTED_VALUE"""),"ภาควิชาสัตวแพทยสาธารณสุขศาสตร์")</f>
        <v>ภาควิชาสัตวแพทยสาธารณสุขศาสตร์</v>
      </c>
      <c r="S7" s="24">
        <f ca="1">IFERROR(__xludf.DUMMYFUNCTION("""COMPUTED_VALUE"""),51)</f>
        <v>51</v>
      </c>
      <c r="T7" s="24" t="str">
        <f ca="1">IFERROR(__xludf.DUMMYFUNCTION("""COMPUTED_VALUE"""),"January")</f>
        <v>January</v>
      </c>
    </row>
    <row r="8" spans="1:20" ht="14.25" hidden="1">
      <c r="A8" s="24">
        <f ca="1">IFERROR(__xludf.DUMMYFUNCTION("""COMPUTED_VALUE"""),2023)</f>
        <v>2023</v>
      </c>
      <c r="B8" s="24">
        <f ca="1">IFERROR(__xludf.DUMMYFUNCTION("""COMPUTED_VALUE"""),552)</f>
        <v>552</v>
      </c>
      <c r="C8" s="24" t="str">
        <f ca="1">IFERROR(__xludf.DUMMYFUNCTION("""COMPUTED_VALUE"""),"Molecular detection of Loxodontofilaria spp. in Asian elephants (Elephas maximus) from elephant training camps in Thailand")</f>
        <v>Molecular detection of Loxodontofilaria spp. in Asian elephants (Elephas maximus) from elephant training camps in Thailand</v>
      </c>
      <c r="D8" s="24">
        <f ca="1">IFERROR(__xludf.DUMMYFUNCTION("""COMPUTED_VALUE"""),2)</f>
        <v>2</v>
      </c>
      <c r="E8" s="24" t="str">
        <f ca="1">IFERROR(__xludf.DUMMYFUNCTION("""COMPUTED_VALUE"""),"2023.552")</f>
        <v>2023.552</v>
      </c>
      <c r="F8" s="24" t="str">
        <f ca="1">IFERROR(__xludf.DUMMYFUNCTION("""COMPUTED_VALUE"""),"Elephant")</f>
        <v>Elephant</v>
      </c>
      <c r="G8" s="24" t="str">
        <f ca="1">IFERROR(__xludf.DUMMYFUNCTION("""COMPUTED_VALUE"""),"Comparative Immunology, Microbiology and Infectious Diseases")</f>
        <v>Comparative Immunology, Microbiology and Infectious Diseases</v>
      </c>
      <c r="H8" s="24" t="str">
        <f ca="1">IFERROR(__xludf.DUMMYFUNCTION("""COMPUTED_VALUE"""),"Tawin Inpankaew")</f>
        <v>Tawin Inpankaew</v>
      </c>
      <c r="I8" s="24" t="str">
        <f ca="1">IFERROR(__xludf.DUMMYFUNCTION("""COMPUTED_VALUE"""),"CorrespondingAuthor")</f>
        <v>CorrespondingAuthor</v>
      </c>
      <c r="J8" s="24" t="b">
        <f ca="1">IFERROR(__xludf.DUMMYFUNCTION("""COMPUTED_VALUE"""),FALSE)</f>
        <v>0</v>
      </c>
      <c r="K8" s="24" t="b">
        <f ca="1">IFERROR(__xludf.DUMMYFUNCTION("""COMPUTED_VALUE"""),FALSE)</f>
        <v>0</v>
      </c>
      <c r="L8" s="58">
        <f ca="1">IFERROR(__xludf.DUMMYFUNCTION("""COMPUTED_VALUE"""),44931)</f>
        <v>44931</v>
      </c>
      <c r="M8" s="24" t="str">
        <f ca="1">IFERROR(__xludf.DUMMYFUNCTION("""COMPUTED_VALUE"""),"International")</f>
        <v>International</v>
      </c>
      <c r="N8" s="24">
        <f ca="1">IFERROR(__xludf.DUMMYFUNCTION("""COMPUTED_VALUE"""),1)</f>
        <v>1</v>
      </c>
      <c r="O8" s="24">
        <f ca="1">IFERROR(__xludf.DUMMYFUNCTION("""COMPUTED_VALUE"""),2.268)</f>
        <v>2.2679999999999998</v>
      </c>
      <c r="P8" s="24" t="str">
        <f ca="1">IFERROR(__xludf.DUMMYFUNCTION("""COMPUTED_VALUE"""),"No")</f>
        <v>No</v>
      </c>
      <c r="Q8" s="24" t="str">
        <f ca="1">IFERROR(__xludf.DUMMYFUNCTION("""COMPUTED_VALUE"""),"Yes")</f>
        <v>Yes</v>
      </c>
      <c r="R8" s="24" t="str">
        <f ca="1">IFERROR(__xludf.DUMMYFUNCTION("""COMPUTED_VALUE"""),"ภาควิชาปรสิตวิทยา")</f>
        <v>ภาควิชาปรสิตวิทยา</v>
      </c>
      <c r="S8" s="24">
        <f ca="1">IFERROR(__xludf.DUMMYFUNCTION("""COMPUTED_VALUE"""),47)</f>
        <v>47</v>
      </c>
      <c r="T8" s="24" t="str">
        <f ca="1">IFERROR(__xludf.DUMMYFUNCTION("""COMPUTED_VALUE"""),"January")</f>
        <v>January</v>
      </c>
    </row>
    <row r="9" spans="1:20" ht="14.25" hidden="1">
      <c r="A9" s="24">
        <f ca="1">IFERROR(__xludf.DUMMYFUNCTION("""COMPUTED_VALUE"""),2023)</f>
        <v>2023</v>
      </c>
      <c r="B9" s="24">
        <f ca="1">IFERROR(__xludf.DUMMYFUNCTION("""COMPUTED_VALUE"""),556)</f>
        <v>556</v>
      </c>
      <c r="C9" s="24" t="str">
        <f ca="1">IFERROR(__xludf.DUMMYFUNCTION("""COMPUTED_VALUE"""),"The impact of farm practices and wild carriers on white spot disease in marine shrimp in Rayong Province, Thailand")</f>
        <v>The impact of farm practices and wild carriers on white spot disease in marine shrimp in Rayong Province, Thailand</v>
      </c>
      <c r="D9" s="24">
        <f ca="1">IFERROR(__xludf.DUMMYFUNCTION("""COMPUTED_VALUE"""),2)</f>
        <v>2</v>
      </c>
      <c r="E9" s="24" t="str">
        <f ca="1">IFERROR(__xludf.DUMMYFUNCTION("""COMPUTED_VALUE"""),"2023.556")</f>
        <v>2023.556</v>
      </c>
      <c r="F9" s="24" t="str">
        <f ca="1">IFERROR(__xludf.DUMMYFUNCTION("""COMPUTED_VALUE"""),"Shrimp")</f>
        <v>Shrimp</v>
      </c>
      <c r="G9" s="24" t="str">
        <f ca="1">IFERROR(__xludf.DUMMYFUNCTION("""COMPUTED_VALUE"""),"Veterinary World")</f>
        <v>Veterinary World</v>
      </c>
      <c r="H9" s="24" t="str">
        <f ca="1">IFERROR(__xludf.DUMMYFUNCTION("""COMPUTED_VALUE"""),"Chaithep Poolkhet")</f>
        <v>Chaithep Poolkhet</v>
      </c>
      <c r="I9" s="24" t="str">
        <f ca="1">IFERROR(__xludf.DUMMYFUNCTION("""COMPUTED_VALUE"""),"CorrespondingAuthor")</f>
        <v>CorrespondingAuthor</v>
      </c>
      <c r="J9" s="24" t="b">
        <f ca="1">IFERROR(__xludf.DUMMYFUNCTION("""COMPUTED_VALUE"""),FALSE)</f>
        <v>0</v>
      </c>
      <c r="K9" s="24" t="b">
        <f ca="1">IFERROR(__xludf.DUMMYFUNCTION("""COMPUTED_VALUE"""),FALSE)</f>
        <v>0</v>
      </c>
      <c r="L9" s="58">
        <f ca="1">IFERROR(__xludf.DUMMYFUNCTION("""COMPUTED_VALUE"""),44942)</f>
        <v>44942</v>
      </c>
      <c r="M9" s="24" t="str">
        <f ca="1">IFERROR(__xludf.DUMMYFUNCTION("""COMPUTED_VALUE"""),"International")</f>
        <v>International</v>
      </c>
      <c r="N9" s="24">
        <f ca="1">IFERROR(__xludf.DUMMYFUNCTION("""COMPUTED_VALUE"""),2)</f>
        <v>2</v>
      </c>
      <c r="O9" s="24">
        <f ca="1">IFERROR(__xludf.DUMMYFUNCTION("""COMPUTED_VALUE"""),2.11)</f>
        <v>2.11</v>
      </c>
      <c r="P9" s="24" t="str">
        <f ca="1">IFERROR(__xludf.DUMMYFUNCTION("""COMPUTED_VALUE"""),"No")</f>
        <v>No</v>
      </c>
      <c r="Q9" s="24" t="str">
        <f ca="1">IFERROR(__xludf.DUMMYFUNCTION("""COMPUTED_VALUE"""),"Yes")</f>
        <v>Yes</v>
      </c>
      <c r="R9" s="24" t="str">
        <f ca="1">IFERROR(__xludf.DUMMYFUNCTION("""COMPUTED_VALUE"""),"ภาควิชาสัตวแพทยสาธารณสุขศาสตร์")</f>
        <v>ภาควิชาสัตวแพทยสาธารณสุขศาสตร์</v>
      </c>
      <c r="S9" s="24">
        <f ca="1">IFERROR(__xludf.DUMMYFUNCTION("""COMPUTED_VALUE"""),51)</f>
        <v>51</v>
      </c>
      <c r="T9" s="24" t="str">
        <f ca="1">IFERROR(__xludf.DUMMYFUNCTION("""COMPUTED_VALUE"""),"January")</f>
        <v>January</v>
      </c>
    </row>
    <row r="10" spans="1:20" ht="14.25" hidden="1">
      <c r="A10" s="24">
        <f ca="1">IFERROR(__xludf.DUMMYFUNCTION("""COMPUTED_VALUE"""),2023)</f>
        <v>2023</v>
      </c>
      <c r="B10" s="24">
        <f ca="1">IFERROR(__xludf.DUMMYFUNCTION("""COMPUTED_VALUE"""),557)</f>
        <v>557</v>
      </c>
      <c r="C10" s="24" t="str">
        <f ca="1">IFERROR(__xludf.DUMMYFUNCTION("""COMPUTED_VALUE"""),"Biological effects related to exposure to polychlorinated biphenyl (PCB) and decabromodiphenyl ether (BDE-209) on cats")</f>
        <v>Biological effects related to exposure to polychlorinated biphenyl (PCB) and decabromodiphenyl ether (BDE-209) on cats</v>
      </c>
      <c r="D10" s="24">
        <f ca="1">IFERROR(__xludf.DUMMYFUNCTION("""COMPUTED_VALUE"""),5)</f>
        <v>5</v>
      </c>
      <c r="E10" s="24" t="str">
        <f ca="1">IFERROR(__xludf.DUMMYFUNCTION("""COMPUTED_VALUE"""),"2023.557")</f>
        <v>2023.557</v>
      </c>
      <c r="F10" s="24" t="str">
        <f ca="1">IFERROR(__xludf.DUMMYFUNCTION("""COMPUTED_VALUE"""),"Cat")</f>
        <v>Cat</v>
      </c>
      <c r="G10" s="24" t="str">
        <f ca="1">IFERROR(__xludf.DUMMYFUNCTION("""COMPUTED_VALUE"""),"PloS One")</f>
        <v>PloS One</v>
      </c>
      <c r="H10" s="24" t="str">
        <f ca="1">IFERROR(__xludf.DUMMYFUNCTION("""COMPUTED_VALUE"""),"Kraisiri Khidkhan")</f>
        <v>Kraisiri Khidkhan</v>
      </c>
      <c r="I10" s="24" t="str">
        <f ca="1">IFERROR(__xludf.DUMMYFUNCTION("""COMPUTED_VALUE"""),"FirstAuthor")</f>
        <v>FirstAuthor</v>
      </c>
      <c r="J10" s="24" t="b">
        <f ca="1">IFERROR(__xludf.DUMMYFUNCTION("""COMPUTED_VALUE"""),FALSE)</f>
        <v>0</v>
      </c>
      <c r="K10" s="24" t="b">
        <f ca="1">IFERROR(__xludf.DUMMYFUNCTION("""COMPUTED_VALUE"""),FALSE)</f>
        <v>0</v>
      </c>
      <c r="L10" s="58">
        <f ca="1">IFERROR(__xludf.DUMMYFUNCTION("""COMPUTED_VALUE"""),44946)</f>
        <v>44946</v>
      </c>
      <c r="M10" s="24" t="str">
        <f ca="1">IFERROR(__xludf.DUMMYFUNCTION("""COMPUTED_VALUE"""),"International")</f>
        <v>International</v>
      </c>
      <c r="N10" s="24">
        <f ca="1">IFERROR(__xludf.DUMMYFUNCTION("""COMPUTED_VALUE"""),1)</f>
        <v>1</v>
      </c>
      <c r="O10" s="24">
        <f ca="1">IFERROR(__xludf.DUMMYFUNCTION("""COMPUTED_VALUE"""),3.24)</f>
        <v>3.24</v>
      </c>
      <c r="P10" s="24" t="str">
        <f ca="1">IFERROR(__xludf.DUMMYFUNCTION("""COMPUTED_VALUE"""),"Yes")</f>
        <v>Yes</v>
      </c>
      <c r="Q10" s="24" t="str">
        <f ca="1">IFERROR(__xludf.DUMMYFUNCTION("""COMPUTED_VALUE"""),"Yes")</f>
        <v>Yes</v>
      </c>
      <c r="R10" s="24" t="str">
        <f ca="1">IFERROR(__xludf.DUMMYFUNCTION("""COMPUTED_VALUE"""),"ภาควิชาเภสัชวิทยา")</f>
        <v>ภาควิชาเภสัชวิทยา</v>
      </c>
      <c r="S10" s="24">
        <f ca="1">IFERROR(__xludf.DUMMYFUNCTION("""COMPUTED_VALUE"""),38)</f>
        <v>38</v>
      </c>
      <c r="T10" s="24" t="str">
        <f ca="1">IFERROR(__xludf.DUMMYFUNCTION("""COMPUTED_VALUE"""),"January")</f>
        <v>January</v>
      </c>
    </row>
    <row r="11" spans="1:20" ht="14.25" hidden="1">
      <c r="A11" s="24">
        <f ca="1">IFERROR(__xludf.DUMMYFUNCTION("""COMPUTED_VALUE"""),2023)</f>
        <v>2023</v>
      </c>
      <c r="B11" s="24">
        <f ca="1">IFERROR(__xludf.DUMMYFUNCTION("""COMPUTED_VALUE"""),559)</f>
        <v>559</v>
      </c>
      <c r="C11" s="24" t="str">
        <f ca="1">IFERROR(__xludf.DUMMYFUNCTION("""COMPUTED_VALUE"""),"Storage Fungi and Mycotoxins Associated with Rice Samples Commercialized in Thailand")</f>
        <v>Storage Fungi and Mycotoxins Associated with Rice Samples Commercialized in Thailand</v>
      </c>
      <c r="D11" s="24">
        <f ca="1">IFERROR(__xludf.DUMMYFUNCTION("""COMPUTED_VALUE"""),2)</f>
        <v>2</v>
      </c>
      <c r="E11" s="24" t="str">
        <f ca="1">IFERROR(__xludf.DUMMYFUNCTION("""COMPUTED_VALUE"""),"2023.559")</f>
        <v>2023.559</v>
      </c>
      <c r="F11" s="24" t="str">
        <f ca="1">IFERROR(__xludf.DUMMYFUNCTION("""COMPUTED_VALUE"""),"Mycotoxin")</f>
        <v>Mycotoxin</v>
      </c>
      <c r="G11" s="24" t="str">
        <f ca="1">IFERROR(__xludf.DUMMYFUNCTION("""COMPUTED_VALUE"""),"Foods")</f>
        <v>Foods</v>
      </c>
      <c r="H11" s="24" t="str">
        <f ca="1">IFERROR(__xludf.DUMMYFUNCTION("""COMPUTED_VALUE"""),"Saranya Poapolathep")</f>
        <v>Saranya Poapolathep</v>
      </c>
      <c r="I11" s="24" t="str">
        <f ca="1">IFERROR(__xludf.DUMMYFUNCTION("""COMPUTED_VALUE"""),"CoAuthor")</f>
        <v>CoAuthor</v>
      </c>
      <c r="J11" s="24" t="b">
        <f ca="1">IFERROR(__xludf.DUMMYFUNCTION("""COMPUTED_VALUE"""),FALSE)</f>
        <v>0</v>
      </c>
      <c r="K11" s="24" t="b">
        <f ca="1">IFERROR(__xludf.DUMMYFUNCTION("""COMPUTED_VALUE"""),FALSE)</f>
        <v>0</v>
      </c>
      <c r="L11" s="58">
        <f ca="1">IFERROR(__xludf.DUMMYFUNCTION("""COMPUTED_VALUE"""),44946)</f>
        <v>44946</v>
      </c>
      <c r="M11" s="24" t="str">
        <f ca="1">IFERROR(__xludf.DUMMYFUNCTION("""COMPUTED_VALUE"""),"International")</f>
        <v>International</v>
      </c>
      <c r="N11" s="24">
        <f ca="1">IFERROR(__xludf.DUMMYFUNCTION("""COMPUTED_VALUE"""),1)</f>
        <v>1</v>
      </c>
      <c r="O11" s="24">
        <f ca="1">IFERROR(__xludf.DUMMYFUNCTION("""COMPUTED_VALUE"""),4.35)</f>
        <v>4.3499999999999996</v>
      </c>
      <c r="P11" s="24" t="str">
        <f ca="1">IFERROR(__xludf.DUMMYFUNCTION("""COMPUTED_VALUE"""),"Yes")</f>
        <v>Yes</v>
      </c>
      <c r="Q11" s="24" t="str">
        <f ca="1">IFERROR(__xludf.DUMMYFUNCTION("""COMPUTED_VALUE"""),"Yes")</f>
        <v>Yes</v>
      </c>
      <c r="R11" s="24" t="str">
        <f ca="1">IFERROR(__xludf.DUMMYFUNCTION("""COMPUTED_VALUE"""),"ภาควิชาเภสัชวิทยา")</f>
        <v>ภาควิชาเภสัชวิทยา</v>
      </c>
      <c r="S11" s="24">
        <f ca="1">IFERROR(__xludf.DUMMYFUNCTION("""COMPUTED_VALUE"""),48)</f>
        <v>48</v>
      </c>
      <c r="T11" s="24" t="str">
        <f ca="1">IFERROR(__xludf.DUMMYFUNCTION("""COMPUTED_VALUE"""),"January")</f>
        <v>January</v>
      </c>
    </row>
    <row r="12" spans="1:20" ht="14.25" hidden="1">
      <c r="A12" s="24">
        <f ca="1">IFERROR(__xludf.DUMMYFUNCTION("""COMPUTED_VALUE"""),2023)</f>
        <v>2023</v>
      </c>
      <c r="B12" s="24">
        <f ca="1">IFERROR(__xludf.DUMMYFUNCTION("""COMPUTED_VALUE"""),562)</f>
        <v>562</v>
      </c>
      <c r="C12" s="24" t="str">
        <f ca="1">IFERROR(__xludf.DUMMYFUNCTION("""COMPUTED_VALUE"""),"Serological Detection of Toxoplasma gondii among Free-Grazing Ducks from Central and Western Thailand — A One Health Perspective on Integrated Farming")</f>
        <v>Serological Detection of Toxoplasma gondii among Free-Grazing Ducks from Central and Western Thailand — A One Health Perspective on Integrated Farming</v>
      </c>
      <c r="D12" s="24">
        <f ca="1">IFERROR(__xludf.DUMMYFUNCTION("""COMPUTED_VALUE"""),2)</f>
        <v>2</v>
      </c>
      <c r="E12" s="24" t="str">
        <f ca="1">IFERROR(__xludf.DUMMYFUNCTION("""COMPUTED_VALUE"""),"2023.562")</f>
        <v>2023.562</v>
      </c>
      <c r="F12" s="24" t="str">
        <f ca="1">IFERROR(__xludf.DUMMYFUNCTION("""COMPUTED_VALUE"""),"Duck")</f>
        <v>Duck</v>
      </c>
      <c r="G12" s="24" t="str">
        <f ca="1">IFERROR(__xludf.DUMMYFUNCTION("""COMPUTED_VALUE"""),"Tropical Medicine and Infectious Disease")</f>
        <v>Tropical Medicine and Infectious Disease</v>
      </c>
      <c r="H12" s="24" t="str">
        <f ca="1">IFERROR(__xludf.DUMMYFUNCTION("""COMPUTED_VALUE"""),"Tawin Inpankaew")</f>
        <v>Tawin Inpankaew</v>
      </c>
      <c r="I12" s="24" t="str">
        <f ca="1">IFERROR(__xludf.DUMMYFUNCTION("""COMPUTED_VALUE"""),"CorrespondingAuthor")</f>
        <v>CorrespondingAuthor</v>
      </c>
      <c r="J12" s="24" t="b">
        <f ca="1">IFERROR(__xludf.DUMMYFUNCTION("""COMPUTED_VALUE"""),FALSE)</f>
        <v>0</v>
      </c>
      <c r="K12" s="24" t="b">
        <f ca="1">IFERROR(__xludf.DUMMYFUNCTION("""COMPUTED_VALUE"""),TRUE)</f>
        <v>1</v>
      </c>
      <c r="L12" s="58">
        <f ca="1">IFERROR(__xludf.DUMMYFUNCTION("""COMPUTED_VALUE"""),44963)</f>
        <v>44963</v>
      </c>
      <c r="M12" s="24" t="str">
        <f ca="1">IFERROR(__xludf.DUMMYFUNCTION("""COMPUTED_VALUE"""),"International")</f>
        <v>International</v>
      </c>
      <c r="N12" s="24">
        <f ca="1">IFERROR(__xludf.DUMMYFUNCTION("""COMPUTED_VALUE"""),1)</f>
        <v>1</v>
      </c>
      <c r="O12" s="24">
        <f ca="1">IFERROR(__xludf.DUMMYFUNCTION("""COMPUTED_VALUE"""),3.11)</f>
        <v>3.11</v>
      </c>
      <c r="P12" s="24" t="str">
        <f ca="1">IFERROR(__xludf.DUMMYFUNCTION("""COMPUTED_VALUE"""),"Yes")</f>
        <v>Yes</v>
      </c>
      <c r="Q12" s="24" t="str">
        <f ca="1">IFERROR(__xludf.DUMMYFUNCTION("""COMPUTED_VALUE"""),"Yes")</f>
        <v>Yes</v>
      </c>
      <c r="R12" s="24" t="str">
        <f ca="1">IFERROR(__xludf.DUMMYFUNCTION("""COMPUTED_VALUE"""),"ภาควิชาปรสิตวิทยา")</f>
        <v>ภาควิชาปรสิตวิทยา</v>
      </c>
      <c r="S12" s="24">
        <f ca="1">IFERROR(__xludf.DUMMYFUNCTION("""COMPUTED_VALUE"""),47)</f>
        <v>47</v>
      </c>
      <c r="T12" s="24" t="str">
        <f ca="1">IFERROR(__xludf.DUMMYFUNCTION("""COMPUTED_VALUE"""),"February")</f>
        <v>February</v>
      </c>
    </row>
    <row r="13" spans="1:20" ht="14.25" hidden="1">
      <c r="A13" s="24">
        <f ca="1">IFERROR(__xludf.DUMMYFUNCTION("""COMPUTED_VALUE"""),2023)</f>
        <v>2023</v>
      </c>
      <c r="B13" s="24">
        <f ca="1">IFERROR(__xludf.DUMMYFUNCTION("""COMPUTED_VALUE"""),563)</f>
        <v>563</v>
      </c>
      <c r="C13" s="24" t="str">
        <f ca="1">IFERROR(__xludf.DUMMYFUNCTION("""COMPUTED_VALUE"""),"Piperine as potential therapy of post-weaning porcine diarrheas: an in vitroย study using a porcine duodenal enteroid model")</f>
        <v>Piperine as potential therapy of post-weaning porcine diarrheas: an in vitroย study using a porcine duodenal enteroid model</v>
      </c>
      <c r="D13" s="24">
        <f ca="1">IFERROR(__xludf.DUMMYFUNCTION("""COMPUTED_VALUE"""),2)</f>
        <v>2</v>
      </c>
      <c r="E13" s="24" t="str">
        <f ca="1">IFERROR(__xludf.DUMMYFUNCTION("""COMPUTED_VALUE"""),"2023.563")</f>
        <v>2023.563</v>
      </c>
      <c r="F13" s="24" t="str">
        <f ca="1">IFERROR(__xludf.DUMMYFUNCTION("""COMPUTED_VALUE"""),"Swine")</f>
        <v>Swine</v>
      </c>
      <c r="G13" s="24" t="str">
        <f ca="1">IFERROR(__xludf.DUMMYFUNCTION("""COMPUTED_VALUE"""),"BMC Veterinary Research")</f>
        <v>BMC Veterinary Research</v>
      </c>
      <c r="H13" s="24" t="str">
        <f ca="1">IFERROR(__xludf.DUMMYFUNCTION("""COMPUTED_VALUE"""),"Nattaphong Akrimajirachoote")</f>
        <v>Nattaphong Akrimajirachoote</v>
      </c>
      <c r="I13" s="24" t="str">
        <f ca="1">IFERROR(__xludf.DUMMYFUNCTION("""COMPUTED_VALUE"""),"CoAuthor")</f>
        <v>CoAuthor</v>
      </c>
      <c r="J13" s="24" t="b">
        <f ca="1">IFERROR(__xludf.DUMMYFUNCTION("""COMPUTED_VALUE"""),FALSE)</f>
        <v>0</v>
      </c>
      <c r="K13" s="24" t="b">
        <f ca="1">IFERROR(__xludf.DUMMYFUNCTION("""COMPUTED_VALUE"""),FALSE)</f>
        <v>0</v>
      </c>
      <c r="L13" s="58">
        <f ca="1">IFERROR(__xludf.DUMMYFUNCTION("""COMPUTED_VALUE"""),44935)</f>
        <v>44935</v>
      </c>
      <c r="M13" s="24" t="str">
        <f ca="1">IFERROR(__xludf.DUMMYFUNCTION("""COMPUTED_VALUE"""),"International")</f>
        <v>International</v>
      </c>
      <c r="N13" s="24">
        <f ca="1">IFERROR(__xludf.DUMMYFUNCTION("""COMPUTED_VALUE"""),1)</f>
        <v>1</v>
      </c>
      <c r="O13" s="24">
        <f ca="1">IFERROR(__xludf.DUMMYFUNCTION("""COMPUTED_VALUE"""),2.741)</f>
        <v>2.7410000000000001</v>
      </c>
      <c r="P13" s="24" t="str">
        <f ca="1">IFERROR(__xludf.DUMMYFUNCTION("""COMPUTED_VALUE"""),"Yes")</f>
        <v>Yes</v>
      </c>
      <c r="Q13" s="24" t="str">
        <f ca="1">IFERROR(__xludf.DUMMYFUNCTION("""COMPUTED_VALUE"""),"Yes")</f>
        <v>Yes</v>
      </c>
      <c r="R13" s="24" t="str">
        <f ca="1">IFERROR(__xludf.DUMMYFUNCTION("""COMPUTED_VALUE"""),"ภาควิชาสรีรวิทยา")</f>
        <v>ภาควิชาสรีรวิทยา</v>
      </c>
      <c r="S13" s="24">
        <f ca="1">IFERROR(__xludf.DUMMYFUNCTION("""COMPUTED_VALUE"""),44)</f>
        <v>44</v>
      </c>
      <c r="T13" s="24" t="str">
        <f ca="1">IFERROR(__xludf.DUMMYFUNCTION("""COMPUTED_VALUE"""),"January")</f>
        <v>January</v>
      </c>
    </row>
    <row r="14" spans="1:20" ht="14.25" hidden="1">
      <c r="A14" s="24">
        <f ca="1">IFERROR(__xludf.DUMMYFUNCTION("""COMPUTED_VALUE"""),2023)</f>
        <v>2023</v>
      </c>
      <c r="B14" s="24">
        <f ca="1">IFERROR(__xludf.DUMMYFUNCTION("""COMPUTED_VALUE"""),565)</f>
        <v>565</v>
      </c>
      <c r="C14" s="24" t="str">
        <f ca="1">IFERROR(__xludf.DUMMYFUNCTION("""COMPUTED_VALUE"""),"Oxidative response to Cd and Pb accumulation in coastal fishes of Pattani Bay")</f>
        <v>Oxidative response to Cd and Pb accumulation in coastal fishes of Pattani Bay</v>
      </c>
      <c r="D14" s="24">
        <f ca="1">IFERROR(__xludf.DUMMYFUNCTION("""COMPUTED_VALUE"""),2)</f>
        <v>2</v>
      </c>
      <c r="E14" s="24" t="str">
        <f ca="1">IFERROR(__xludf.DUMMYFUNCTION("""COMPUTED_VALUE"""),"2023.565")</f>
        <v>2023.565</v>
      </c>
      <c r="F14" s="24" t="str">
        <f ca="1">IFERROR(__xludf.DUMMYFUNCTION("""COMPUTED_VALUE"""),"Fish")</f>
        <v>Fish</v>
      </c>
      <c r="G14" s="24" t="str">
        <f ca="1">IFERROR(__xludf.DUMMYFUNCTION("""COMPUTED_VALUE"""),"Italian Journal of Animal Science")</f>
        <v>Italian Journal of Animal Science</v>
      </c>
      <c r="H14" s="24" t="str">
        <f ca="1">IFERROR(__xludf.DUMMYFUNCTION("""COMPUTED_VALUE"""),"Phanwimol Tanhan")</f>
        <v>Phanwimol Tanhan</v>
      </c>
      <c r="I14" s="24" t="str">
        <f ca="1">IFERROR(__xludf.DUMMYFUNCTION("""COMPUTED_VALUE"""),"FirstAuthor")</f>
        <v>FirstAuthor</v>
      </c>
      <c r="J14" s="24" t="b">
        <f ca="1">IFERROR(__xludf.DUMMYFUNCTION("""COMPUTED_VALUE"""),FALSE)</f>
        <v>0</v>
      </c>
      <c r="K14" s="24" t="b">
        <f ca="1">IFERROR(__xludf.DUMMYFUNCTION("""COMPUTED_VALUE"""),FALSE)</f>
        <v>0</v>
      </c>
      <c r="L14" s="58">
        <f ca="1">IFERROR(__xludf.DUMMYFUNCTION("""COMPUTED_VALUE"""),44930)</f>
        <v>44930</v>
      </c>
      <c r="M14" s="24" t="str">
        <f ca="1">IFERROR(__xludf.DUMMYFUNCTION("""COMPUTED_VALUE"""),"International")</f>
        <v>International</v>
      </c>
      <c r="N14" s="24">
        <f ca="1">IFERROR(__xludf.DUMMYFUNCTION("""COMPUTED_VALUE"""),2)</f>
        <v>2</v>
      </c>
      <c r="O14" s="24">
        <f ca="1">IFERROR(__xludf.DUMMYFUNCTION("""COMPUTED_VALUE"""),2.552)</f>
        <v>2.552</v>
      </c>
      <c r="P14" s="24" t="str">
        <f ca="1">IFERROR(__xludf.DUMMYFUNCTION("""COMPUTED_VALUE"""),"Yes")</f>
        <v>Yes</v>
      </c>
      <c r="Q14" s="24" t="str">
        <f ca="1">IFERROR(__xludf.DUMMYFUNCTION("""COMPUTED_VALUE"""),"Yes")</f>
        <v>Yes</v>
      </c>
      <c r="R14" s="24" t="str">
        <f ca="1">IFERROR(__xludf.DUMMYFUNCTION("""COMPUTED_VALUE"""),"ภาควิชาเภสัชวิทยา")</f>
        <v>ภาควิชาเภสัชวิทยา</v>
      </c>
      <c r="S14" s="24">
        <f ca="1">IFERROR(__xludf.DUMMYFUNCTION("""COMPUTED_VALUE"""),46)</f>
        <v>46</v>
      </c>
      <c r="T14" s="24" t="str">
        <f ca="1">IFERROR(__xludf.DUMMYFUNCTION("""COMPUTED_VALUE"""),"January")</f>
        <v>January</v>
      </c>
    </row>
    <row r="15" spans="1:20" ht="14.25" hidden="1">
      <c r="A15" s="24">
        <f ca="1">IFERROR(__xludf.DUMMYFUNCTION("""COMPUTED_VALUE"""),2023)</f>
        <v>2023</v>
      </c>
      <c r="B15" s="24">
        <f ca="1">IFERROR(__xludf.DUMMYFUNCTION("""COMPUTED_VALUE"""),567)</f>
        <v>567</v>
      </c>
      <c r="C15" s="24" t="str">
        <f ca="1">IFERROR(__xludf.DUMMYFUNCTION("""COMPUTED_VALUE"""),"Molecular Detection and Genetic Characterization of Zoonotic Hookworm in Semi-Domesticated Cats Residing in Monasteries in Bangkok, Thailand")</f>
        <v>Molecular Detection and Genetic Characterization of Zoonotic Hookworm in Semi-Domesticated Cats Residing in Monasteries in Bangkok, Thailand</v>
      </c>
      <c r="D15" s="24">
        <f ca="1">IFERROR(__xludf.DUMMYFUNCTION("""COMPUTED_VALUE"""),2)</f>
        <v>2</v>
      </c>
      <c r="E15" s="24" t="str">
        <f ca="1">IFERROR(__xludf.DUMMYFUNCTION("""COMPUTED_VALUE"""),"2023.567")</f>
        <v>2023.567</v>
      </c>
      <c r="F15" s="24" t="str">
        <f ca="1">IFERROR(__xludf.DUMMYFUNCTION("""COMPUTED_VALUE"""),"Cat")</f>
        <v>Cat</v>
      </c>
      <c r="G15" s="24" t="str">
        <f ca="1">IFERROR(__xludf.DUMMYFUNCTION("""COMPUTED_VALUE"""),"Tropical Medicine and Infectious Disease")</f>
        <v>Tropical Medicine and Infectious Disease</v>
      </c>
      <c r="H15" s="24" t="str">
        <f ca="1">IFERROR(__xludf.DUMMYFUNCTION("""COMPUTED_VALUE"""),"Tawin Inpankaew")</f>
        <v>Tawin Inpankaew</v>
      </c>
      <c r="I15" s="24" t="str">
        <f ca="1">IFERROR(__xludf.DUMMYFUNCTION("""COMPUTED_VALUE"""),"CorrespondingAuthor")</f>
        <v>CorrespondingAuthor</v>
      </c>
      <c r="J15" s="24" t="b">
        <f ca="1">IFERROR(__xludf.DUMMYFUNCTION("""COMPUTED_VALUE"""),FALSE)</f>
        <v>0</v>
      </c>
      <c r="K15" s="24" t="b">
        <f ca="1">IFERROR(__xludf.DUMMYFUNCTION("""COMPUTED_VALUE"""),FALSE)</f>
        <v>0</v>
      </c>
      <c r="L15" s="58">
        <f ca="1">IFERROR(__xludf.DUMMYFUNCTION("""COMPUTED_VALUE"""),44971)</f>
        <v>44971</v>
      </c>
      <c r="M15" s="24" t="str">
        <f ca="1">IFERROR(__xludf.DUMMYFUNCTION("""COMPUTED_VALUE"""),"International")</f>
        <v>International</v>
      </c>
      <c r="N15" s="24">
        <f ca="1">IFERROR(__xludf.DUMMYFUNCTION("""COMPUTED_VALUE"""),1)</f>
        <v>1</v>
      </c>
      <c r="O15" s="24">
        <f ca="1">IFERROR(__xludf.DUMMYFUNCTION("""COMPUTED_VALUE"""),3.11)</f>
        <v>3.11</v>
      </c>
      <c r="P15" s="24" t="str">
        <f ca="1">IFERROR(__xludf.DUMMYFUNCTION("""COMPUTED_VALUE"""),"Yes")</f>
        <v>Yes</v>
      </c>
      <c r="Q15" s="24" t="str">
        <f ca="1">IFERROR(__xludf.DUMMYFUNCTION("""COMPUTED_VALUE"""),"Yes")</f>
        <v>Yes</v>
      </c>
      <c r="R15" s="24" t="str">
        <f ca="1">IFERROR(__xludf.DUMMYFUNCTION("""COMPUTED_VALUE"""),"ภาควิชาปรสิตวิทยา")</f>
        <v>ภาควิชาปรสิตวิทยา</v>
      </c>
      <c r="S15" s="24">
        <f ca="1">IFERROR(__xludf.DUMMYFUNCTION("""COMPUTED_VALUE"""),47)</f>
        <v>47</v>
      </c>
      <c r="T15" s="24" t="str">
        <f ca="1">IFERROR(__xludf.DUMMYFUNCTION("""COMPUTED_VALUE"""),"February")</f>
        <v>February</v>
      </c>
    </row>
    <row r="16" spans="1:20" ht="14.25" hidden="1">
      <c r="A16" s="24">
        <f ca="1">IFERROR(__xludf.DUMMYFUNCTION("""COMPUTED_VALUE"""),2023)</f>
        <v>2023</v>
      </c>
      <c r="B16" s="24">
        <f ca="1">IFERROR(__xludf.DUMMYFUNCTION("""COMPUTED_VALUE"""),569)</f>
        <v>569</v>
      </c>
      <c r="C16" s="24" t="str">
        <f ca="1">IFERROR(__xludf.DUMMYFUNCTION("""COMPUTED_VALUE"""),"An exploratory study on the perceptions of rabies and ill-health causations and health seeking behaviours of school children and local communities in southern Bhutan")</f>
        <v>An exploratory study on the perceptions of rabies and ill-health causations and health seeking behaviours of school children and local communities in southern Bhutan</v>
      </c>
      <c r="D16" s="24">
        <f ca="1">IFERROR(__xludf.DUMMYFUNCTION("""COMPUTED_VALUE"""),2)</f>
        <v>2</v>
      </c>
      <c r="E16" s="24" t="str">
        <f ca="1">IFERROR(__xludf.DUMMYFUNCTION("""COMPUTED_VALUE"""),"2023.569")</f>
        <v>2023.569</v>
      </c>
      <c r="F16" s="24" t="str">
        <f ca="1">IFERROR(__xludf.DUMMYFUNCTION("""COMPUTED_VALUE"""),"Rabies")</f>
        <v>Rabies</v>
      </c>
      <c r="G16" s="24" t="str">
        <f ca="1">IFERROR(__xludf.DUMMYFUNCTION("""COMPUTED_VALUE"""),"BMC Public Health")</f>
        <v>BMC Public Health</v>
      </c>
      <c r="H16" s="24" t="str">
        <f ca="1">IFERROR(__xludf.DUMMYFUNCTION("""COMPUTED_VALUE"""),"Waraphon Phimpraphai")</f>
        <v>Waraphon Phimpraphai</v>
      </c>
      <c r="I16" s="24" t="str">
        <f ca="1">IFERROR(__xludf.DUMMYFUNCTION("""COMPUTED_VALUE"""),"CoAuthor")</f>
        <v>CoAuthor</v>
      </c>
      <c r="J16" s="24" t="b">
        <f ca="1">IFERROR(__xludf.DUMMYFUNCTION("""COMPUTED_VALUE"""),FALSE)</f>
        <v>0</v>
      </c>
      <c r="K16" s="24" t="b">
        <f ca="1">IFERROR(__xludf.DUMMYFUNCTION("""COMPUTED_VALUE"""),FALSE)</f>
        <v>0</v>
      </c>
      <c r="L16" s="58">
        <f ca="1">IFERROR(__xludf.DUMMYFUNCTION("""COMPUTED_VALUE"""),44964)</f>
        <v>44964</v>
      </c>
      <c r="M16" s="24" t="str">
        <f ca="1">IFERROR(__xludf.DUMMYFUNCTION("""COMPUTED_VALUE"""),"International")</f>
        <v>International</v>
      </c>
      <c r="N16" s="24">
        <f ca="1">IFERROR(__xludf.DUMMYFUNCTION("""COMPUTED_VALUE"""),1)</f>
        <v>1</v>
      </c>
      <c r="O16" s="24">
        <f ca="1">IFERROR(__xludf.DUMMYFUNCTION("""COMPUTED_VALUE"""),4.545)</f>
        <v>4.5449999999999999</v>
      </c>
      <c r="P16" s="24" t="str">
        <f ca="1">IFERROR(__xludf.DUMMYFUNCTION("""COMPUTED_VALUE"""),"Yes")</f>
        <v>Yes</v>
      </c>
      <c r="Q16" s="24" t="str">
        <f ca="1">IFERROR(__xludf.DUMMYFUNCTION("""COMPUTED_VALUE"""),"Yes")</f>
        <v>Yes</v>
      </c>
      <c r="R16" s="24" t="str">
        <f ca="1">IFERROR(__xludf.DUMMYFUNCTION("""COMPUTED_VALUE"""),"ภาควิชาสัตวแพทยสาธารณสุขศาสตร์")</f>
        <v>ภาควิชาสัตวแพทยสาธารณสุขศาสตร์</v>
      </c>
      <c r="S16" s="24">
        <f ca="1">IFERROR(__xludf.DUMMYFUNCTION("""COMPUTED_VALUE"""),50)</f>
        <v>50</v>
      </c>
      <c r="T16" s="24" t="str">
        <f ca="1">IFERROR(__xludf.DUMMYFUNCTION("""COMPUTED_VALUE"""),"February")</f>
        <v>February</v>
      </c>
    </row>
    <row r="17" spans="1:20" ht="14.25" hidden="1">
      <c r="A17" s="24">
        <f ca="1">IFERROR(__xludf.DUMMYFUNCTION("""COMPUTED_VALUE"""),2023)</f>
        <v>2023</v>
      </c>
      <c r="B17" s="24">
        <f ca="1">IFERROR(__xludf.DUMMYFUNCTION("""COMPUTED_VALUE"""),571)</f>
        <v>571</v>
      </c>
      <c r="C17" s="24" t="str">
        <f ca="1">IFERROR(__xludf.DUMMYFUNCTION("""COMPUTED_VALUE"""),"Development of a lateral flow dipstick test for the detection of 4 strains of Salmonella spp. in animal products and animal production environmental samples based on loop-mediated isothermal amplification")</f>
        <v>Development of a lateral flow dipstick test for the detection of 4 strains of Salmonella spp. in animal products and animal production environmental samples based on loop-mediated isothermal amplification</v>
      </c>
      <c r="D17" s="24">
        <f ca="1">IFERROR(__xludf.DUMMYFUNCTION("""COMPUTED_VALUE"""),2)</f>
        <v>2</v>
      </c>
      <c r="E17" s="24" t="str">
        <f ca="1">IFERROR(__xludf.DUMMYFUNCTION("""COMPUTED_VALUE"""),"2023.571")</f>
        <v>2023.571</v>
      </c>
      <c r="F17" s="24" t="str">
        <f ca="1">IFERROR(__xludf.DUMMYFUNCTION("""COMPUTED_VALUE"""),"Meat")</f>
        <v>Meat</v>
      </c>
      <c r="G17" s="24" t="str">
        <f ca="1">IFERROR(__xludf.DUMMYFUNCTION("""COMPUTED_VALUE"""),"Animal Bioscience")</f>
        <v>Animal Bioscience</v>
      </c>
      <c r="H17" s="24" t="str">
        <f ca="1">IFERROR(__xludf.DUMMYFUNCTION("""COMPUTED_VALUE"""),"Chalermkiat Saengthongpinit")</f>
        <v>Chalermkiat Saengthongpinit</v>
      </c>
      <c r="I17" s="24" t="str">
        <f ca="1">IFERROR(__xludf.DUMMYFUNCTION("""COMPUTED_VALUE"""),"CorrespondingAuthor")</f>
        <v>CorrespondingAuthor</v>
      </c>
      <c r="J17" s="24" t="b">
        <f ca="1">IFERROR(__xludf.DUMMYFUNCTION("""COMPUTED_VALUE"""),FALSE)</f>
        <v>0</v>
      </c>
      <c r="K17" s="24" t="b">
        <f ca="1">IFERROR(__xludf.DUMMYFUNCTION("""COMPUTED_VALUE"""),FALSE)</f>
        <v>0</v>
      </c>
      <c r="L17" s="58">
        <f ca="1">IFERROR(__xludf.DUMMYFUNCTION("""COMPUTED_VALUE"""),45021)</f>
        <v>45021</v>
      </c>
      <c r="M17" s="24" t="str">
        <f ca="1">IFERROR(__xludf.DUMMYFUNCTION("""COMPUTED_VALUE"""),"International")</f>
        <v>International</v>
      </c>
      <c r="N17" s="24">
        <f ca="1">IFERROR(__xludf.DUMMYFUNCTION("""COMPUTED_VALUE"""),1)</f>
        <v>1</v>
      </c>
      <c r="O17" s="24">
        <f ca="1">IFERROR(__xludf.DUMMYFUNCTION("""COMPUTED_VALUE"""),2.509)</f>
        <v>2.5089999999999999</v>
      </c>
      <c r="P17" s="24" t="str">
        <f ca="1">IFERROR(__xludf.DUMMYFUNCTION("""COMPUTED_VALUE"""),"Yes")</f>
        <v>Yes</v>
      </c>
      <c r="Q17" s="24" t="str">
        <f ca="1">IFERROR(__xludf.DUMMYFUNCTION("""COMPUTED_VALUE"""),"Yes")</f>
        <v>Yes</v>
      </c>
      <c r="R17" s="24" t="str">
        <f ca="1">IFERROR(__xludf.DUMMYFUNCTION("""COMPUTED_VALUE"""),"ภาควิชาสัตวแพทยสาธารณสุขศาสตร์")</f>
        <v>ภาควิชาสัตวแพทยสาธารณสุขศาสตร์</v>
      </c>
      <c r="S17" s="24">
        <f ca="1">IFERROR(__xludf.DUMMYFUNCTION("""COMPUTED_VALUE"""),52)</f>
        <v>52</v>
      </c>
      <c r="T17" s="24" t="str">
        <f ca="1">IFERROR(__xludf.DUMMYFUNCTION("""COMPUTED_VALUE"""),"April")</f>
        <v>April</v>
      </c>
    </row>
    <row r="18" spans="1:20" ht="14.25" hidden="1">
      <c r="A18" s="24">
        <f ca="1">IFERROR(__xludf.DUMMYFUNCTION("""COMPUTED_VALUE"""),2023)</f>
        <v>2023</v>
      </c>
      <c r="B18" s="24">
        <f ca="1">IFERROR(__xludf.DUMMYFUNCTION("""COMPUTED_VALUE"""),572)</f>
        <v>572</v>
      </c>
      <c r="C18" s="24" t="str">
        <f ca="1">IFERROR(__xludf.DUMMYFUNCTION("""COMPUTED_VALUE"""),"Concurrent infections of Streptococcus iniae and Aeromonas veronii in farmed Giant snakehead (Channa micropeltes)")</f>
        <v>Concurrent infections of Streptococcus iniae and Aeromonas veronii in farmed Giant snakehead (Channa micropeltes)</v>
      </c>
      <c r="D18" s="24">
        <f ca="1">IFERROR(__xludf.DUMMYFUNCTION("""COMPUTED_VALUE"""),2)</f>
        <v>2</v>
      </c>
      <c r="E18" s="24" t="str">
        <f ca="1">IFERROR(__xludf.DUMMYFUNCTION("""COMPUTED_VALUE"""),"2023.572")</f>
        <v>2023.572</v>
      </c>
      <c r="F18" s="24" t="str">
        <f ca="1">IFERROR(__xludf.DUMMYFUNCTION("""COMPUTED_VALUE"""),"Fish")</f>
        <v>Fish</v>
      </c>
      <c r="G18" s="24" t="str">
        <f ca="1">IFERROR(__xludf.DUMMYFUNCTION("""COMPUTED_VALUE"""),"Journal of Fish Diseases")</f>
        <v>Journal of Fish Diseases</v>
      </c>
      <c r="H18" s="24" t="str">
        <f ca="1">IFERROR(__xludf.DUMMYFUNCTION("""COMPUTED_VALUE"""),"Win Surachetpong")</f>
        <v>Win Surachetpong</v>
      </c>
      <c r="I18" s="24" t="str">
        <f ca="1">IFERROR(__xludf.DUMMYFUNCTION("""COMPUTED_VALUE"""),"CorrespondingAuthor")</f>
        <v>CorrespondingAuthor</v>
      </c>
      <c r="J18" s="24" t="b">
        <f ca="1">IFERROR(__xludf.DUMMYFUNCTION("""COMPUTED_VALUE"""),FALSE)</f>
        <v>0</v>
      </c>
      <c r="K18" s="24" t="b">
        <f ca="1">IFERROR(__xludf.DUMMYFUNCTION("""COMPUTED_VALUE"""),FALSE)</f>
        <v>0</v>
      </c>
      <c r="L18" s="58">
        <f ca="1">IFERROR(__xludf.DUMMYFUNCTION("""COMPUTED_VALUE"""),44988)</f>
        <v>44988</v>
      </c>
      <c r="M18" s="24" t="str">
        <f ca="1">IFERROR(__xludf.DUMMYFUNCTION("""COMPUTED_VALUE"""),"International")</f>
        <v>International</v>
      </c>
      <c r="N18" s="24">
        <f ca="1">IFERROR(__xludf.DUMMYFUNCTION("""COMPUTED_VALUE"""),1)</f>
        <v>1</v>
      </c>
      <c r="O18" s="24">
        <f ca="1">IFERROR(__xludf.DUMMYFUNCTION("""COMPUTED_VALUE"""),2.63)</f>
        <v>2.63</v>
      </c>
      <c r="P18" s="24" t="str">
        <f ca="1">IFERROR(__xludf.DUMMYFUNCTION("""COMPUTED_VALUE"""),"Yes")</f>
        <v>Yes</v>
      </c>
      <c r="Q18" s="24" t="str">
        <f ca="1">IFERROR(__xludf.DUMMYFUNCTION("""COMPUTED_VALUE"""),"Yes")</f>
        <v>Yes</v>
      </c>
      <c r="R18" s="24" t="str">
        <f ca="1">IFERROR(__xludf.DUMMYFUNCTION("""COMPUTED_VALUE"""),"ภาควิชาจุลชีววิทยาและวิทยาฯ")</f>
        <v>ภาควิชาจุลชีววิทยาและวิทยาฯ</v>
      </c>
      <c r="S18" s="24">
        <f ca="1">IFERROR(__xludf.DUMMYFUNCTION("""COMPUTED_VALUE"""),48)</f>
        <v>48</v>
      </c>
      <c r="T18" s="24" t="str">
        <f ca="1">IFERROR(__xludf.DUMMYFUNCTION("""COMPUTED_VALUE"""),"March")</f>
        <v>March</v>
      </c>
    </row>
    <row r="19" spans="1:20" ht="14.25" hidden="1">
      <c r="A19" s="24">
        <f ca="1">IFERROR(__xludf.DUMMYFUNCTION("""COMPUTED_VALUE"""),2023)</f>
        <v>2023</v>
      </c>
      <c r="B19" s="24">
        <f ca="1">IFERROR(__xludf.DUMMYFUNCTION("""COMPUTED_VALUE"""),573)</f>
        <v>573</v>
      </c>
      <c r="C19" s="24" t="str">
        <f ca="1">IFERROR(__xludf.DUMMYFUNCTION("""COMPUTED_VALUE"""),"Companion Vector-Borne Pathogens and Associated Risk Factors in Apparently Healthy Pet Animals (Dogs and Cats) in Khukhot City Municipality, Pathum Thani Province, Thailand")</f>
        <v>Companion Vector-Borne Pathogens and Associated Risk Factors in Apparently Healthy Pet Animals (Dogs and Cats) in Khukhot City Municipality, Pathum Thani Province, Thailand</v>
      </c>
      <c r="D19" s="24">
        <f ca="1">IFERROR(__xludf.DUMMYFUNCTION("""COMPUTED_VALUE"""),2)</f>
        <v>2</v>
      </c>
      <c r="E19" s="24" t="str">
        <f ca="1">IFERROR(__xludf.DUMMYFUNCTION("""COMPUTED_VALUE"""),"2023.573")</f>
        <v>2023.573</v>
      </c>
      <c r="F19" s="24" t="str">
        <f ca="1">IFERROR(__xludf.DUMMYFUNCTION("""COMPUTED_VALUE"""),"Dog")</f>
        <v>Dog</v>
      </c>
      <c r="G19" s="24" t="str">
        <f ca="1">IFERROR(__xludf.DUMMYFUNCTION("""COMPUTED_VALUE"""),"Pathogens")</f>
        <v>Pathogens</v>
      </c>
      <c r="H19" s="24" t="str">
        <f ca="1">IFERROR(__xludf.DUMMYFUNCTION("""COMPUTED_VALUE"""),"Tawin Inpankaew")</f>
        <v>Tawin Inpankaew</v>
      </c>
      <c r="I19" s="24" t="str">
        <f ca="1">IFERROR(__xludf.DUMMYFUNCTION("""COMPUTED_VALUE"""),"CorrespondingAuthor")</f>
        <v>CorrespondingAuthor</v>
      </c>
      <c r="J19" s="24" t="b">
        <f ca="1">IFERROR(__xludf.DUMMYFUNCTION("""COMPUTED_VALUE"""),FALSE)</f>
        <v>0</v>
      </c>
      <c r="K19" s="24" t="b">
        <f ca="1">IFERROR(__xludf.DUMMYFUNCTION("""COMPUTED_VALUE"""),FALSE)</f>
        <v>0</v>
      </c>
      <c r="L19" s="58">
        <f ca="1">IFERROR(__xludf.DUMMYFUNCTION("""COMPUTED_VALUE"""),44981)</f>
        <v>44981</v>
      </c>
      <c r="M19" s="24" t="str">
        <f ca="1">IFERROR(__xludf.DUMMYFUNCTION("""COMPUTED_VALUE"""),"International")</f>
        <v>International</v>
      </c>
      <c r="N19" s="24">
        <f ca="1">IFERROR(__xludf.DUMMYFUNCTION("""COMPUTED_VALUE"""),2)</f>
        <v>2</v>
      </c>
      <c r="O19" s="24">
        <f ca="1">IFERROR(__xludf.DUMMYFUNCTION("""COMPUTED_VALUE"""),3.405)</f>
        <v>3.4049999999999998</v>
      </c>
      <c r="P19" s="24" t="str">
        <f ca="1">IFERROR(__xludf.DUMMYFUNCTION("""COMPUTED_VALUE"""),"Yes")</f>
        <v>Yes</v>
      </c>
      <c r="Q19" s="24" t="str">
        <f ca="1">IFERROR(__xludf.DUMMYFUNCTION("""COMPUTED_VALUE"""),"Yes")</f>
        <v>Yes</v>
      </c>
      <c r="R19" s="24" t="str">
        <f ca="1">IFERROR(__xludf.DUMMYFUNCTION("""COMPUTED_VALUE"""),"ภาควิชาปรสิตวิทยา")</f>
        <v>ภาควิชาปรสิตวิทยา</v>
      </c>
      <c r="S19" s="24">
        <f ca="1">IFERROR(__xludf.DUMMYFUNCTION("""COMPUTED_VALUE"""),47)</f>
        <v>47</v>
      </c>
      <c r="T19" s="24" t="str">
        <f ca="1">IFERROR(__xludf.DUMMYFUNCTION("""COMPUTED_VALUE"""),"February")</f>
        <v>February</v>
      </c>
    </row>
    <row r="20" spans="1:20" ht="14.25" hidden="1">
      <c r="A20" s="24">
        <f ca="1">IFERROR(__xludf.DUMMYFUNCTION("""COMPUTED_VALUE"""),2023)</f>
        <v>2023</v>
      </c>
      <c r="B20" s="24">
        <f ca="1">IFERROR(__xludf.DUMMYFUNCTION("""COMPUTED_VALUE"""),574)</f>
        <v>574</v>
      </c>
      <c r="C20" s="24" t="str">
        <f ca="1">IFERROR(__xludf.DUMMYFUNCTION("""COMPUTED_VALUE"""),"Tilapia lake virus (TiLV) causes severe anaemia and systemic disease in tilapia")</f>
        <v>Tilapia lake virus (TiLV) causes severe anaemia and systemic disease in tilapia</v>
      </c>
      <c r="D20" s="24">
        <f ca="1">IFERROR(__xludf.DUMMYFUNCTION("""COMPUTED_VALUE"""),2)</f>
        <v>2</v>
      </c>
      <c r="E20" s="24" t="str">
        <f ca="1">IFERROR(__xludf.DUMMYFUNCTION("""COMPUTED_VALUE"""),"2023.574")</f>
        <v>2023.574</v>
      </c>
      <c r="F20" s="24" t="str">
        <f ca="1">IFERROR(__xludf.DUMMYFUNCTION("""COMPUTED_VALUE"""),"Fish")</f>
        <v>Fish</v>
      </c>
      <c r="G20" s="24" t="str">
        <f ca="1">IFERROR(__xludf.DUMMYFUNCTION("""COMPUTED_VALUE"""),"Journal of Fish Diseases")</f>
        <v>Journal of Fish Diseases</v>
      </c>
      <c r="H20" s="24" t="str">
        <f ca="1">IFERROR(__xludf.DUMMYFUNCTION("""COMPUTED_VALUE"""),"Win Surachetpong")</f>
        <v>Win Surachetpong</v>
      </c>
      <c r="I20" s="24" t="str">
        <f ca="1">IFERROR(__xludf.DUMMYFUNCTION("""COMPUTED_VALUE"""),"CorrespondingAuthor")</f>
        <v>CorrespondingAuthor</v>
      </c>
      <c r="J20" s="24" t="b">
        <f ca="1">IFERROR(__xludf.DUMMYFUNCTION("""COMPUTED_VALUE"""),TRUE)</f>
        <v>1</v>
      </c>
      <c r="K20" s="24" t="b">
        <f ca="1">IFERROR(__xludf.DUMMYFUNCTION("""COMPUTED_VALUE"""),FALSE)</f>
        <v>0</v>
      </c>
      <c r="L20" s="58">
        <f ca="1">IFERROR(__xludf.DUMMYFUNCTION("""COMPUTED_VALUE"""),44984)</f>
        <v>44984</v>
      </c>
      <c r="M20" s="24" t="str">
        <f ca="1">IFERROR(__xludf.DUMMYFUNCTION("""COMPUTED_VALUE"""),"International")</f>
        <v>International</v>
      </c>
      <c r="N20" s="24">
        <f ca="1">IFERROR(__xludf.DUMMYFUNCTION("""COMPUTED_VALUE"""),1)</f>
        <v>1</v>
      </c>
      <c r="O20" s="24">
        <f ca="1">IFERROR(__xludf.DUMMYFUNCTION("""COMPUTED_VALUE"""),2.63)</f>
        <v>2.63</v>
      </c>
      <c r="P20" s="24" t="str">
        <f ca="1">IFERROR(__xludf.DUMMYFUNCTION("""COMPUTED_VALUE"""),"Yes")</f>
        <v>Yes</v>
      </c>
      <c r="Q20" s="24" t="str">
        <f ca="1">IFERROR(__xludf.DUMMYFUNCTION("""COMPUTED_VALUE"""),"Yes")</f>
        <v>Yes</v>
      </c>
      <c r="R20" s="24" t="str">
        <f ca="1">IFERROR(__xludf.DUMMYFUNCTION("""COMPUTED_VALUE"""),"ภาควิชาจุลชีววิทยาและวิทยาฯ")</f>
        <v>ภาควิชาจุลชีววิทยาและวิทยาฯ</v>
      </c>
      <c r="S20" s="24">
        <f ca="1">IFERROR(__xludf.DUMMYFUNCTION("""COMPUTED_VALUE"""),48)</f>
        <v>48</v>
      </c>
      <c r="T20" s="24" t="str">
        <f ca="1">IFERROR(__xludf.DUMMYFUNCTION("""COMPUTED_VALUE"""),"February")</f>
        <v>February</v>
      </c>
    </row>
    <row r="21" spans="1:20" ht="14.25" hidden="1">
      <c r="A21" s="24">
        <f ca="1">IFERROR(__xludf.DUMMYFUNCTION("""COMPUTED_VALUE"""),2023)</f>
        <v>2023</v>
      </c>
      <c r="B21" s="24">
        <f ca="1">IFERROR(__xludf.DUMMYFUNCTION("""COMPUTED_VALUE"""),575)</f>
        <v>575</v>
      </c>
      <c r="C21" s="24" t="str">
        <f ca="1">IFERROR(__xludf.DUMMYFUNCTION("""COMPUTED_VALUE"""),"Review of alternatives to antibiotic use in aquaculture")</f>
        <v>Review of alternatives to antibiotic use in aquaculture</v>
      </c>
      <c r="D21" s="24">
        <f ca="1">IFERROR(__xludf.DUMMYFUNCTION("""COMPUTED_VALUE"""),3)</f>
        <v>3</v>
      </c>
      <c r="E21" s="24" t="str">
        <f ca="1">IFERROR(__xludf.DUMMYFUNCTION("""COMPUTED_VALUE"""),"2023.575")</f>
        <v>2023.575</v>
      </c>
      <c r="F21" s="24" t="str">
        <f ca="1">IFERROR(__xludf.DUMMYFUNCTION("""COMPUTED_VALUE"""),"Fish")</f>
        <v>Fish</v>
      </c>
      <c r="G21" s="24" t="str">
        <f ca="1">IFERROR(__xludf.DUMMYFUNCTION("""COMPUTED_VALUE"""),"Reviews in aquaculture")</f>
        <v>Reviews in aquaculture</v>
      </c>
      <c r="H21" s="24" t="str">
        <f ca="1">IFERROR(__xludf.DUMMYFUNCTION("""COMPUTED_VALUE"""),"Win Surachetpong")</f>
        <v>Win Surachetpong</v>
      </c>
      <c r="I21" s="24" t="str">
        <f ca="1">IFERROR(__xludf.DUMMYFUNCTION("""COMPUTED_VALUE"""),"CoAuthor")</f>
        <v>CoAuthor</v>
      </c>
      <c r="J21" s="24" t="b">
        <f ca="1">IFERROR(__xludf.DUMMYFUNCTION("""COMPUTED_VALUE"""),FALSE)</f>
        <v>0</v>
      </c>
      <c r="K21" s="24" t="b">
        <f ca="1">IFERROR(__xludf.DUMMYFUNCTION("""COMPUTED_VALUE"""),FALSE)</f>
        <v>0</v>
      </c>
      <c r="L21" s="58">
        <f ca="1">IFERROR(__xludf.DUMMYFUNCTION("""COMPUTED_VALUE"""),44981)</f>
        <v>44981</v>
      </c>
      <c r="M21" s="24" t="str">
        <f ca="1">IFERROR(__xludf.DUMMYFUNCTION("""COMPUTED_VALUE"""),"International")</f>
        <v>International</v>
      </c>
      <c r="N21" s="24">
        <f ca="1">IFERROR(__xludf.DUMMYFUNCTION("""COMPUTED_VALUE"""),1)</f>
        <v>1</v>
      </c>
      <c r="O21" s="24">
        <f ca="1">IFERROR(__xludf.DUMMYFUNCTION("""COMPUTED_VALUE"""),10.618)</f>
        <v>10.618</v>
      </c>
      <c r="P21" s="24" t="str">
        <f ca="1">IFERROR(__xludf.DUMMYFUNCTION("""COMPUTED_VALUE"""),"Yes")</f>
        <v>Yes</v>
      </c>
      <c r="Q21" s="24" t="str">
        <f ca="1">IFERROR(__xludf.DUMMYFUNCTION("""COMPUTED_VALUE"""),"Yes")</f>
        <v>Yes</v>
      </c>
      <c r="R21" s="24" t="str">
        <f ca="1">IFERROR(__xludf.DUMMYFUNCTION("""COMPUTED_VALUE"""),"ภาควิชาจุลชีววิทยาและวิทยาฯ")</f>
        <v>ภาควิชาจุลชีววิทยาและวิทยาฯ</v>
      </c>
      <c r="S21" s="24">
        <f ca="1">IFERROR(__xludf.DUMMYFUNCTION("""COMPUTED_VALUE"""),48)</f>
        <v>48</v>
      </c>
      <c r="T21" s="24" t="str">
        <f ca="1">IFERROR(__xludf.DUMMYFUNCTION("""COMPUTED_VALUE"""),"February")</f>
        <v>February</v>
      </c>
    </row>
    <row r="22" spans="1:20" ht="14.25" hidden="1">
      <c r="A22" s="24">
        <f ca="1">IFERROR(__xludf.DUMMYFUNCTION("""COMPUTED_VALUE"""),2023)</f>
        <v>2023</v>
      </c>
      <c r="B22" s="24">
        <f ca="1">IFERROR(__xludf.DUMMYFUNCTION("""COMPUTED_VALUE"""),576)</f>
        <v>576</v>
      </c>
      <c r="C22" s="24" t="str">
        <f ca="1">IFERROR(__xludf.DUMMYFUNCTION("""COMPUTED_VALUE"""),"Sample preparation and mass spectrometry for determining mycotoxins, hazardous fungi, and their metabolites in the environment, food, and healthcare")</f>
        <v>Sample preparation and mass spectrometry for determining mycotoxins, hazardous fungi, and their metabolites in the environment, food, and healthcare</v>
      </c>
      <c r="D22" s="24">
        <f ca="1">IFERROR(__xludf.DUMMYFUNCTION("""COMPUTED_VALUE"""),2)</f>
        <v>2</v>
      </c>
      <c r="E22" s="24" t="str">
        <f ca="1">IFERROR(__xludf.DUMMYFUNCTION("""COMPUTED_VALUE"""),"2023.576")</f>
        <v>2023.576</v>
      </c>
      <c r="F22" s="24" t="str">
        <f ca="1">IFERROR(__xludf.DUMMYFUNCTION("""COMPUTED_VALUE"""),"Mycotoxin")</f>
        <v>Mycotoxin</v>
      </c>
      <c r="G22" s="24" t="str">
        <f ca="1">IFERROR(__xludf.DUMMYFUNCTION("""COMPUTED_VALUE"""),"TrAC Trends in Analytical Chemistry")</f>
        <v>TrAC Trends in Analytical Chemistry</v>
      </c>
      <c r="H22" s="24" t="str">
        <f ca="1">IFERROR(__xludf.DUMMYFUNCTION("""COMPUTED_VALUE"""),"Saranya Poapolathep")</f>
        <v>Saranya Poapolathep</v>
      </c>
      <c r="I22" s="24" t="str">
        <f ca="1">IFERROR(__xludf.DUMMYFUNCTION("""COMPUTED_VALUE"""),"CoAuthor")</f>
        <v>CoAuthor</v>
      </c>
      <c r="J22" s="24" t="b">
        <f ca="1">IFERROR(__xludf.DUMMYFUNCTION("""COMPUTED_VALUE"""),FALSE)</f>
        <v>0</v>
      </c>
      <c r="K22" s="24" t="b">
        <f ca="1">IFERROR(__xludf.DUMMYFUNCTION("""COMPUTED_VALUE"""),FALSE)</f>
        <v>0</v>
      </c>
      <c r="L22" s="58">
        <f ca="1">IFERROR(__xludf.DUMMYFUNCTION("""COMPUTED_VALUE"""),45008)</f>
        <v>45008</v>
      </c>
      <c r="M22" s="24" t="str">
        <f ca="1">IFERROR(__xludf.DUMMYFUNCTION("""COMPUTED_VALUE"""),"International")</f>
        <v>International</v>
      </c>
      <c r="N22" s="24">
        <f ca="1">IFERROR(__xludf.DUMMYFUNCTION("""COMPUTED_VALUE"""),1)</f>
        <v>1</v>
      </c>
      <c r="O22" s="24">
        <f ca="1">IFERROR(__xludf.DUMMYFUNCTION("""COMPUTED_VALUE"""),14.908)</f>
        <v>14.907999999999999</v>
      </c>
      <c r="P22" s="24" t="str">
        <f ca="1">IFERROR(__xludf.DUMMYFUNCTION("""COMPUTED_VALUE"""),"Yes")</f>
        <v>Yes</v>
      </c>
      <c r="Q22" s="24" t="str">
        <f ca="1">IFERROR(__xludf.DUMMYFUNCTION("""COMPUTED_VALUE"""),"Yes")</f>
        <v>Yes</v>
      </c>
      <c r="R22" s="24" t="str">
        <f ca="1">IFERROR(__xludf.DUMMYFUNCTION("""COMPUTED_VALUE"""),"ภาควิชาเภสัชวิทยา")</f>
        <v>ภาควิชาเภสัชวิทยา</v>
      </c>
      <c r="S22" s="24">
        <f ca="1">IFERROR(__xludf.DUMMYFUNCTION("""COMPUTED_VALUE"""),48)</f>
        <v>48</v>
      </c>
      <c r="T22" s="24" t="str">
        <f ca="1">IFERROR(__xludf.DUMMYFUNCTION("""COMPUTED_VALUE"""),"March")</f>
        <v>March</v>
      </c>
    </row>
    <row r="23" spans="1:20" ht="14.25" hidden="1">
      <c r="A23" s="24">
        <f ca="1">IFERROR(__xludf.DUMMYFUNCTION("""COMPUTED_VALUE"""),2023)</f>
        <v>2023</v>
      </c>
      <c r="B23" s="24">
        <f ca="1">IFERROR(__xludf.DUMMYFUNCTION("""COMPUTED_VALUE"""),578)</f>
        <v>578</v>
      </c>
      <c r="C23" s="24" t="str">
        <f ca="1">IFERROR(__xludf.DUMMYFUNCTION("""COMPUTED_VALUE"""),"Spatial, Temporal, and Geographical Factors Associated with Stranded Marine Endangered Species in Thailand during 2006–2015")</f>
        <v>Spatial, Temporal, and Geographical Factors Associated with Stranded Marine Endangered Species in Thailand during 2006–2015</v>
      </c>
      <c r="D23" s="24">
        <f ca="1">IFERROR(__xludf.DUMMYFUNCTION("""COMPUTED_VALUE"""),2)</f>
        <v>2</v>
      </c>
      <c r="E23" s="24" t="str">
        <f ca="1">IFERROR(__xludf.DUMMYFUNCTION("""COMPUTED_VALUE"""),"2023.578")</f>
        <v>2023.578</v>
      </c>
      <c r="F23" s="24" t="str">
        <f ca="1">IFERROR(__xludf.DUMMYFUNCTION("""COMPUTED_VALUE"""),"Marine")</f>
        <v>Marine</v>
      </c>
      <c r="G23" s="24" t="str">
        <f ca="1">IFERROR(__xludf.DUMMYFUNCTION("""COMPUTED_VALUE"""),"Biology")</f>
        <v>Biology</v>
      </c>
      <c r="H23" s="24" t="str">
        <f ca="1">IFERROR(__xludf.DUMMYFUNCTION("""COMPUTED_VALUE"""),"Chaithep Poolkhet")</f>
        <v>Chaithep Poolkhet</v>
      </c>
      <c r="I23" s="24" t="str">
        <f ca="1">IFERROR(__xludf.DUMMYFUNCTION("""COMPUTED_VALUE"""),"CorrespondingAuthor")</f>
        <v>CorrespondingAuthor</v>
      </c>
      <c r="J23" s="24" t="b">
        <f ca="1">IFERROR(__xludf.DUMMYFUNCTION("""COMPUTED_VALUE"""),TRUE)</f>
        <v>1</v>
      </c>
      <c r="K23" s="24" t="b">
        <f ca="1">IFERROR(__xludf.DUMMYFUNCTION("""COMPUTED_VALUE"""),FALSE)</f>
        <v>0</v>
      </c>
      <c r="L23" s="58">
        <f ca="1">IFERROR(__xludf.DUMMYFUNCTION("""COMPUTED_VALUE"""),44999)</f>
        <v>44999</v>
      </c>
      <c r="M23" s="24" t="str">
        <f ca="1">IFERROR(__xludf.DUMMYFUNCTION("""COMPUTED_VALUE"""),"International")</f>
        <v>International</v>
      </c>
      <c r="N23" s="24">
        <f ca="1">IFERROR(__xludf.DUMMYFUNCTION("""COMPUTED_VALUE"""),1)</f>
        <v>1</v>
      </c>
      <c r="O23" s="24">
        <f ca="1">IFERROR(__xludf.DUMMYFUNCTION("""COMPUTED_VALUE"""),5.168)</f>
        <v>5.1680000000000001</v>
      </c>
      <c r="P23" s="24" t="str">
        <f ca="1">IFERROR(__xludf.DUMMYFUNCTION("""COMPUTED_VALUE"""),"Yes")</f>
        <v>Yes</v>
      </c>
      <c r="Q23" s="24" t="str">
        <f ca="1">IFERROR(__xludf.DUMMYFUNCTION("""COMPUTED_VALUE"""),"Yes")</f>
        <v>Yes</v>
      </c>
      <c r="R23" s="24" t="str">
        <f ca="1">IFERROR(__xludf.DUMMYFUNCTION("""COMPUTED_VALUE"""),"ภาควิชาสัตวแพทยสาธารณสุขศาสตร์")</f>
        <v>ภาควิชาสัตวแพทยสาธารณสุขศาสตร์</v>
      </c>
      <c r="S23" s="24">
        <f ca="1">IFERROR(__xludf.DUMMYFUNCTION("""COMPUTED_VALUE"""),51)</f>
        <v>51</v>
      </c>
      <c r="T23" s="24" t="str">
        <f ca="1">IFERROR(__xludf.DUMMYFUNCTION("""COMPUTED_VALUE"""),"March")</f>
        <v>March</v>
      </c>
    </row>
    <row r="24" spans="1:20" ht="14.25" hidden="1">
      <c r="A24" s="24">
        <f ca="1">IFERROR(__xludf.DUMMYFUNCTION("""COMPUTED_VALUE"""),2023)</f>
        <v>2023</v>
      </c>
      <c r="B24" s="24">
        <f ca="1">IFERROR(__xludf.DUMMYFUNCTION("""COMPUTED_VALUE"""),579)</f>
        <v>579</v>
      </c>
      <c r="C24" s="24" t="str">
        <f ca="1">IFERROR(__xludf.DUMMYFUNCTION("""COMPUTED_VALUE"""),"Comparative Efficacy of Chimeric Porcine Circovirus (PCV) Vaccines against Experimental Heterologous PCV2d Challenges")</f>
        <v>Comparative Efficacy of Chimeric Porcine Circovirus (PCV) Vaccines against Experimental Heterologous PCV2d Challenges</v>
      </c>
      <c r="D24" s="24">
        <f ca="1">IFERROR(__xludf.DUMMYFUNCTION("""COMPUTED_VALUE"""),2)</f>
        <v>2</v>
      </c>
      <c r="E24" s="24" t="str">
        <f ca="1">IFERROR(__xludf.DUMMYFUNCTION("""COMPUTED_VALUE"""),"2023.579")</f>
        <v>2023.579</v>
      </c>
      <c r="F24" s="24" t="str">
        <f ca="1">IFERROR(__xludf.DUMMYFUNCTION("""COMPUTED_VALUE"""),"Swine")</f>
        <v>Swine</v>
      </c>
      <c r="G24" s="24" t="str">
        <f ca="1">IFERROR(__xludf.DUMMYFUNCTION("""COMPUTED_VALUE"""),"Veterinary Sciences")</f>
        <v>Veterinary Sciences</v>
      </c>
      <c r="H24" s="24" t="str">
        <f ca="1">IFERROR(__xludf.DUMMYFUNCTION("""COMPUTED_VALUE"""),"Manakorn Sukmak")</f>
        <v>Manakorn Sukmak</v>
      </c>
      <c r="I24" s="24" t="str">
        <f ca="1">IFERROR(__xludf.DUMMYFUNCTION("""COMPUTED_VALUE"""),"CoAuthor")</f>
        <v>CoAuthor</v>
      </c>
      <c r="J24" s="24" t="b">
        <f ca="1">IFERROR(__xludf.DUMMYFUNCTION("""COMPUTED_VALUE"""),FALSE)</f>
        <v>0</v>
      </c>
      <c r="K24" s="24" t="b">
        <f ca="1">IFERROR(__xludf.DUMMYFUNCTION("""COMPUTED_VALUE"""),FALSE)</f>
        <v>0</v>
      </c>
      <c r="L24" s="58">
        <f ca="1">IFERROR(__xludf.DUMMYFUNCTION("""COMPUTED_VALUE"""),44945)</f>
        <v>44945</v>
      </c>
      <c r="M24" s="24" t="str">
        <f ca="1">IFERROR(__xludf.DUMMYFUNCTION("""COMPUTED_VALUE"""),"International")</f>
        <v>International</v>
      </c>
      <c r="N24" s="24">
        <f ca="1">IFERROR(__xludf.DUMMYFUNCTION("""COMPUTED_VALUE"""),1)</f>
        <v>1</v>
      </c>
      <c r="O24" s="24">
        <f ca="1">IFERROR(__xludf.DUMMYFUNCTION("""COMPUTED_VALUE"""),2.304)</f>
        <v>2.3039999999999998</v>
      </c>
      <c r="P24" s="24" t="str">
        <f ca="1">IFERROR(__xludf.DUMMYFUNCTION("""COMPUTED_VALUE"""),"Yes")</f>
        <v>Yes</v>
      </c>
      <c r="Q24" s="24" t="str">
        <f ca="1">IFERROR(__xludf.DUMMYFUNCTION("""COMPUTED_VALUE"""),"Yes")</f>
        <v>Yes</v>
      </c>
      <c r="R24" s="24" t="str">
        <f ca="1">IFERROR(__xludf.DUMMYFUNCTION("""COMPUTED_VALUE"""),"ภาควิชาเวชศาสตร์และทรัพยากรการผลิตสัตว์")</f>
        <v>ภาควิชาเวชศาสตร์และทรัพยากรการผลิตสัตว์</v>
      </c>
      <c r="S24" s="24">
        <f ca="1">IFERROR(__xludf.DUMMYFUNCTION("""COMPUTED_VALUE"""),42)</f>
        <v>42</v>
      </c>
      <c r="T24" s="24" t="str">
        <f ca="1">IFERROR(__xludf.DUMMYFUNCTION("""COMPUTED_VALUE"""),"January")</f>
        <v>January</v>
      </c>
    </row>
    <row r="25" spans="1:20" ht="14.25" hidden="1">
      <c r="A25" s="24">
        <f ca="1">IFERROR(__xludf.DUMMYFUNCTION("""COMPUTED_VALUE"""),2023)</f>
        <v>2023</v>
      </c>
      <c r="B25" s="24">
        <f ca="1">IFERROR(__xludf.DUMMYFUNCTION("""COMPUTED_VALUE"""),580)</f>
        <v>580</v>
      </c>
      <c r="C25" s="24" t="str">
        <f ca="1">IFERROR(__xludf.DUMMYFUNCTION("""COMPUTED_VALUE"""),"How susceptible are rainbow trout and brown trout to infection with tilapia lake virus at increased water temperature – Is there any potential for climate change driven host jump?")</f>
        <v>How susceptible are rainbow trout and brown trout to infection with tilapia lake virus at increased water temperature – Is there any potential for climate change driven host jump?</v>
      </c>
      <c r="D25" s="24">
        <f ca="1">IFERROR(__xludf.DUMMYFUNCTION("""COMPUTED_VALUE"""),2)</f>
        <v>2</v>
      </c>
      <c r="E25" s="24" t="str">
        <f ca="1">IFERROR(__xludf.DUMMYFUNCTION("""COMPUTED_VALUE"""),"2023.580")</f>
        <v>2023.580</v>
      </c>
      <c r="F25" s="24" t="str">
        <f ca="1">IFERROR(__xludf.DUMMYFUNCTION("""COMPUTED_VALUE"""),"Fish")</f>
        <v>Fish</v>
      </c>
      <c r="G25" s="24" t="str">
        <f ca="1">IFERROR(__xludf.DUMMYFUNCTION("""COMPUTED_VALUE"""),"Aquaculture")</f>
        <v>Aquaculture</v>
      </c>
      <c r="H25" s="24" t="str">
        <f ca="1">IFERROR(__xludf.DUMMYFUNCTION("""COMPUTED_VALUE"""),"Win Surachetpong")</f>
        <v>Win Surachetpong</v>
      </c>
      <c r="I25" s="24" t="str">
        <f ca="1">IFERROR(__xludf.DUMMYFUNCTION("""COMPUTED_VALUE"""),"CoAuthor")</f>
        <v>CoAuthor</v>
      </c>
      <c r="J25" s="24" t="b">
        <f ca="1">IFERROR(__xludf.DUMMYFUNCTION("""COMPUTED_VALUE"""),FALSE)</f>
        <v>0</v>
      </c>
      <c r="K25" s="24" t="b">
        <f ca="1">IFERROR(__xludf.DUMMYFUNCTION("""COMPUTED_VALUE"""),FALSE)</f>
        <v>0</v>
      </c>
      <c r="L25" s="58">
        <f ca="1">IFERROR(__xludf.DUMMYFUNCTION("""COMPUTED_VALUE"""),45107)</f>
        <v>45107</v>
      </c>
      <c r="M25" s="24" t="str">
        <f ca="1">IFERROR(__xludf.DUMMYFUNCTION("""COMPUTED_VALUE"""),"International")</f>
        <v>International</v>
      </c>
      <c r="N25" s="24">
        <f ca="1">IFERROR(__xludf.DUMMYFUNCTION("""COMPUTED_VALUE"""),1)</f>
        <v>1</v>
      </c>
      <c r="O25" s="24">
        <f ca="1">IFERROR(__xludf.DUMMYFUNCTION("""COMPUTED_VALUE"""),4.242)</f>
        <v>4.242</v>
      </c>
      <c r="P25" s="24" t="str">
        <f ca="1">IFERROR(__xludf.DUMMYFUNCTION("""COMPUTED_VALUE"""),"Yes")</f>
        <v>Yes</v>
      </c>
      <c r="Q25" s="24" t="str">
        <f ca="1">IFERROR(__xludf.DUMMYFUNCTION("""COMPUTED_VALUE"""),"Yes")</f>
        <v>Yes</v>
      </c>
      <c r="R25" s="24" t="str">
        <f ca="1">IFERROR(__xludf.DUMMYFUNCTION("""COMPUTED_VALUE"""),"ภาควิชาจุลชีววิทยาและวิทยาฯ")</f>
        <v>ภาควิชาจุลชีววิทยาและวิทยาฯ</v>
      </c>
      <c r="S25" s="24">
        <f ca="1">IFERROR(__xludf.DUMMYFUNCTION("""COMPUTED_VALUE"""),48)</f>
        <v>48</v>
      </c>
      <c r="T25" s="24" t="str">
        <f ca="1">IFERROR(__xludf.DUMMYFUNCTION("""COMPUTED_VALUE"""),"June")</f>
        <v>June</v>
      </c>
    </row>
    <row r="26" spans="1:20" ht="14.25" hidden="1">
      <c r="A26" s="24">
        <f ca="1">IFERROR(__xludf.DUMMYFUNCTION("""COMPUTED_VALUE"""),2023)</f>
        <v>2023</v>
      </c>
      <c r="B26" s="24">
        <f ca="1">IFERROR(__xludf.DUMMYFUNCTION("""COMPUTED_VALUE"""),581)</f>
        <v>581</v>
      </c>
      <c r="C26" s="24" t="str">
        <f ca="1">IFERROR(__xludf.DUMMYFUNCTION("""COMPUTED_VALUE"""),"Streptococcus agalactiae Serotype VII, an Emerging Pathogen Affecting Snakeskin Gourami (Trichogaster pectoralis) in Intensive Farming")</f>
        <v>Streptococcus agalactiae Serotype VII, an Emerging Pathogen Affecting Snakeskin Gourami (Trichogaster pectoralis) in Intensive Farming</v>
      </c>
      <c r="D26" s="24">
        <f ca="1">IFERROR(__xludf.DUMMYFUNCTION("""COMPUTED_VALUE"""),2)</f>
        <v>2</v>
      </c>
      <c r="E26" s="24" t="str">
        <f ca="1">IFERROR(__xludf.DUMMYFUNCTION("""COMPUTED_VALUE"""),"2023.581")</f>
        <v>2023.581</v>
      </c>
      <c r="F26" s="24" t="str">
        <f ca="1">IFERROR(__xludf.DUMMYFUNCTION("""COMPUTED_VALUE"""),"Fish")</f>
        <v>Fish</v>
      </c>
      <c r="G26" s="24" t="str">
        <f ca="1">IFERROR(__xludf.DUMMYFUNCTION("""COMPUTED_VALUE"""),"Transboundary and Emerging Diseases")</f>
        <v>Transboundary and Emerging Diseases</v>
      </c>
      <c r="H26" s="24" t="str">
        <f ca="1">IFERROR(__xludf.DUMMYFUNCTION("""COMPUTED_VALUE"""),"Win Surachetpong")</f>
        <v>Win Surachetpong</v>
      </c>
      <c r="I26" s="24" t="str">
        <f ca="1">IFERROR(__xludf.DUMMYFUNCTION("""COMPUTED_VALUE"""),"CorrespondingAuthor")</f>
        <v>CorrespondingAuthor</v>
      </c>
      <c r="J26" s="24" t="b">
        <f ca="1">IFERROR(__xludf.DUMMYFUNCTION("""COMPUTED_VALUE"""),FALSE)</f>
        <v>0</v>
      </c>
      <c r="K26" s="24" t="b">
        <f ca="1">IFERROR(__xludf.DUMMYFUNCTION("""COMPUTED_VALUE"""),FALSE)</f>
        <v>0</v>
      </c>
      <c r="L26" s="58">
        <f ca="1">IFERROR(__xludf.DUMMYFUNCTION("""COMPUTED_VALUE"""),45009)</f>
        <v>45009</v>
      </c>
      <c r="M26" s="24" t="str">
        <f ca="1">IFERROR(__xludf.DUMMYFUNCTION("""COMPUTED_VALUE"""),"International")</f>
        <v>International</v>
      </c>
      <c r="N26" s="24">
        <f ca="1">IFERROR(__xludf.DUMMYFUNCTION("""COMPUTED_VALUE"""),1)</f>
        <v>1</v>
      </c>
      <c r="O26" s="24">
        <f ca="1">IFERROR(__xludf.DUMMYFUNCTION("""COMPUTED_VALUE"""),5.005)</f>
        <v>5.0049999999999999</v>
      </c>
      <c r="P26" s="24" t="str">
        <f ca="1">IFERROR(__xludf.DUMMYFUNCTION("""COMPUTED_VALUE"""),"Yes")</f>
        <v>Yes</v>
      </c>
      <c r="Q26" s="24" t="str">
        <f ca="1">IFERROR(__xludf.DUMMYFUNCTION("""COMPUTED_VALUE"""),"No")</f>
        <v>No</v>
      </c>
      <c r="R26" s="24" t="str">
        <f ca="1">IFERROR(__xludf.DUMMYFUNCTION("""COMPUTED_VALUE"""),"ภาควิชาจุลชีววิทยาและวิทยาฯ")</f>
        <v>ภาควิชาจุลชีววิทยาและวิทยาฯ</v>
      </c>
      <c r="S26" s="24">
        <f ca="1">IFERROR(__xludf.DUMMYFUNCTION("""COMPUTED_VALUE"""),48)</f>
        <v>48</v>
      </c>
      <c r="T26" s="24" t="str">
        <f ca="1">IFERROR(__xludf.DUMMYFUNCTION("""COMPUTED_VALUE"""),"March")</f>
        <v>March</v>
      </c>
    </row>
    <row r="27" spans="1:20" ht="14.25" hidden="1">
      <c r="A27" s="24">
        <f ca="1">IFERROR(__xludf.DUMMYFUNCTION("""COMPUTED_VALUE"""),2023)</f>
        <v>2023</v>
      </c>
      <c r="B27" s="24">
        <f ca="1">IFERROR(__xludf.DUMMYFUNCTION("""COMPUTED_VALUE"""),582)</f>
        <v>582</v>
      </c>
      <c r="C27" s="24" t="str">
        <f ca="1">IFERROR(__xludf.DUMMYFUNCTION("""COMPUTED_VALUE"""),"Effect of claw blocks on the healing duration and lesion severities of claw lesions in lame cows in Western Thailand")</f>
        <v>Effect of claw blocks on the healing duration and lesion severities of claw lesions in lame cows in Western Thailand</v>
      </c>
      <c r="D27" s="24">
        <f ca="1">IFERROR(__xludf.DUMMYFUNCTION("""COMPUTED_VALUE"""),5)</f>
        <v>5</v>
      </c>
      <c r="E27" s="24" t="str">
        <f ca="1">IFERROR(__xludf.DUMMYFUNCTION("""COMPUTED_VALUE"""),"2023.582")</f>
        <v>2023.582</v>
      </c>
      <c r="F27" s="24" t="str">
        <f ca="1">IFERROR(__xludf.DUMMYFUNCTION("""COMPUTED_VALUE"""),"Bovine")</f>
        <v>Bovine</v>
      </c>
      <c r="G27" s="24" t="str">
        <f ca="1">IFERROR(__xludf.DUMMYFUNCTION("""COMPUTED_VALUE"""),"Veterinary World")</f>
        <v>Veterinary World</v>
      </c>
      <c r="H27" s="24" t="str">
        <f ca="1">IFERROR(__xludf.DUMMYFUNCTION("""COMPUTED_VALUE"""),"Anawat Sangmalee")</f>
        <v>Anawat Sangmalee</v>
      </c>
      <c r="I27" s="24" t="str">
        <f ca="1">IFERROR(__xludf.DUMMYFUNCTION("""COMPUTED_VALUE"""),"CorrespondingAuthor")</f>
        <v>CorrespondingAuthor</v>
      </c>
      <c r="J27" s="24" t="b">
        <f ca="1">IFERROR(__xludf.DUMMYFUNCTION("""COMPUTED_VALUE"""),FALSE)</f>
        <v>0</v>
      </c>
      <c r="K27" s="24" t="b">
        <f ca="1">IFERROR(__xludf.DUMMYFUNCTION("""COMPUTED_VALUE"""),FALSE)</f>
        <v>0</v>
      </c>
      <c r="L27" s="58">
        <f ca="1">IFERROR(__xludf.DUMMYFUNCTION("""COMPUTED_VALUE"""),44968)</f>
        <v>44968</v>
      </c>
      <c r="M27" s="24" t="str">
        <f ca="1">IFERROR(__xludf.DUMMYFUNCTION("""COMPUTED_VALUE"""),"International")</f>
        <v>International</v>
      </c>
      <c r="N27" s="24">
        <f ca="1">IFERROR(__xludf.DUMMYFUNCTION("""COMPUTED_VALUE"""),2)</f>
        <v>2</v>
      </c>
      <c r="O27" s="24">
        <f ca="1">IFERROR(__xludf.DUMMYFUNCTION("""COMPUTED_VALUE"""),2.11)</f>
        <v>2.11</v>
      </c>
      <c r="P27" s="24" t="str">
        <f ca="1">IFERROR(__xludf.DUMMYFUNCTION("""COMPUTED_VALUE"""),"No")</f>
        <v>No</v>
      </c>
      <c r="Q27" s="24" t="str">
        <f ca="1">IFERROR(__xludf.DUMMYFUNCTION("""COMPUTED_VALUE"""),"Yes")</f>
        <v>Yes</v>
      </c>
      <c r="R27" s="24" t="str">
        <f ca="1">IFERROR(__xludf.DUMMYFUNCTION("""COMPUTED_VALUE"""),"ภาควิชาเวชศาสตร์คลินิกสัตว์ใหญ่และสัตว์ป่า")</f>
        <v>ภาควิชาเวชศาสตร์คลินิกสัตว์ใหญ่และสัตว์ป่า</v>
      </c>
      <c r="S27" s="24">
        <f ca="1">IFERROR(__xludf.DUMMYFUNCTION("""COMPUTED_VALUE"""),45)</f>
        <v>45</v>
      </c>
      <c r="T27" s="24" t="str">
        <f ca="1">IFERROR(__xludf.DUMMYFUNCTION("""COMPUTED_VALUE"""),"February")</f>
        <v>February</v>
      </c>
    </row>
    <row r="28" spans="1:20" ht="14.25" hidden="1">
      <c r="A28" s="24">
        <f ca="1">IFERROR(__xludf.DUMMYFUNCTION("""COMPUTED_VALUE"""),2023)</f>
        <v>2023</v>
      </c>
      <c r="B28" s="24">
        <f ca="1">IFERROR(__xludf.DUMMYFUNCTION("""COMPUTED_VALUE"""),583)</f>
        <v>583</v>
      </c>
      <c r="C28" s="24" t="str">
        <f ca="1">IFERROR(__xludf.DUMMYFUNCTION("""COMPUTED_VALUE"""),"Molecularly Imprinted Nanoparticle Ensembles for Rapidly Identifying S. epidermidis")</f>
        <v>Molecularly Imprinted Nanoparticle Ensembles for Rapidly Identifying S. epidermidis</v>
      </c>
      <c r="D28" s="24">
        <f ca="1">IFERROR(__xludf.DUMMYFUNCTION("""COMPUTED_VALUE"""),2)</f>
        <v>2</v>
      </c>
      <c r="E28" s="24" t="str">
        <f ca="1">IFERROR(__xludf.DUMMYFUNCTION("""COMPUTED_VALUE"""),"2023.583")</f>
        <v>2023.583</v>
      </c>
      <c r="F28" s="24" t="str">
        <f ca="1">IFERROR(__xludf.DUMMYFUNCTION("""COMPUTED_VALUE"""),"TestKit")</f>
        <v>TestKit</v>
      </c>
      <c r="G28" s="24" t="str">
        <f ca="1">IFERROR(__xludf.DUMMYFUNCTION("""COMPUTED_VALUE"""),"Sensors")</f>
        <v>Sensors</v>
      </c>
      <c r="H28" s="24" t="str">
        <f ca="1">IFERROR(__xludf.DUMMYFUNCTION("""COMPUTED_VALUE"""),"Jatuporn Rattanasrisomporn")</f>
        <v>Jatuporn Rattanasrisomporn</v>
      </c>
      <c r="I28" s="24" t="str">
        <f ca="1">IFERROR(__xludf.DUMMYFUNCTION("""COMPUTED_VALUE"""),"CorrespondingAuthor")</f>
        <v>CorrespondingAuthor</v>
      </c>
      <c r="J28" s="24" t="b">
        <f ca="1">IFERROR(__xludf.DUMMYFUNCTION("""COMPUTED_VALUE"""),FALSE)</f>
        <v>0</v>
      </c>
      <c r="K28" s="24" t="b">
        <f ca="1">IFERROR(__xludf.DUMMYFUNCTION("""COMPUTED_VALUE"""),FALSE)</f>
        <v>0</v>
      </c>
      <c r="L28" s="58">
        <f ca="1">IFERROR(__xludf.DUMMYFUNCTION("""COMPUTED_VALUE"""),45013)</f>
        <v>45013</v>
      </c>
      <c r="M28" s="24" t="str">
        <f ca="1">IFERROR(__xludf.DUMMYFUNCTION("""COMPUTED_VALUE"""),"International")</f>
        <v>International</v>
      </c>
      <c r="N28" s="24">
        <f ca="1">IFERROR(__xludf.DUMMYFUNCTION("""COMPUTED_VALUE"""),1)</f>
        <v>1</v>
      </c>
      <c r="O28" s="24">
        <f ca="1">IFERROR(__xludf.DUMMYFUNCTION("""COMPUTED_VALUE"""),3.847)</f>
        <v>3.847</v>
      </c>
      <c r="P28" s="24" t="str">
        <f ca="1">IFERROR(__xludf.DUMMYFUNCTION("""COMPUTED_VALUE"""),"Yes")</f>
        <v>Yes</v>
      </c>
      <c r="Q28" s="24" t="str">
        <f ca="1">IFERROR(__xludf.DUMMYFUNCTION("""COMPUTED_VALUE"""),"Yes")</f>
        <v>Yes</v>
      </c>
      <c r="R28" s="24" t="str">
        <f ca="1">IFERROR(__xludf.DUMMYFUNCTION("""COMPUTED_VALUE"""),"ภาควิชาเวชศาสตร์คลินิกสัตว์เลี้ยง")</f>
        <v>ภาควิชาเวชศาสตร์คลินิกสัตว์เลี้ยง</v>
      </c>
      <c r="S28" s="24">
        <f ca="1">IFERROR(__xludf.DUMMYFUNCTION("""COMPUTED_VALUE"""),52)</f>
        <v>52</v>
      </c>
      <c r="T28" s="24" t="str">
        <f ca="1">IFERROR(__xludf.DUMMYFUNCTION("""COMPUTED_VALUE"""),"March")</f>
        <v>March</v>
      </c>
    </row>
    <row r="29" spans="1:20" ht="14.25" hidden="1">
      <c r="A29" s="24">
        <f ca="1">IFERROR(__xludf.DUMMYFUNCTION("""COMPUTED_VALUE"""),2023)</f>
        <v>2023</v>
      </c>
      <c r="B29" s="24">
        <f ca="1">IFERROR(__xludf.DUMMYFUNCTION("""COMPUTED_VALUE"""),584)</f>
        <v>584</v>
      </c>
      <c r="C29" s="24" t="str">
        <f ca="1">IFERROR(__xludf.DUMMYFUNCTION("""COMPUTED_VALUE"""),"The Modulation of Immune Responses in Tilapinevirus tilapiae-Infected Fish Cells through MAPK/ERK Signalling")</f>
        <v>The Modulation of Immune Responses in Tilapinevirus tilapiae-Infected Fish Cells through MAPK/ERK Signalling</v>
      </c>
      <c r="D29" s="24">
        <f ca="1">IFERROR(__xludf.DUMMYFUNCTION("""COMPUTED_VALUE"""),2)</f>
        <v>2</v>
      </c>
      <c r="E29" s="24" t="str">
        <f ca="1">IFERROR(__xludf.DUMMYFUNCTION("""COMPUTED_VALUE"""),"2023.584")</f>
        <v>2023.584</v>
      </c>
      <c r="F29" s="24" t="str">
        <f ca="1">IFERROR(__xludf.DUMMYFUNCTION("""COMPUTED_VALUE"""),"Fish")</f>
        <v>Fish</v>
      </c>
      <c r="G29" s="24" t="str">
        <f ca="1">IFERROR(__xludf.DUMMYFUNCTION("""COMPUTED_VALUE"""),"Viruses")</f>
        <v>Viruses</v>
      </c>
      <c r="H29" s="24" t="str">
        <f ca="1">IFERROR(__xludf.DUMMYFUNCTION("""COMPUTED_VALUE"""),"Win Surachetpong")</f>
        <v>Win Surachetpong</v>
      </c>
      <c r="I29" s="24" t="str">
        <f ca="1">IFERROR(__xludf.DUMMYFUNCTION("""COMPUTED_VALUE"""),"CorrespondingAuthor")</f>
        <v>CorrespondingAuthor</v>
      </c>
      <c r="J29" s="24" t="b">
        <f ca="1">IFERROR(__xludf.DUMMYFUNCTION("""COMPUTED_VALUE"""),FALSE)</f>
        <v>0</v>
      </c>
      <c r="K29" s="24" t="b">
        <f ca="1">IFERROR(__xludf.DUMMYFUNCTION("""COMPUTED_VALUE"""),FALSE)</f>
        <v>0</v>
      </c>
      <c r="L29" s="58">
        <f ca="1">IFERROR(__xludf.DUMMYFUNCTION("""COMPUTED_VALUE"""),45016)</f>
        <v>45016</v>
      </c>
      <c r="M29" s="24" t="str">
        <f ca="1">IFERROR(__xludf.DUMMYFUNCTION("""COMPUTED_VALUE"""),"International")</f>
        <v>International</v>
      </c>
      <c r="N29" s="24">
        <f ca="1">IFERROR(__xludf.DUMMYFUNCTION("""COMPUTED_VALUE"""),1)</f>
        <v>1</v>
      </c>
      <c r="O29" s="24">
        <f ca="1">IFERROR(__xludf.DUMMYFUNCTION("""COMPUTED_VALUE"""),5.048)</f>
        <v>5.048</v>
      </c>
      <c r="P29" s="24" t="str">
        <f ca="1">IFERROR(__xludf.DUMMYFUNCTION("""COMPUTED_VALUE"""),"Yes")</f>
        <v>Yes</v>
      </c>
      <c r="Q29" s="24" t="str">
        <f ca="1">IFERROR(__xludf.DUMMYFUNCTION("""COMPUTED_VALUE"""),"Yes")</f>
        <v>Yes</v>
      </c>
      <c r="R29" s="24" t="str">
        <f ca="1">IFERROR(__xludf.DUMMYFUNCTION("""COMPUTED_VALUE"""),"ภาควิชาจุลชีววิทยาและวิทยาฯ")</f>
        <v>ภาควิชาจุลชีววิทยาและวิทยาฯ</v>
      </c>
      <c r="S29" s="24">
        <f ca="1">IFERROR(__xludf.DUMMYFUNCTION("""COMPUTED_VALUE"""),48)</f>
        <v>48</v>
      </c>
      <c r="T29" s="24" t="str">
        <f ca="1">IFERROR(__xludf.DUMMYFUNCTION("""COMPUTED_VALUE"""),"March")</f>
        <v>March</v>
      </c>
    </row>
    <row r="30" spans="1:20" ht="14.25" hidden="1">
      <c r="A30" s="24">
        <f ca="1">IFERROR(__xludf.DUMMYFUNCTION("""COMPUTED_VALUE"""),2023)</f>
        <v>2023</v>
      </c>
      <c r="B30" s="24">
        <f ca="1">IFERROR(__xludf.DUMMYFUNCTION("""COMPUTED_VALUE"""),585)</f>
        <v>585</v>
      </c>
      <c r="C30" s="24" t="str">
        <f ca="1">IFERROR(__xludf.DUMMYFUNCTION("""COMPUTED_VALUE"""),"Molecular Identification of Culicoides Species and Host Preference Blood Meal in the African Horse Sickness Outbreak-Affected Area in Hua Hin District, Prachuap Khiri Khan Province, Thailand")</f>
        <v>Molecular Identification of Culicoides Species and Host Preference Blood Meal in the African Horse Sickness Outbreak-Affected Area in Hua Hin District, Prachuap Khiri Khan Province, Thailand</v>
      </c>
      <c r="D30" s="24">
        <f ca="1">IFERROR(__xludf.DUMMYFUNCTION("""COMPUTED_VALUE"""),2)</f>
        <v>2</v>
      </c>
      <c r="E30" s="24" t="str">
        <f ca="1">IFERROR(__xludf.DUMMYFUNCTION("""COMPUTED_VALUE"""),"2023.585")</f>
        <v>2023.585</v>
      </c>
      <c r="F30" s="24" t="str">
        <f ca="1">IFERROR(__xludf.DUMMYFUNCTION("""COMPUTED_VALUE"""),"Insect")</f>
        <v>Insect</v>
      </c>
      <c r="G30" s="24" t="str">
        <f ca="1">IFERROR(__xludf.DUMMYFUNCTION("""COMPUTED_VALUE"""),"Insects")</f>
        <v>Insects</v>
      </c>
      <c r="H30" s="24" t="str">
        <f ca="1">IFERROR(__xludf.DUMMYFUNCTION("""COMPUTED_VALUE"""),"Burin Nimsuphan")</f>
        <v>Burin Nimsuphan</v>
      </c>
      <c r="I30" s="24" t="str">
        <f ca="1">IFERROR(__xludf.DUMMYFUNCTION("""COMPUTED_VALUE"""),"CorrespondingAuthor")</f>
        <v>CorrespondingAuthor</v>
      </c>
      <c r="J30" s="24" t="b">
        <f ca="1">IFERROR(__xludf.DUMMYFUNCTION("""COMPUTED_VALUE"""),FALSE)</f>
        <v>0</v>
      </c>
      <c r="K30" s="24" t="b">
        <f ca="1">IFERROR(__xludf.DUMMYFUNCTION("""COMPUTED_VALUE"""),FALSE)</f>
        <v>0</v>
      </c>
      <c r="L30" s="58">
        <f ca="1">IFERROR(__xludf.DUMMYFUNCTION("""COMPUTED_VALUE"""),45024)</f>
        <v>45024</v>
      </c>
      <c r="M30" s="24" t="str">
        <f ca="1">IFERROR(__xludf.DUMMYFUNCTION("""COMPUTED_VALUE"""),"International")</f>
        <v>International</v>
      </c>
      <c r="N30" s="24">
        <f ca="1">IFERROR(__xludf.DUMMYFUNCTION("""COMPUTED_VALUE"""),1)</f>
        <v>1</v>
      </c>
      <c r="O30" s="24">
        <f ca="1">IFERROR(__xludf.DUMMYFUNCTION("""COMPUTED_VALUE"""),2.769)</f>
        <v>2.7690000000000001</v>
      </c>
      <c r="P30" s="24" t="str">
        <f ca="1">IFERROR(__xludf.DUMMYFUNCTION("""COMPUTED_VALUE"""),"Yes")</f>
        <v>Yes</v>
      </c>
      <c r="Q30" s="24" t="str">
        <f ca="1">IFERROR(__xludf.DUMMYFUNCTION("""COMPUTED_VALUE"""),"Yes")</f>
        <v>Yes</v>
      </c>
      <c r="R30" s="24" t="str">
        <f ca="1">IFERROR(__xludf.DUMMYFUNCTION("""COMPUTED_VALUE"""),"ภาควิชาปรสิตวิทยา")</f>
        <v>ภาควิชาปรสิตวิทยา</v>
      </c>
      <c r="S30" s="24">
        <f ca="1">IFERROR(__xludf.DUMMYFUNCTION("""COMPUTED_VALUE"""),54)</f>
        <v>54</v>
      </c>
      <c r="T30" s="24" t="str">
        <f ca="1">IFERROR(__xludf.DUMMYFUNCTION("""COMPUTED_VALUE"""),"April")</f>
        <v>April</v>
      </c>
    </row>
    <row r="31" spans="1:20" ht="14.25" hidden="1">
      <c r="A31" s="24">
        <f ca="1">IFERROR(__xludf.DUMMYFUNCTION("""COMPUTED_VALUE"""),2023)</f>
        <v>2023</v>
      </c>
      <c r="B31" s="24">
        <f ca="1">IFERROR(__xludf.DUMMYFUNCTION("""COMPUTED_VALUE"""),586)</f>
        <v>586</v>
      </c>
      <c r="C31" s="24" t="str">
        <f ca="1">IFERROR(__xludf.DUMMYFUNCTION("""COMPUTED_VALUE"""),"Phenotypic and Genotypic Characterization and Antifungal Susceptibility of Sporothrix Schenckii Sensu Stricto Isolated from a Feline Sporotrichosis Outbreak in Bangkok, Thailand")</f>
        <v>Phenotypic and Genotypic Characterization and Antifungal Susceptibility of Sporothrix Schenckii Sensu Stricto Isolated from a Feline Sporotrichosis Outbreak in Bangkok, Thailand</v>
      </c>
      <c r="D31" s="24">
        <f ca="1">IFERROR(__xludf.DUMMYFUNCTION("""COMPUTED_VALUE"""),5)</f>
        <v>5</v>
      </c>
      <c r="E31" s="24" t="str">
        <f ca="1">IFERROR(__xludf.DUMMYFUNCTION("""COMPUTED_VALUE"""),"2023.586")</f>
        <v>2023.586</v>
      </c>
      <c r="F31" s="24" t="str">
        <f ca="1">IFERROR(__xludf.DUMMYFUNCTION("""COMPUTED_VALUE"""),"Cat")</f>
        <v>Cat</v>
      </c>
      <c r="G31" s="24" t="str">
        <f ca="1">IFERROR(__xludf.DUMMYFUNCTION("""COMPUTED_VALUE"""),"Journal of Fungi")</f>
        <v>Journal of Fungi</v>
      </c>
      <c r="H31" s="24" t="str">
        <f ca="1">IFERROR(__xludf.DUMMYFUNCTION("""COMPUTED_VALUE"""),"Chompooneg Yurayart")</f>
        <v>Chompooneg Yurayart</v>
      </c>
      <c r="I31" s="24" t="str">
        <f ca="1">IFERROR(__xludf.DUMMYFUNCTION("""COMPUTED_VALUE"""),"CorrespondingAuthor")</f>
        <v>CorrespondingAuthor</v>
      </c>
      <c r="J31" s="24" t="b">
        <f ca="1">IFERROR(__xludf.DUMMYFUNCTION("""COMPUTED_VALUE"""),FALSE)</f>
        <v>0</v>
      </c>
      <c r="K31" s="24" t="b">
        <f ca="1">IFERROR(__xludf.DUMMYFUNCTION("""COMPUTED_VALUE"""),FALSE)</f>
        <v>0</v>
      </c>
      <c r="L31" s="58">
        <f ca="1">IFERROR(__xludf.DUMMYFUNCTION("""COMPUTED_VALUE"""),45064)</f>
        <v>45064</v>
      </c>
      <c r="M31" s="24" t="str">
        <f ca="1">IFERROR(__xludf.DUMMYFUNCTION("""COMPUTED_VALUE"""),"International")</f>
        <v>International</v>
      </c>
      <c r="N31" s="24">
        <f ca="1">IFERROR(__xludf.DUMMYFUNCTION("""COMPUTED_VALUE"""),1)</f>
        <v>1</v>
      </c>
      <c r="O31" s="24">
        <f ca="1">IFERROR(__xludf.DUMMYFUNCTION("""COMPUTED_VALUE"""),5.816)</f>
        <v>5.8159999999999998</v>
      </c>
      <c r="P31" s="24" t="str">
        <f ca="1">IFERROR(__xludf.DUMMYFUNCTION("""COMPUTED_VALUE"""),"Yes")</f>
        <v>Yes</v>
      </c>
      <c r="Q31" s="24" t="str">
        <f ca="1">IFERROR(__xludf.DUMMYFUNCTION("""COMPUTED_VALUE"""),"Yes")</f>
        <v>Yes</v>
      </c>
      <c r="R31" s="24" t="str">
        <f ca="1">IFERROR(__xludf.DUMMYFUNCTION("""COMPUTED_VALUE"""),"ภาควิชาจุลชีววิทยาและวิทยาฯ")</f>
        <v>ภาควิชาจุลชีววิทยาและวิทยาฯ</v>
      </c>
      <c r="S31" s="24">
        <f ca="1">IFERROR(__xludf.DUMMYFUNCTION("""COMPUTED_VALUE"""),43)</f>
        <v>43</v>
      </c>
      <c r="T31" s="24" t="str">
        <f ca="1">IFERROR(__xludf.DUMMYFUNCTION("""COMPUTED_VALUE"""),"May")</f>
        <v>May</v>
      </c>
    </row>
    <row r="32" spans="1:20" ht="14.25" hidden="1">
      <c r="A32" s="24">
        <f ca="1">IFERROR(__xludf.DUMMYFUNCTION("""COMPUTED_VALUE"""),2023)</f>
        <v>2023</v>
      </c>
      <c r="B32" s="24">
        <f ca="1">IFERROR(__xludf.DUMMYFUNCTION("""COMPUTED_VALUE"""),587)</f>
        <v>587</v>
      </c>
      <c r="C32" s="24" t="str">
        <f ca="1">IFERROR(__xludf.DUMMYFUNCTION("""COMPUTED_VALUE"""),"Histopathology and virulence of an in vitro-adapted Trypanosoma evansi TEDC 953 strain (Thailand isolate) in mice")</f>
        <v>Histopathology and virulence of an in vitro-adapted Trypanosoma evansi TEDC 953 strain (Thailand isolate) in mice</v>
      </c>
      <c r="D32" s="24">
        <f ca="1">IFERROR(__xludf.DUMMYFUNCTION("""COMPUTED_VALUE"""),2)</f>
        <v>2</v>
      </c>
      <c r="E32" s="24" t="str">
        <f ca="1">IFERROR(__xludf.DUMMYFUNCTION("""COMPUTED_VALUE"""),"2023.587")</f>
        <v>2023.587</v>
      </c>
      <c r="F32" s="24" t="str">
        <f ca="1">IFERROR(__xludf.DUMMYFUNCTION("""COMPUTED_VALUE"""),"Parasite")</f>
        <v>Parasite</v>
      </c>
      <c r="G32" s="24" t="str">
        <f ca="1">IFERROR(__xludf.DUMMYFUNCTION("""COMPUTED_VALUE"""),"Veterinary World")</f>
        <v>Veterinary World</v>
      </c>
      <c r="H32" s="24" t="str">
        <f ca="1">IFERROR(__xludf.DUMMYFUNCTION("""COMPUTED_VALUE"""),"Ketsarin Kamyingkird")</f>
        <v>Ketsarin Kamyingkird</v>
      </c>
      <c r="I32" s="24" t="str">
        <f ca="1">IFERROR(__xludf.DUMMYFUNCTION("""COMPUTED_VALUE"""),"CorrespondingAuthor")</f>
        <v>CorrespondingAuthor</v>
      </c>
      <c r="J32" s="24" t="b">
        <f ca="1">IFERROR(__xludf.DUMMYFUNCTION("""COMPUTED_VALUE"""),FALSE)</f>
        <v>0</v>
      </c>
      <c r="K32" s="24" t="b">
        <f ca="1">IFERROR(__xludf.DUMMYFUNCTION("""COMPUTED_VALUE"""),FALSE)</f>
        <v>0</v>
      </c>
      <c r="L32" s="58">
        <f ca="1">IFERROR(__xludf.DUMMYFUNCTION("""COMPUTED_VALUE"""),45059)</f>
        <v>45059</v>
      </c>
      <c r="M32" s="24" t="str">
        <f ca="1">IFERROR(__xludf.DUMMYFUNCTION("""COMPUTED_VALUE"""),"International")</f>
        <v>International</v>
      </c>
      <c r="N32" s="24">
        <f ca="1">IFERROR(__xludf.DUMMYFUNCTION("""COMPUTED_VALUE"""),2)</f>
        <v>2</v>
      </c>
      <c r="O32" s="24">
        <f ca="1">IFERROR(__xludf.DUMMYFUNCTION("""COMPUTED_VALUE"""),2.11)</f>
        <v>2.11</v>
      </c>
      <c r="P32" s="24" t="str">
        <f ca="1">IFERROR(__xludf.DUMMYFUNCTION("""COMPUTED_VALUE"""),"No")</f>
        <v>No</v>
      </c>
      <c r="Q32" s="24" t="str">
        <f ca="1">IFERROR(__xludf.DUMMYFUNCTION("""COMPUTED_VALUE"""),"Yes")</f>
        <v>Yes</v>
      </c>
      <c r="R32" s="24" t="str">
        <f ca="1">IFERROR(__xludf.DUMMYFUNCTION("""COMPUTED_VALUE"""),"ภาควิชาปรสิตวิทยา")</f>
        <v>ภาควิชาปรสิตวิทยา</v>
      </c>
      <c r="S32" s="24">
        <f ca="1">IFERROR(__xludf.DUMMYFUNCTION("""COMPUTED_VALUE"""),42)</f>
        <v>42</v>
      </c>
      <c r="T32" s="24" t="str">
        <f ca="1">IFERROR(__xludf.DUMMYFUNCTION("""COMPUTED_VALUE"""),"May")</f>
        <v>May</v>
      </c>
    </row>
    <row r="33" spans="1:20" ht="14.25" hidden="1">
      <c r="A33" s="24">
        <f ca="1">IFERROR(__xludf.DUMMYFUNCTION("""COMPUTED_VALUE"""),2023)</f>
        <v>2023</v>
      </c>
      <c r="B33" s="24">
        <f ca="1">IFERROR(__xludf.DUMMYFUNCTION("""COMPUTED_VALUE"""),588)</f>
        <v>588</v>
      </c>
      <c r="C33" s="24" t="str">
        <f ca="1">IFERROR(__xludf.DUMMYFUNCTION("""COMPUTED_VALUE"""),"Surveillance of antimicrobial resistance, phenotypic, and genotypic patterns of Salmonella enterica isolated from animal feedstuffs: Annual study")</f>
        <v>Surveillance of antimicrobial resistance, phenotypic, and genotypic patterns of Salmonella enterica isolated from animal feedstuffs: Annual study</v>
      </c>
      <c r="D33" s="24">
        <f ca="1">IFERROR(__xludf.DUMMYFUNCTION("""COMPUTED_VALUE"""),2)</f>
        <v>2</v>
      </c>
      <c r="E33" s="24" t="str">
        <f ca="1">IFERROR(__xludf.DUMMYFUNCTION("""COMPUTED_VALUE"""),"2023.588")</f>
        <v>2023.588</v>
      </c>
      <c r="F33" s="24" t="str">
        <f ca="1">IFERROR(__xludf.DUMMYFUNCTION("""COMPUTED_VALUE"""),"Bacteria")</f>
        <v>Bacteria</v>
      </c>
      <c r="G33" s="24" t="str">
        <f ca="1">IFERROR(__xludf.DUMMYFUNCTION("""COMPUTED_VALUE"""),"Veterinary World")</f>
        <v>Veterinary World</v>
      </c>
      <c r="H33" s="24" t="str">
        <f ca="1">IFERROR(__xludf.DUMMYFUNCTION("""COMPUTED_VALUE"""),"Phitsanu Tulayakul")</f>
        <v>Phitsanu Tulayakul</v>
      </c>
      <c r="I33" s="24" t="str">
        <f ca="1">IFERROR(__xludf.DUMMYFUNCTION("""COMPUTED_VALUE"""),"CorrespondingAuthor")</f>
        <v>CorrespondingAuthor</v>
      </c>
      <c r="J33" s="24" t="b">
        <f ca="1">IFERROR(__xludf.DUMMYFUNCTION("""COMPUTED_VALUE"""),FALSE)</f>
        <v>0</v>
      </c>
      <c r="K33" s="24" t="b">
        <f ca="1">IFERROR(__xludf.DUMMYFUNCTION("""COMPUTED_VALUE"""),FALSE)</f>
        <v>0</v>
      </c>
      <c r="L33" s="58">
        <f ca="1">IFERROR(__xludf.DUMMYFUNCTION("""COMPUTED_VALUE"""),45053)</f>
        <v>45053</v>
      </c>
      <c r="M33" s="24" t="str">
        <f ca="1">IFERROR(__xludf.DUMMYFUNCTION("""COMPUTED_VALUE"""),"International")</f>
        <v>International</v>
      </c>
      <c r="N33" s="24">
        <f ca="1">IFERROR(__xludf.DUMMYFUNCTION("""COMPUTED_VALUE"""),2)</f>
        <v>2</v>
      </c>
      <c r="O33" s="24">
        <f ca="1">IFERROR(__xludf.DUMMYFUNCTION("""COMPUTED_VALUE"""),2.11)</f>
        <v>2.11</v>
      </c>
      <c r="P33" s="24" t="str">
        <f ca="1">IFERROR(__xludf.DUMMYFUNCTION("""COMPUTED_VALUE"""),"No")</f>
        <v>No</v>
      </c>
      <c r="Q33" s="24" t="str">
        <f ca="1">IFERROR(__xludf.DUMMYFUNCTION("""COMPUTED_VALUE"""),"Yes")</f>
        <v>Yes</v>
      </c>
      <c r="R33" s="24" t="str">
        <f ca="1">IFERROR(__xludf.DUMMYFUNCTION("""COMPUTED_VALUE"""),"ภาควิชาสัตวแพทยสาธารณสุขศาสตร์")</f>
        <v>ภาควิชาสัตวแพทยสาธารณสุขศาสตร์</v>
      </c>
      <c r="S33" s="24">
        <f ca="1">IFERROR(__xludf.DUMMYFUNCTION("""COMPUTED_VALUE"""),50)</f>
        <v>50</v>
      </c>
      <c r="T33" s="24" t="str">
        <f ca="1">IFERROR(__xludf.DUMMYFUNCTION("""COMPUTED_VALUE"""),"May")</f>
        <v>May</v>
      </c>
    </row>
    <row r="34" spans="1:20" ht="14.25" hidden="1">
      <c r="A34" s="24">
        <f ca="1">IFERROR(__xludf.DUMMYFUNCTION("""COMPUTED_VALUE"""),2023)</f>
        <v>2023</v>
      </c>
      <c r="B34" s="24">
        <f ca="1">IFERROR(__xludf.DUMMYFUNCTION("""COMPUTED_VALUE"""),589)</f>
        <v>589</v>
      </c>
      <c r="C34" s="24" t="str">
        <f ca="1">IFERROR(__xludf.DUMMYFUNCTION("""COMPUTED_VALUE"""),"Prediction of the spread of African swine fever through pig and carcass movements in Thailand using a network analysis and diffusion model")</f>
        <v>Prediction of the spread of African swine fever through pig and carcass movements in Thailand using a network analysis and diffusion model</v>
      </c>
      <c r="D34" s="24">
        <f ca="1">IFERROR(__xludf.DUMMYFUNCTION("""COMPUTED_VALUE"""),2)</f>
        <v>2</v>
      </c>
      <c r="E34" s="24" t="str">
        <f ca="1">IFERROR(__xludf.DUMMYFUNCTION("""COMPUTED_VALUE"""),"2023.589")</f>
        <v>2023.589</v>
      </c>
      <c r="F34" s="24" t="str">
        <f ca="1">IFERROR(__xludf.DUMMYFUNCTION("""COMPUTED_VALUE"""),"Swine")</f>
        <v>Swine</v>
      </c>
      <c r="G34" s="24" t="str">
        <f ca="1">IFERROR(__xludf.DUMMYFUNCTION("""COMPUTED_VALUE"""),"PeerJ")</f>
        <v>PeerJ</v>
      </c>
      <c r="H34" s="24" t="str">
        <f ca="1">IFERROR(__xludf.DUMMYFUNCTION("""COMPUTED_VALUE"""),"Chaithep Poolkhet")</f>
        <v>Chaithep Poolkhet</v>
      </c>
      <c r="I34" s="24" t="str">
        <f ca="1">IFERROR(__xludf.DUMMYFUNCTION("""COMPUTED_VALUE"""),"FirstAuthor&amp;CorrespondingAuthor")</f>
        <v>FirstAuthor&amp;CorrespondingAuthor</v>
      </c>
      <c r="J34" s="24" t="b">
        <f ca="1">IFERROR(__xludf.DUMMYFUNCTION("""COMPUTED_VALUE"""),FALSE)</f>
        <v>0</v>
      </c>
      <c r="K34" s="24" t="b">
        <f ca="1">IFERROR(__xludf.DUMMYFUNCTION("""COMPUTED_VALUE"""),FALSE)</f>
        <v>0</v>
      </c>
      <c r="L34" s="58">
        <f ca="1">IFERROR(__xludf.DUMMYFUNCTION("""COMPUTED_VALUE"""),44994)</f>
        <v>44994</v>
      </c>
      <c r="M34" s="24" t="str">
        <f ca="1">IFERROR(__xludf.DUMMYFUNCTION("""COMPUTED_VALUE"""),"International")</f>
        <v>International</v>
      </c>
      <c r="N34" s="24">
        <f ca="1">IFERROR(__xludf.DUMMYFUNCTION("""COMPUTED_VALUE"""),1)</f>
        <v>1</v>
      </c>
      <c r="O34" s="24">
        <f ca="1">IFERROR(__xludf.DUMMYFUNCTION("""COMPUTED_VALUE"""),2.98)</f>
        <v>2.98</v>
      </c>
      <c r="P34" s="24" t="str">
        <f ca="1">IFERROR(__xludf.DUMMYFUNCTION("""COMPUTED_VALUE"""),"Yes")</f>
        <v>Yes</v>
      </c>
      <c r="Q34" s="24" t="str">
        <f ca="1">IFERROR(__xludf.DUMMYFUNCTION("""COMPUTED_VALUE"""),"Yes")</f>
        <v>Yes</v>
      </c>
      <c r="R34" s="24" t="str">
        <f ca="1">IFERROR(__xludf.DUMMYFUNCTION("""COMPUTED_VALUE"""),"ภาควิชาสัตวแพทยสาธารณสุขศาสตร์")</f>
        <v>ภาควิชาสัตวแพทยสาธารณสุขศาสตร์</v>
      </c>
      <c r="S34" s="24">
        <f ca="1">IFERROR(__xludf.DUMMYFUNCTION("""COMPUTED_VALUE"""),51)</f>
        <v>51</v>
      </c>
      <c r="T34" s="24" t="str">
        <f ca="1">IFERROR(__xludf.DUMMYFUNCTION("""COMPUTED_VALUE"""),"March")</f>
        <v>March</v>
      </c>
    </row>
    <row r="35" spans="1:20" ht="14.25" hidden="1">
      <c r="A35" s="24">
        <f ca="1">IFERROR(__xludf.DUMMYFUNCTION("""COMPUTED_VALUE"""),2023)</f>
        <v>2023</v>
      </c>
      <c r="B35" s="24">
        <f ca="1">IFERROR(__xludf.DUMMYFUNCTION("""COMPUTED_VALUE"""),590)</f>
        <v>590</v>
      </c>
      <c r="C35" s="24" t="str">
        <f ca="1">IFERROR(__xludf.DUMMYFUNCTION("""COMPUTED_VALUE"""),"First study on in vitro antiviral and virucidal effects of flavonoids against feline infectious peritonitis virus at the early stage of infection")</f>
        <v>First study on in vitro antiviral and virucidal effects of flavonoids against feline infectious peritonitis virus at the early stage of infection</v>
      </c>
      <c r="D35" s="24">
        <f ca="1">IFERROR(__xludf.DUMMYFUNCTION("""COMPUTED_VALUE"""),3)</f>
        <v>3</v>
      </c>
      <c r="E35" s="24" t="str">
        <f ca="1">IFERROR(__xludf.DUMMYFUNCTION("""COMPUTED_VALUE"""),"2023.590")</f>
        <v>2023.590</v>
      </c>
      <c r="F35" s="24" t="str">
        <f ca="1">IFERROR(__xludf.DUMMYFUNCTION("""COMPUTED_VALUE"""),"Cat")</f>
        <v>Cat</v>
      </c>
      <c r="G35" s="24" t="str">
        <f ca="1">IFERROR(__xludf.DUMMYFUNCTION("""COMPUTED_VALUE"""),"Veterinary World")</f>
        <v>Veterinary World</v>
      </c>
      <c r="H35" s="24" t="str">
        <f ca="1">IFERROR(__xludf.DUMMYFUNCTION("""COMPUTED_VALUE"""),"Sirin Theerawatanasirikul")</f>
        <v>Sirin Theerawatanasirikul</v>
      </c>
      <c r="I35" s="24" t="str">
        <f ca="1">IFERROR(__xludf.DUMMYFUNCTION("""COMPUTED_VALUE"""),"CorrespondingAuthor")</f>
        <v>CorrespondingAuthor</v>
      </c>
      <c r="J35" s="24" t="b">
        <f ca="1">IFERROR(__xludf.DUMMYFUNCTION("""COMPUTED_VALUE"""),FALSE)</f>
        <v>0</v>
      </c>
      <c r="K35" s="24" t="b">
        <f ca="1">IFERROR(__xludf.DUMMYFUNCTION("""COMPUTED_VALUE"""),FALSE)</f>
        <v>0</v>
      </c>
      <c r="L35" s="58">
        <f ca="1">IFERROR(__xludf.DUMMYFUNCTION("""COMPUTED_VALUE"""),45011)</f>
        <v>45011</v>
      </c>
      <c r="M35" s="24" t="str">
        <f ca="1">IFERROR(__xludf.DUMMYFUNCTION("""COMPUTED_VALUE"""),"International")</f>
        <v>International</v>
      </c>
      <c r="N35" s="24">
        <f ca="1">IFERROR(__xludf.DUMMYFUNCTION("""COMPUTED_VALUE"""),2)</f>
        <v>2</v>
      </c>
      <c r="O35" s="24">
        <f ca="1">IFERROR(__xludf.DUMMYFUNCTION("""COMPUTED_VALUE"""),2.11)</f>
        <v>2.11</v>
      </c>
      <c r="P35" s="24" t="str">
        <f ca="1">IFERROR(__xludf.DUMMYFUNCTION("""COMPUTED_VALUE"""),"No")</f>
        <v>No</v>
      </c>
      <c r="Q35" s="24" t="str">
        <f ca="1">IFERROR(__xludf.DUMMYFUNCTION("""COMPUTED_VALUE"""),"Yes")</f>
        <v>Yes</v>
      </c>
      <c r="R35" s="24" t="str">
        <f ca="1">IFERROR(__xludf.DUMMYFUNCTION("""COMPUTED_VALUE"""),"ภาควิชากายวิภาคศาสตร์")</f>
        <v>ภาควิชากายวิภาคศาสตร์</v>
      </c>
      <c r="S35" s="24">
        <f ca="1">IFERROR(__xludf.DUMMYFUNCTION("""COMPUTED_VALUE"""),43)</f>
        <v>43</v>
      </c>
      <c r="T35" s="24" t="str">
        <f ca="1">IFERROR(__xludf.DUMMYFUNCTION("""COMPUTED_VALUE"""),"March")</f>
        <v>March</v>
      </c>
    </row>
    <row r="36" spans="1:20" ht="14.25" hidden="1">
      <c r="A36" s="24">
        <f ca="1">IFERROR(__xludf.DUMMYFUNCTION("""COMPUTED_VALUE"""),2023)</f>
        <v>2023</v>
      </c>
      <c r="B36" s="24">
        <f ca="1">IFERROR(__xludf.DUMMYFUNCTION("""COMPUTED_VALUE"""),591)</f>
        <v>591</v>
      </c>
      <c r="C36" s="24" t="str">
        <f ca="1">IFERROR(__xludf.DUMMYFUNCTION("""COMPUTED_VALUE"""),"Heartworm adulticide treatment: a tropical perspective")</f>
        <v>Heartworm adulticide treatment: a tropical perspective</v>
      </c>
      <c r="D36" s="24">
        <f ca="1">IFERROR(__xludf.DUMMYFUNCTION("""COMPUTED_VALUE"""),2)</f>
        <v>2</v>
      </c>
      <c r="E36" s="24" t="str">
        <f ca="1">IFERROR(__xludf.DUMMYFUNCTION("""COMPUTED_VALUE"""),"2023.591")</f>
        <v>2023.591</v>
      </c>
      <c r="F36" s="24" t="str">
        <f ca="1">IFERROR(__xludf.DUMMYFUNCTION("""COMPUTED_VALUE"""),"Prasite")</f>
        <v>Prasite</v>
      </c>
      <c r="G36" s="24" t="str">
        <f ca="1">IFERROR(__xludf.DUMMYFUNCTION("""COMPUTED_VALUE"""),"Parasites and Vectors")</f>
        <v>Parasites and Vectors</v>
      </c>
      <c r="H36" s="24" t="str">
        <f ca="1">IFERROR(__xludf.DUMMYFUNCTION("""COMPUTED_VALUE"""),"Tawin Inpankaew")</f>
        <v>Tawin Inpankaew</v>
      </c>
      <c r="I36" s="24" t="str">
        <f ca="1">IFERROR(__xludf.DUMMYFUNCTION("""COMPUTED_VALUE"""),"CoAuthor")</f>
        <v>CoAuthor</v>
      </c>
      <c r="J36" s="24" t="b">
        <f ca="1">IFERROR(__xludf.DUMMYFUNCTION("""COMPUTED_VALUE"""),FALSE)</f>
        <v>0</v>
      </c>
      <c r="K36" s="24" t="b">
        <f ca="1">IFERROR(__xludf.DUMMYFUNCTION("""COMPUTED_VALUE"""),FALSE)</f>
        <v>0</v>
      </c>
      <c r="L36" s="58">
        <f ca="1">IFERROR(__xludf.DUMMYFUNCTION("""COMPUTED_VALUE"""),45044)</f>
        <v>45044</v>
      </c>
      <c r="M36" s="24" t="str">
        <f ca="1">IFERROR(__xludf.DUMMYFUNCTION("""COMPUTED_VALUE"""),"International")</f>
        <v>International</v>
      </c>
      <c r="N36" s="24">
        <f ca="1">IFERROR(__xludf.DUMMYFUNCTION("""COMPUTED_VALUE"""),1)</f>
        <v>1</v>
      </c>
      <c r="O36" s="24">
        <f ca="1">IFERROR(__xludf.DUMMYFUNCTION("""COMPUTED_VALUE"""),3.876)</f>
        <v>3.8759999999999999</v>
      </c>
      <c r="P36" s="24" t="str">
        <f ca="1">IFERROR(__xludf.DUMMYFUNCTION("""COMPUTED_VALUE"""),"Yes")</f>
        <v>Yes</v>
      </c>
      <c r="Q36" s="24" t="str">
        <f ca="1">IFERROR(__xludf.DUMMYFUNCTION("""COMPUTED_VALUE"""),"Yes")</f>
        <v>Yes</v>
      </c>
      <c r="R36" s="24" t="str">
        <f ca="1">IFERROR(__xludf.DUMMYFUNCTION("""COMPUTED_VALUE"""),"ภาควิชาปรสิตวิทยา")</f>
        <v>ภาควิชาปรสิตวิทยา</v>
      </c>
      <c r="S36" s="24">
        <f ca="1">IFERROR(__xludf.DUMMYFUNCTION("""COMPUTED_VALUE"""),47)</f>
        <v>47</v>
      </c>
      <c r="T36" s="24" t="str">
        <f ca="1">IFERROR(__xludf.DUMMYFUNCTION("""COMPUTED_VALUE"""),"April")</f>
        <v>April</v>
      </c>
    </row>
    <row r="37" spans="1:20" ht="14.25" hidden="1">
      <c r="A37" s="24">
        <f ca="1">IFERROR(__xludf.DUMMYFUNCTION("""COMPUTED_VALUE"""),2023)</f>
        <v>2023</v>
      </c>
      <c r="B37" s="24">
        <f ca="1">IFERROR(__xludf.DUMMYFUNCTION("""COMPUTED_VALUE"""),592)</f>
        <v>592</v>
      </c>
      <c r="C37" s="24" t="str">
        <f ca="1">IFERROR(__xludf.DUMMYFUNCTION("""COMPUTED_VALUE"""),"The first study on clinicopathological changes in cats with feline infectious peritonitis with and without retrovirus coinfection")</f>
        <v>The first study on clinicopathological changes in cats with feline infectious peritonitis with and without retrovirus coinfection</v>
      </c>
      <c r="D37" s="24">
        <f ca="1">IFERROR(__xludf.DUMMYFUNCTION("""COMPUTED_VALUE"""),5)</f>
        <v>5</v>
      </c>
      <c r="E37" s="24" t="str">
        <f ca="1">IFERROR(__xludf.DUMMYFUNCTION("""COMPUTED_VALUE"""),"2023.592")</f>
        <v>2023.592</v>
      </c>
      <c r="F37" s="24" t="str">
        <f ca="1">IFERROR(__xludf.DUMMYFUNCTION("""COMPUTED_VALUE"""),"Cat")</f>
        <v>Cat</v>
      </c>
      <c r="G37" s="24" t="str">
        <f ca="1">IFERROR(__xludf.DUMMYFUNCTION("""COMPUTED_VALUE"""),"Veterinary World")</f>
        <v>Veterinary World</v>
      </c>
      <c r="H37" s="24" t="str">
        <f ca="1">IFERROR(__xludf.DUMMYFUNCTION("""COMPUTED_VALUE"""),"Jatuporn Rattanasrisomporn")</f>
        <v>Jatuporn Rattanasrisomporn</v>
      </c>
      <c r="I37" s="24" t="str">
        <f ca="1">IFERROR(__xludf.DUMMYFUNCTION("""COMPUTED_VALUE"""),"CorrespondingAuthor")</f>
        <v>CorrespondingAuthor</v>
      </c>
      <c r="J37" s="24" t="b">
        <f ca="1">IFERROR(__xludf.DUMMYFUNCTION("""COMPUTED_VALUE"""),FALSE)</f>
        <v>0</v>
      </c>
      <c r="K37" s="24" t="b">
        <f ca="1">IFERROR(__xludf.DUMMYFUNCTION("""COMPUTED_VALUE"""),TRUE)</f>
        <v>1</v>
      </c>
      <c r="L37" s="58">
        <f ca="1">IFERROR(__xludf.DUMMYFUNCTION("""COMPUTED_VALUE"""),45036)</f>
        <v>45036</v>
      </c>
      <c r="M37" s="24" t="str">
        <f ca="1">IFERROR(__xludf.DUMMYFUNCTION("""COMPUTED_VALUE"""),"International")</f>
        <v>International</v>
      </c>
      <c r="N37" s="24">
        <f ca="1">IFERROR(__xludf.DUMMYFUNCTION("""COMPUTED_VALUE"""),2)</f>
        <v>2</v>
      </c>
      <c r="O37" s="24">
        <f ca="1">IFERROR(__xludf.DUMMYFUNCTION("""COMPUTED_VALUE"""),2.11)</f>
        <v>2.11</v>
      </c>
      <c r="P37" s="24" t="str">
        <f ca="1">IFERROR(__xludf.DUMMYFUNCTION("""COMPUTED_VALUE"""),"No")</f>
        <v>No</v>
      </c>
      <c r="Q37" s="24" t="str">
        <f ca="1">IFERROR(__xludf.DUMMYFUNCTION("""COMPUTED_VALUE"""),"Yes")</f>
        <v>Yes</v>
      </c>
      <c r="R37" s="24" t="str">
        <f ca="1">IFERROR(__xludf.DUMMYFUNCTION("""COMPUTED_VALUE"""),"ภาควิชาเวชศาสตร์คลินิกสัตว์เลี้ยง")</f>
        <v>ภาควิชาเวชศาสตร์คลินิกสัตว์เลี้ยง</v>
      </c>
      <c r="S37" s="24">
        <f ca="1">IFERROR(__xludf.DUMMYFUNCTION("""COMPUTED_VALUE"""),52)</f>
        <v>52</v>
      </c>
      <c r="T37" s="24" t="str">
        <f ca="1">IFERROR(__xludf.DUMMYFUNCTION("""COMPUTED_VALUE"""),"April")</f>
        <v>April</v>
      </c>
    </row>
    <row r="38" spans="1:20" ht="14.25" hidden="1">
      <c r="A38" s="24">
        <f ca="1">IFERROR(__xludf.DUMMYFUNCTION("""COMPUTED_VALUE"""),2023)</f>
        <v>2023</v>
      </c>
      <c r="B38" s="24">
        <f ca="1">IFERROR(__xludf.DUMMYFUNCTION("""COMPUTED_VALUE"""),593)</f>
        <v>593</v>
      </c>
      <c r="C38" s="24" t="str">
        <f ca="1">IFERROR(__xludf.DUMMYFUNCTION("""COMPUTED_VALUE"""),"Cell-penetrating porcine single-chain antibodies (transbodies) against nonstructural protein 1ฮฒ (NSP1ฮฒ) of porcine reproductive and respiratory syndrome virus inhibit virus replication")</f>
        <v>Cell-penetrating porcine single-chain antibodies (transbodies) against nonstructural protein 1ฮฒ (NSP1ฮฒ) of porcine reproductive and respiratory syndrome virus inhibit virus replication</v>
      </c>
      <c r="D38" s="24">
        <f ca="1">IFERROR(__xludf.DUMMYFUNCTION("""COMPUTED_VALUE"""),2)</f>
        <v>2</v>
      </c>
      <c r="E38" s="24" t="str">
        <f ca="1">IFERROR(__xludf.DUMMYFUNCTION("""COMPUTED_VALUE"""),"2023.593")</f>
        <v>2023.593</v>
      </c>
      <c r="F38" s="24" t="str">
        <f ca="1">IFERROR(__xludf.DUMMYFUNCTION("""COMPUTED_VALUE"""),"Swine")</f>
        <v>Swine</v>
      </c>
      <c r="G38" s="24" t="str">
        <f ca="1">IFERROR(__xludf.DUMMYFUNCTION("""COMPUTED_VALUE"""),"Archives of Virology")</f>
        <v>Archives of Virology</v>
      </c>
      <c r="H38" s="24" t="str">
        <f ca="1">IFERROR(__xludf.DUMMYFUNCTION("""COMPUTED_VALUE"""),"Sirin Theerawatanasirikul")</f>
        <v>Sirin Theerawatanasirikul</v>
      </c>
      <c r="I38" s="24" t="str">
        <f ca="1">IFERROR(__xludf.DUMMYFUNCTION("""COMPUTED_VALUE"""),"CoAuthor")</f>
        <v>CoAuthor</v>
      </c>
      <c r="J38" s="24" t="b">
        <f ca="1">IFERROR(__xludf.DUMMYFUNCTION("""COMPUTED_VALUE"""),FALSE)</f>
        <v>0</v>
      </c>
      <c r="K38" s="24" t="b">
        <f ca="1">IFERROR(__xludf.DUMMYFUNCTION("""COMPUTED_VALUE"""),FALSE)</f>
        <v>0</v>
      </c>
      <c r="L38" s="58">
        <f ca="1">IFERROR(__xludf.DUMMYFUNCTION("""COMPUTED_VALUE"""),45023)</f>
        <v>45023</v>
      </c>
      <c r="M38" s="24" t="str">
        <f ca="1">IFERROR(__xludf.DUMMYFUNCTION("""COMPUTED_VALUE"""),"International")</f>
        <v>International</v>
      </c>
      <c r="N38" s="24">
        <f ca="1">IFERROR(__xludf.DUMMYFUNCTION("""COMPUTED_VALUE"""),2)</f>
        <v>2</v>
      </c>
      <c r="O38" s="24">
        <f ca="1">IFERROR(__xludf.DUMMYFUNCTION("""COMPUTED_VALUE"""),2.261)</f>
        <v>2.2610000000000001</v>
      </c>
      <c r="P38" s="24" t="str">
        <f ca="1">IFERROR(__xludf.DUMMYFUNCTION("""COMPUTED_VALUE"""),"Yes")</f>
        <v>Yes</v>
      </c>
      <c r="Q38" s="24" t="str">
        <f ca="1">IFERROR(__xludf.DUMMYFUNCTION("""COMPUTED_VALUE"""),"Yes")</f>
        <v>Yes</v>
      </c>
      <c r="R38" s="24" t="str">
        <f ca="1">IFERROR(__xludf.DUMMYFUNCTION("""COMPUTED_VALUE"""),"ภาควิชากายวิภาคศาสตร์")</f>
        <v>ภาควิชากายวิภาคศาสตร์</v>
      </c>
      <c r="S38" s="24">
        <f ca="1">IFERROR(__xludf.DUMMYFUNCTION("""COMPUTED_VALUE"""),43)</f>
        <v>43</v>
      </c>
      <c r="T38" s="24" t="str">
        <f ca="1">IFERROR(__xludf.DUMMYFUNCTION("""COMPUTED_VALUE"""),"April")</f>
        <v>April</v>
      </c>
    </row>
    <row r="39" spans="1:20" ht="14.25" hidden="1">
      <c r="A39" s="24">
        <f ca="1">IFERROR(__xludf.DUMMYFUNCTION("""COMPUTED_VALUE"""),2023)</f>
        <v>2023</v>
      </c>
      <c r="B39" s="24">
        <f ca="1">IFERROR(__xludf.DUMMYFUNCTION("""COMPUTED_VALUE"""),594)</f>
        <v>594</v>
      </c>
      <c r="C39" s="24" t="str">
        <f ca="1">IFERROR(__xludf.DUMMYFUNCTION("""COMPUTED_VALUE"""),"Study of trace elements in stranded green turtles (Chelonia mydas), hawksbill turtles (Eretmochelys imbricata), and olive ridley turtles (Lepidochelys olivacea) in Gulf of Thailand and Andaman Sea")</f>
        <v>Study of trace elements in stranded green turtles (Chelonia mydas), hawksbill turtles (Eretmochelys imbricata), and olive ridley turtles (Lepidochelys olivacea) in Gulf of Thailand and Andaman Sea</v>
      </c>
      <c r="D39" s="24">
        <f ca="1">IFERROR(__xludf.DUMMYFUNCTION("""COMPUTED_VALUE"""),2)</f>
        <v>2</v>
      </c>
      <c r="E39" s="24" t="str">
        <f ca="1">IFERROR(__xludf.DUMMYFUNCTION("""COMPUTED_VALUE"""),"2023.594")</f>
        <v>2023.594</v>
      </c>
      <c r="F39" s="24" t="str">
        <f ca="1">IFERROR(__xludf.DUMMYFUNCTION("""COMPUTED_VALUE"""),"Turtle")</f>
        <v>Turtle</v>
      </c>
      <c r="G39" s="24" t="str">
        <f ca="1">IFERROR(__xludf.DUMMYFUNCTION("""COMPUTED_VALUE"""),"The Journal of Veterinary Medical Science")</f>
        <v>The Journal of Veterinary Medical Science</v>
      </c>
      <c r="H39" s="24" t="str">
        <f ca="1">IFERROR(__xludf.DUMMYFUNCTION("""COMPUTED_VALUE"""),"Theerapol Sirinarumitr")</f>
        <v>Theerapol Sirinarumitr</v>
      </c>
      <c r="I39" s="24" t="str">
        <f ca="1">IFERROR(__xludf.DUMMYFUNCTION("""COMPUTED_VALUE"""),"CorrespondingAuthor")</f>
        <v>CorrespondingAuthor</v>
      </c>
      <c r="J39" s="24" t="b">
        <f ca="1">IFERROR(__xludf.DUMMYFUNCTION("""COMPUTED_VALUE"""),FALSE)</f>
        <v>0</v>
      </c>
      <c r="K39" s="24" t="b">
        <f ca="1">IFERROR(__xludf.DUMMYFUNCTION("""COMPUTED_VALUE"""),TRUE)</f>
        <v>1</v>
      </c>
      <c r="L39" s="58">
        <f ca="1">IFERROR(__xludf.DUMMYFUNCTION("""COMPUTED_VALUE"""),44989)</f>
        <v>44989</v>
      </c>
      <c r="M39" s="24" t="str">
        <f ca="1">IFERROR(__xludf.DUMMYFUNCTION("""COMPUTED_VALUE"""),"International")</f>
        <v>International</v>
      </c>
      <c r="N39" s="24">
        <f ca="1">IFERROR(__xludf.DUMMYFUNCTION("""COMPUTED_VALUE"""),4)</f>
        <v>4</v>
      </c>
      <c r="O39" s="24">
        <f ca="1">IFERROR(__xludf.DUMMYFUNCTION("""COMPUTED_VALUE"""),1.23)</f>
        <v>1.23</v>
      </c>
      <c r="P39" s="24" t="str">
        <f ca="1">IFERROR(__xludf.DUMMYFUNCTION("""COMPUTED_VALUE"""),"Yes")</f>
        <v>Yes</v>
      </c>
      <c r="Q39" s="24" t="str">
        <f ca="1">IFERROR(__xludf.DUMMYFUNCTION("""COMPUTED_VALUE"""),"No")</f>
        <v>No</v>
      </c>
      <c r="R39" s="24" t="str">
        <f ca="1">IFERROR(__xludf.DUMMYFUNCTION("""COMPUTED_VALUE"""),"ภาควิชาพยาธิวิทยา")</f>
        <v>ภาควิชาพยาธิวิทยา</v>
      </c>
      <c r="S39" s="24">
        <f ca="1">IFERROR(__xludf.DUMMYFUNCTION("""COMPUTED_VALUE"""),63)</f>
        <v>63</v>
      </c>
      <c r="T39" s="24" t="str">
        <f ca="1">IFERROR(__xludf.DUMMYFUNCTION("""COMPUTED_VALUE"""),"March")</f>
        <v>March</v>
      </c>
    </row>
    <row r="40" spans="1:20" ht="14.25" hidden="1">
      <c r="A40" s="24">
        <f ca="1">IFERROR(__xludf.DUMMYFUNCTION("""COMPUTED_VALUE"""),2023)</f>
        <v>2023</v>
      </c>
      <c r="B40" s="24">
        <f ca="1">IFERROR(__xludf.DUMMYFUNCTION("""COMPUTED_VALUE"""),595)</f>
        <v>595</v>
      </c>
      <c r="C40" s="24" t="str">
        <f ca="1">IFERROR(__xludf.DUMMYFUNCTION("""COMPUTED_VALUE"""),"Intranasal dexmedetomidine with morphine or tramadol: A comparative study of effects on alfaxalone requirements for anesthesia in cats")</f>
        <v>Intranasal dexmedetomidine with morphine or tramadol: A comparative study of effects on alfaxalone requirements for anesthesia in cats</v>
      </c>
      <c r="D40" s="24">
        <f ca="1">IFERROR(__xludf.DUMMYFUNCTION("""COMPUTED_VALUE"""),5)</f>
        <v>5</v>
      </c>
      <c r="E40" s="24" t="str">
        <f ca="1">IFERROR(__xludf.DUMMYFUNCTION("""COMPUTED_VALUE"""),"2023.595")</f>
        <v>2023.595</v>
      </c>
      <c r="F40" s="24" t="str">
        <f ca="1">IFERROR(__xludf.DUMMYFUNCTION("""COMPUTED_VALUE"""),"Cat")</f>
        <v>Cat</v>
      </c>
      <c r="G40" s="24" t="str">
        <f ca="1">IFERROR(__xludf.DUMMYFUNCTION("""COMPUTED_VALUE"""),"Veterinary World")</f>
        <v>Veterinary World</v>
      </c>
      <c r="H40" s="24" t="str">
        <f ca="1">IFERROR(__xludf.DUMMYFUNCTION("""COMPUTED_VALUE"""),"Naris Thengchaisri")</f>
        <v>Naris Thengchaisri</v>
      </c>
      <c r="I40" s="24" t="str">
        <f ca="1">IFERROR(__xludf.DUMMYFUNCTION("""COMPUTED_VALUE"""),"CorrespondingAuthor")</f>
        <v>CorrespondingAuthor</v>
      </c>
      <c r="J40" s="24" t="b">
        <f ca="1">IFERROR(__xludf.DUMMYFUNCTION("""COMPUTED_VALUE"""),FALSE)</f>
        <v>0</v>
      </c>
      <c r="K40" s="24" t="b">
        <f ca="1">IFERROR(__xludf.DUMMYFUNCTION("""COMPUTED_VALUE"""),TRUE)</f>
        <v>1</v>
      </c>
      <c r="L40" s="58">
        <f ca="1">IFERROR(__xludf.DUMMYFUNCTION("""COMPUTED_VALUE"""),45054)</f>
        <v>45054</v>
      </c>
      <c r="M40" s="24" t="str">
        <f ca="1">IFERROR(__xludf.DUMMYFUNCTION("""COMPUTED_VALUE"""),"International")</f>
        <v>International</v>
      </c>
      <c r="N40" s="24">
        <f ca="1">IFERROR(__xludf.DUMMYFUNCTION("""COMPUTED_VALUE"""),2)</f>
        <v>2</v>
      </c>
      <c r="O40" s="24">
        <f ca="1">IFERROR(__xludf.DUMMYFUNCTION("""COMPUTED_VALUE"""),2.11)</f>
        <v>2.11</v>
      </c>
      <c r="P40" s="24" t="str">
        <f ca="1">IFERROR(__xludf.DUMMYFUNCTION("""COMPUTED_VALUE"""),"No")</f>
        <v>No</v>
      </c>
      <c r="Q40" s="24" t="str">
        <f ca="1">IFERROR(__xludf.DUMMYFUNCTION("""COMPUTED_VALUE"""),"Yes")</f>
        <v>Yes</v>
      </c>
      <c r="R40" s="24" t="str">
        <f ca="1">IFERROR(__xludf.DUMMYFUNCTION("""COMPUTED_VALUE"""),"ภาควิชาเวชศาสตร์คลินิกสัตว์เลี้ยง")</f>
        <v>ภาควิชาเวชศาสตร์คลินิกสัตว์เลี้ยง</v>
      </c>
      <c r="S40" s="24">
        <f ca="1">IFERROR(__xludf.DUMMYFUNCTION("""COMPUTED_VALUE"""),52)</f>
        <v>52</v>
      </c>
      <c r="T40" s="24" t="str">
        <f ca="1">IFERROR(__xludf.DUMMYFUNCTION("""COMPUTED_VALUE"""),"May")</f>
        <v>May</v>
      </c>
    </row>
    <row r="41" spans="1:20" ht="14.25" hidden="1">
      <c r="A41" s="24">
        <f ca="1">IFERROR(__xludf.DUMMYFUNCTION("""COMPUTED_VALUE"""),2023)</f>
        <v>2023</v>
      </c>
      <c r="B41" s="24">
        <f ca="1">IFERROR(__xludf.DUMMYFUNCTION("""COMPUTED_VALUE"""),596)</f>
        <v>596</v>
      </c>
      <c r="C41" s="24" t="str">
        <f ca="1">IFERROR(__xludf.DUMMYFUNCTION("""COMPUTED_VALUE"""),"Evaluation of Overshunting between Low and Medium Pressure Ventriculoperitoneal Shunts in Dogs with Severe Hydrocephalus Using Frameless Stereotactic Ventricular Shunt Placement")</f>
        <v>Evaluation of Overshunting between Low and Medium Pressure Ventriculoperitoneal Shunts in Dogs with Severe Hydrocephalus Using Frameless Stereotactic Ventricular Shunt Placement</v>
      </c>
      <c r="D41" s="24">
        <f ca="1">IFERROR(__xludf.DUMMYFUNCTION("""COMPUTED_VALUE"""),5)</f>
        <v>5</v>
      </c>
      <c r="E41" s="24" t="str">
        <f ca="1">IFERROR(__xludf.DUMMYFUNCTION("""COMPUTED_VALUE"""),"2023.596")</f>
        <v>2023.596</v>
      </c>
      <c r="F41" s="24" t="str">
        <f ca="1">IFERROR(__xludf.DUMMYFUNCTION("""COMPUTED_VALUE"""),"Dog")</f>
        <v>Dog</v>
      </c>
      <c r="G41" s="24" t="str">
        <f ca="1">IFERROR(__xludf.DUMMYFUNCTION("""COMPUTED_VALUE"""),"Animals")</f>
        <v>Animals</v>
      </c>
      <c r="H41" s="24" t="str">
        <f ca="1">IFERROR(__xludf.DUMMYFUNCTION("""COMPUTED_VALUE"""),"Nirut Suwanna")</f>
        <v>Nirut Suwanna</v>
      </c>
      <c r="I41" s="24" t="str">
        <f ca="1">IFERROR(__xludf.DUMMYFUNCTION("""COMPUTED_VALUE"""),"CorrespondingAuthor")</f>
        <v>CorrespondingAuthor</v>
      </c>
      <c r="J41" s="24" t="b">
        <f ca="1">IFERROR(__xludf.DUMMYFUNCTION("""COMPUTED_VALUE"""),FALSE)</f>
        <v>0</v>
      </c>
      <c r="K41" s="24" t="b">
        <f ca="1">IFERROR(__xludf.DUMMYFUNCTION("""COMPUTED_VALUE"""),FALSE)</f>
        <v>0</v>
      </c>
      <c r="L41" s="58">
        <f ca="1">IFERROR(__xludf.DUMMYFUNCTION("""COMPUTED_VALUE"""),45078)</f>
        <v>45078</v>
      </c>
      <c r="M41" s="24" t="str">
        <f ca="1">IFERROR(__xludf.DUMMYFUNCTION("""COMPUTED_VALUE"""),"International")</f>
        <v>International</v>
      </c>
      <c r="N41" s="24">
        <f ca="1">IFERROR(__xludf.DUMMYFUNCTION("""COMPUTED_VALUE"""),1)</f>
        <v>1</v>
      </c>
      <c r="O41" s="24">
        <f ca="1">IFERROR(__xludf.DUMMYFUNCTION("""COMPUTED_VALUE"""),2.752)</f>
        <v>2.7519999999999998</v>
      </c>
      <c r="P41" s="24" t="str">
        <f ca="1">IFERROR(__xludf.DUMMYFUNCTION("""COMPUTED_VALUE"""),"Yes")</f>
        <v>Yes</v>
      </c>
      <c r="Q41" s="24" t="str">
        <f ca="1">IFERROR(__xludf.DUMMYFUNCTION("""COMPUTED_VALUE"""),"Yes")</f>
        <v>Yes</v>
      </c>
      <c r="R41" s="24" t="str">
        <f ca="1">IFERROR(__xludf.DUMMYFUNCTION("""COMPUTED_VALUE"""),"ภาควิชาเวชศาสตร์คลินิกสัตว์เลี้ยง")</f>
        <v>ภาควิชาเวชศาสตร์คลินิกสัตว์เลี้ยง</v>
      </c>
      <c r="S41" s="24">
        <f ca="1">IFERROR(__xludf.DUMMYFUNCTION("""COMPUTED_VALUE"""),50)</f>
        <v>50</v>
      </c>
      <c r="T41" s="24" t="str">
        <f ca="1">IFERROR(__xludf.DUMMYFUNCTION("""COMPUTED_VALUE"""),"June")</f>
        <v>June</v>
      </c>
    </row>
    <row r="42" spans="1:20" ht="14.25" hidden="1">
      <c r="A42" s="24">
        <f ca="1">IFERROR(__xludf.DUMMYFUNCTION("""COMPUTED_VALUE"""),2023)</f>
        <v>2023</v>
      </c>
      <c r="B42" s="24">
        <f ca="1">IFERROR(__xludf.DUMMYFUNCTION("""COMPUTED_VALUE"""),597)</f>
        <v>597</v>
      </c>
      <c r="C42" s="24" t="str">
        <f ca="1">IFERROR(__xludf.DUMMYFUNCTION("""COMPUTED_VALUE"""),"Characterization and Homology Modeling of Catalytically Active Recombinant PhaCAp Protein from Arthrospira platensis")</f>
        <v>Characterization and Homology Modeling of Catalytically Active Recombinant PhaCAp Protein from Arthrospira platensis</v>
      </c>
      <c r="D42" s="24">
        <f ca="1">IFERROR(__xludf.DUMMYFUNCTION("""COMPUTED_VALUE"""),2)</f>
        <v>2</v>
      </c>
      <c r="E42" s="24" t="str">
        <f ca="1">IFERROR(__xludf.DUMMYFUNCTION("""COMPUTED_VALUE"""),"2023.597")</f>
        <v>2023.597</v>
      </c>
      <c r="F42" s="24" t="str">
        <f ca="1">IFERROR(__xludf.DUMMYFUNCTION("""COMPUTED_VALUE"""),"Bacteria")</f>
        <v>Bacteria</v>
      </c>
      <c r="G42" s="24" t="str">
        <f ca="1">IFERROR(__xludf.DUMMYFUNCTION("""COMPUTED_VALUE"""),"Biology")</f>
        <v>Biology</v>
      </c>
      <c r="H42" s="24" t="str">
        <f ca="1">IFERROR(__xludf.DUMMYFUNCTION("""COMPUTED_VALUE"""),"Nattaphong Akrimajirachoote")</f>
        <v>Nattaphong Akrimajirachoote</v>
      </c>
      <c r="I42" s="24" t="str">
        <f ca="1">IFERROR(__xludf.DUMMYFUNCTION("""COMPUTED_VALUE"""),"CoAuthor")</f>
        <v>CoAuthor</v>
      </c>
      <c r="J42" s="24" t="b">
        <f ca="1">IFERROR(__xludf.DUMMYFUNCTION("""COMPUTED_VALUE"""),FALSE)</f>
        <v>0</v>
      </c>
      <c r="K42" s="24" t="b">
        <f ca="1">IFERROR(__xludf.DUMMYFUNCTION("""COMPUTED_VALUE"""),FALSE)</f>
        <v>0</v>
      </c>
      <c r="L42" s="58">
        <f ca="1">IFERROR(__xludf.DUMMYFUNCTION("""COMPUTED_VALUE"""),45063)</f>
        <v>45063</v>
      </c>
      <c r="M42" s="24" t="str">
        <f ca="1">IFERROR(__xludf.DUMMYFUNCTION("""COMPUTED_VALUE"""),"International")</f>
        <v>International</v>
      </c>
      <c r="N42" s="24">
        <f ca="1">IFERROR(__xludf.DUMMYFUNCTION("""COMPUTED_VALUE"""),1)</f>
        <v>1</v>
      </c>
      <c r="O42" s="24">
        <f ca="1">IFERROR(__xludf.DUMMYFUNCTION("""COMPUTED_VALUE"""),5.168)</f>
        <v>5.1680000000000001</v>
      </c>
      <c r="P42" s="24" t="str">
        <f ca="1">IFERROR(__xludf.DUMMYFUNCTION("""COMPUTED_VALUE"""),"Yes")</f>
        <v>Yes</v>
      </c>
      <c r="Q42" s="24" t="str">
        <f ca="1">IFERROR(__xludf.DUMMYFUNCTION("""COMPUTED_VALUE"""),"Yes")</f>
        <v>Yes</v>
      </c>
      <c r="R42" s="24" t="str">
        <f ca="1">IFERROR(__xludf.DUMMYFUNCTION("""COMPUTED_VALUE"""),"ภาควิชาสรีรวิทยา")</f>
        <v>ภาควิชาสรีรวิทยา</v>
      </c>
      <c r="S42" s="24">
        <f ca="1">IFERROR(__xludf.DUMMYFUNCTION("""COMPUTED_VALUE"""),44)</f>
        <v>44</v>
      </c>
      <c r="T42" s="24" t="str">
        <f ca="1">IFERROR(__xludf.DUMMYFUNCTION("""COMPUTED_VALUE"""),"May")</f>
        <v>May</v>
      </c>
    </row>
    <row r="43" spans="1:20" ht="14.25" hidden="1">
      <c r="A43" s="24">
        <f ca="1">IFERROR(__xludf.DUMMYFUNCTION("""COMPUTED_VALUE"""),2023)</f>
        <v>2023</v>
      </c>
      <c r="B43" s="24">
        <f ca="1">IFERROR(__xludf.DUMMYFUNCTION("""COMPUTED_VALUE"""),598)</f>
        <v>598</v>
      </c>
      <c r="C43" s="24" t="str">
        <f ca="1">IFERROR(__xludf.DUMMYFUNCTION("""COMPUTED_VALUE"""),"Effects on hematology and blood biochemistry profile of intramuscular meloxicam injection in Brahminy kite and Barn owl")</f>
        <v>Effects on hematology and blood biochemistry profile of intramuscular meloxicam injection in Brahminy kite and Barn owl</v>
      </c>
      <c r="D43" s="24">
        <f ca="1">IFERROR(__xludf.DUMMYFUNCTION("""COMPUTED_VALUE"""),2)</f>
        <v>2</v>
      </c>
      <c r="E43" s="24" t="str">
        <f ca="1">IFERROR(__xludf.DUMMYFUNCTION("""COMPUTED_VALUE"""),"2023.598")</f>
        <v>2023.598</v>
      </c>
      <c r="F43" s="24" t="str">
        <f ca="1">IFERROR(__xludf.DUMMYFUNCTION("""COMPUTED_VALUE"""),"Raptor")</f>
        <v>Raptor</v>
      </c>
      <c r="G43" s="24" t="str">
        <f ca="1">IFERROR(__xludf.DUMMYFUNCTION("""COMPUTED_VALUE"""),"Journal of Veterinary Science")</f>
        <v>Journal of Veterinary Science</v>
      </c>
      <c r="H43" s="24" t="str">
        <f ca="1">IFERROR(__xludf.DUMMYFUNCTION("""COMPUTED_VALUE"""),"Chaiyan Kasorndorkbua")</f>
        <v>Chaiyan Kasorndorkbua</v>
      </c>
      <c r="I43" s="24" t="str">
        <f ca="1">IFERROR(__xludf.DUMMYFUNCTION("""COMPUTED_VALUE"""),"CorrespondingAuthor")</f>
        <v>CorrespondingAuthor</v>
      </c>
      <c r="J43" s="24" t="b">
        <f ca="1">IFERROR(__xludf.DUMMYFUNCTION("""COMPUTED_VALUE"""),FALSE)</f>
        <v>0</v>
      </c>
      <c r="K43" s="24" t="b">
        <f ca="1">IFERROR(__xludf.DUMMYFUNCTION("""COMPUTED_VALUE"""),FALSE)</f>
        <v>0</v>
      </c>
      <c r="L43" s="58">
        <f ca="1">IFERROR(__xludf.DUMMYFUNCTION("""COMPUTED_VALUE"""),45035)</f>
        <v>45035</v>
      </c>
      <c r="M43" s="24" t="str">
        <f ca="1">IFERROR(__xludf.DUMMYFUNCTION("""COMPUTED_VALUE"""),"International")</f>
        <v>International</v>
      </c>
      <c r="N43" s="24">
        <f ca="1">IFERROR(__xludf.DUMMYFUNCTION("""COMPUTED_VALUE"""),2)</f>
        <v>2</v>
      </c>
      <c r="O43" s="24">
        <f ca="1">IFERROR(__xludf.DUMMYFUNCTION("""COMPUTED_VALUE"""),1.672)</f>
        <v>1.6719999999999999</v>
      </c>
      <c r="P43" s="24" t="str">
        <f ca="1">IFERROR(__xludf.DUMMYFUNCTION("""COMPUTED_VALUE"""),"Yes")</f>
        <v>Yes</v>
      </c>
      <c r="Q43" s="24" t="str">
        <f ca="1">IFERROR(__xludf.DUMMYFUNCTION("""COMPUTED_VALUE"""),"Yes")</f>
        <v>Yes</v>
      </c>
      <c r="R43" s="24" t="str">
        <f ca="1">IFERROR(__xludf.DUMMYFUNCTION("""COMPUTED_VALUE"""),"ภาควิชาพยาธิวิทยา")</f>
        <v>ภาควิชาพยาธิวิทยา</v>
      </c>
      <c r="S43" s="24">
        <f ca="1">IFERROR(__xludf.DUMMYFUNCTION("""COMPUTED_VALUE"""),56)</f>
        <v>56</v>
      </c>
      <c r="T43" s="24" t="str">
        <f ca="1">IFERROR(__xludf.DUMMYFUNCTION("""COMPUTED_VALUE"""),"April")</f>
        <v>April</v>
      </c>
    </row>
    <row r="44" spans="1:20" ht="14.25" hidden="1">
      <c r="A44" s="24">
        <f ca="1">IFERROR(__xludf.DUMMYFUNCTION("""COMPUTED_VALUE"""),2023)</f>
        <v>2023</v>
      </c>
      <c r="B44" s="24">
        <f ca="1">IFERROR(__xludf.DUMMYFUNCTION("""COMPUTED_VALUE"""),599)</f>
        <v>599</v>
      </c>
      <c r="C44" s="24" t="str">
        <f ca="1">IFERROR(__xludf.DUMMYFUNCTION("""COMPUTED_VALUE"""),"Antimicrobial consumption in food-producing animals in Thailand between 2017 and 2019: The analysis of national importation and production data")</f>
        <v>Antimicrobial consumption in food-producing animals in Thailand between 2017 and 2019: The analysis of national importation and production data</v>
      </c>
      <c r="D44" s="24">
        <f ca="1">IFERROR(__xludf.DUMMYFUNCTION("""COMPUTED_VALUE"""),2)</f>
        <v>2</v>
      </c>
      <c r="E44" s="24" t="str">
        <f ca="1">IFERROR(__xludf.DUMMYFUNCTION("""COMPUTED_VALUE"""),"2023.599")</f>
        <v>2023.599</v>
      </c>
      <c r="F44" s="24" t="str">
        <f ca="1">IFERROR(__xludf.DUMMYFUNCTION("""COMPUTED_VALUE"""),"Bacteria")</f>
        <v>Bacteria</v>
      </c>
      <c r="G44" s="24" t="str">
        <f ca="1">IFERROR(__xludf.DUMMYFUNCTION("""COMPUTED_VALUE"""),"PLoS ONE")</f>
        <v>PLoS ONE</v>
      </c>
      <c r="H44" s="24" t="str">
        <f ca="1">IFERROR(__xludf.DUMMYFUNCTION("""COMPUTED_VALUE"""),"Natthasit Tansakul")</f>
        <v>Natthasit Tansakul</v>
      </c>
      <c r="I44" s="24" t="str">
        <f ca="1">IFERROR(__xludf.DUMMYFUNCTION("""COMPUTED_VALUE"""),"CoAuthor")</f>
        <v>CoAuthor</v>
      </c>
      <c r="J44" s="24" t="b">
        <f ca="1">IFERROR(__xludf.DUMMYFUNCTION("""COMPUTED_VALUE"""),FALSE)</f>
        <v>0</v>
      </c>
      <c r="K44" s="24" t="b">
        <f ca="1">IFERROR(__xludf.DUMMYFUNCTION("""COMPUTED_VALUE"""),FALSE)</f>
        <v>0</v>
      </c>
      <c r="L44" s="58">
        <f ca="1">IFERROR(__xludf.DUMMYFUNCTION("""COMPUTED_VALUE"""),44992)</f>
        <v>44992</v>
      </c>
      <c r="M44" s="24" t="str">
        <f ca="1">IFERROR(__xludf.DUMMYFUNCTION("""COMPUTED_VALUE"""),"International")</f>
        <v>International</v>
      </c>
      <c r="N44" s="24">
        <f ca="1">IFERROR(__xludf.DUMMYFUNCTION("""COMPUTED_VALUE"""),1)</f>
        <v>1</v>
      </c>
      <c r="O44" s="24">
        <f ca="1">IFERROR(__xludf.DUMMYFUNCTION("""COMPUTED_VALUE"""),3.24)</f>
        <v>3.24</v>
      </c>
      <c r="P44" s="24" t="str">
        <f ca="1">IFERROR(__xludf.DUMMYFUNCTION("""COMPUTED_VALUE"""),"Yes")</f>
        <v>Yes</v>
      </c>
      <c r="Q44" s="24" t="str">
        <f ca="1">IFERROR(__xludf.DUMMYFUNCTION("""COMPUTED_VALUE"""),"Yes")</f>
        <v>Yes</v>
      </c>
      <c r="R44" s="24" t="str">
        <f ca="1">IFERROR(__xludf.DUMMYFUNCTION("""COMPUTED_VALUE"""),"ภาควิชาเภสัชวิทยา")</f>
        <v>ภาควิชาเภสัชวิทยา</v>
      </c>
      <c r="S44" s="24">
        <f ca="1">IFERROR(__xludf.DUMMYFUNCTION("""COMPUTED_VALUE"""),51)</f>
        <v>51</v>
      </c>
      <c r="T44" s="24" t="str">
        <f ca="1">IFERROR(__xludf.DUMMYFUNCTION("""COMPUTED_VALUE"""),"March")</f>
        <v>March</v>
      </c>
    </row>
    <row r="45" spans="1:20" ht="14.25" hidden="1">
      <c r="A45" s="24">
        <f ca="1">IFERROR(__xludf.DUMMYFUNCTION("""COMPUTED_VALUE"""),2023)</f>
        <v>2023</v>
      </c>
      <c r="B45" s="24">
        <f ca="1">IFERROR(__xludf.DUMMYFUNCTION("""COMPUTED_VALUE"""),600)</f>
        <v>600</v>
      </c>
      <c r="C45" s="24" t="str">
        <f ca="1">IFERROR(__xludf.DUMMYFUNCTION("""COMPUTED_VALUE"""),"A specific and sensitive droplet digital polymerase chain reaction assay for the detection of tilapia lake virus in fish tissue and environmental samples")</f>
        <v>A specific and sensitive droplet digital polymerase chain reaction assay for the detection of tilapia lake virus in fish tissue and environmental samples</v>
      </c>
      <c r="D45" s="24">
        <f ca="1">IFERROR(__xludf.DUMMYFUNCTION("""COMPUTED_VALUE"""),2)</f>
        <v>2</v>
      </c>
      <c r="E45" s="24" t="str">
        <f ca="1">IFERROR(__xludf.DUMMYFUNCTION("""COMPUTED_VALUE"""),"2023.600")</f>
        <v>2023.600</v>
      </c>
      <c r="F45" s="24" t="str">
        <f ca="1">IFERROR(__xludf.DUMMYFUNCTION("""COMPUTED_VALUE"""),"Fish")</f>
        <v>Fish</v>
      </c>
      <c r="G45" s="24" t="str">
        <f ca="1">IFERROR(__xludf.DUMMYFUNCTION("""COMPUTED_VALUE"""),"Journal of Fish Diseases")</f>
        <v>Journal of Fish Diseases</v>
      </c>
      <c r="H45" s="24" t="str">
        <f ca="1">IFERROR(__xludf.DUMMYFUNCTION("""COMPUTED_VALUE"""),"Win Surachetpong")</f>
        <v>Win Surachetpong</v>
      </c>
      <c r="I45" s="24" t="str">
        <f ca="1">IFERROR(__xludf.DUMMYFUNCTION("""COMPUTED_VALUE"""),"CorrespondingAuthor")</f>
        <v>CorrespondingAuthor</v>
      </c>
      <c r="J45" s="24" t="b">
        <f ca="1">IFERROR(__xludf.DUMMYFUNCTION("""COMPUTED_VALUE"""),FALSE)</f>
        <v>0</v>
      </c>
      <c r="K45" s="24" t="b">
        <f ca="1">IFERROR(__xludf.DUMMYFUNCTION("""COMPUTED_VALUE"""),TRUE)</f>
        <v>1</v>
      </c>
      <c r="L45" s="58">
        <f ca="1">IFERROR(__xludf.DUMMYFUNCTION("""COMPUTED_VALUE"""),45086)</f>
        <v>45086</v>
      </c>
      <c r="M45" s="24" t="str">
        <f ca="1">IFERROR(__xludf.DUMMYFUNCTION("""COMPUTED_VALUE"""),"International")</f>
        <v>International</v>
      </c>
      <c r="N45" s="24">
        <f ca="1">IFERROR(__xludf.DUMMYFUNCTION("""COMPUTED_VALUE"""),1)</f>
        <v>1</v>
      </c>
      <c r="O45" s="24">
        <f ca="1">IFERROR(__xludf.DUMMYFUNCTION("""COMPUTED_VALUE"""),2.63)</f>
        <v>2.63</v>
      </c>
      <c r="P45" s="24" t="str">
        <f ca="1">IFERROR(__xludf.DUMMYFUNCTION("""COMPUTED_VALUE"""),"Yes")</f>
        <v>Yes</v>
      </c>
      <c r="Q45" s="24" t="str">
        <f ca="1">IFERROR(__xludf.DUMMYFUNCTION("""COMPUTED_VALUE"""),"Yes")</f>
        <v>Yes</v>
      </c>
      <c r="R45" s="24" t="str">
        <f ca="1">IFERROR(__xludf.DUMMYFUNCTION("""COMPUTED_VALUE"""),"ภาควิชาจุลชีววิทยาและวิทยาฯ")</f>
        <v>ภาควิชาจุลชีววิทยาและวิทยาฯ</v>
      </c>
      <c r="S45" s="24">
        <f ca="1">IFERROR(__xludf.DUMMYFUNCTION("""COMPUTED_VALUE"""),48)</f>
        <v>48</v>
      </c>
      <c r="T45" s="24" t="str">
        <f ca="1">IFERROR(__xludf.DUMMYFUNCTION("""COMPUTED_VALUE"""),"June")</f>
        <v>June</v>
      </c>
    </row>
    <row r="46" spans="1:20" ht="14.25" hidden="1">
      <c r="A46" s="24">
        <f ca="1">IFERROR(__xludf.DUMMYFUNCTION("""COMPUTED_VALUE"""),2023)</f>
        <v>2023</v>
      </c>
      <c r="B46" s="24">
        <f ca="1">IFERROR(__xludf.DUMMYFUNCTION("""COMPUTED_VALUE"""),601)</f>
        <v>601</v>
      </c>
      <c r="C46" s="24" t="str">
        <f ca="1">IFERROR(__xludf.DUMMYFUNCTION("""COMPUTED_VALUE"""),"Pharmacokinetics of robenacoxib following single intravenous, subcutaneous and oral administrations in Baladi goats (Capra hircus)")</f>
        <v>Pharmacokinetics of robenacoxib following single intravenous, subcutaneous and oral administrations in Baladi goats (Capra hircus)</v>
      </c>
      <c r="D46" s="24">
        <f ca="1">IFERROR(__xludf.DUMMYFUNCTION("""COMPUTED_VALUE"""),5)</f>
        <v>5</v>
      </c>
      <c r="E46" s="24" t="str">
        <f ca="1">IFERROR(__xludf.DUMMYFUNCTION("""COMPUTED_VALUE"""),"2023.601")</f>
        <v>2023.601</v>
      </c>
      <c r="F46" s="24" t="str">
        <f ca="1">IFERROR(__xludf.DUMMYFUNCTION("""COMPUTED_VALUE"""),"Goat")</f>
        <v>Goat</v>
      </c>
      <c r="G46" s="24" t="str">
        <f ca="1">IFERROR(__xludf.DUMMYFUNCTION("""COMPUTED_VALUE"""),"Journal of Veterinary Pharmacology and Therapeutics")</f>
        <v>Journal of Veterinary Pharmacology and Therapeutics</v>
      </c>
      <c r="H46" s="24" t="str">
        <f ca="1">IFERROR(__xludf.DUMMYFUNCTION("""COMPUTED_VALUE"""),"Amnart Poapolathep")</f>
        <v>Amnart Poapolathep</v>
      </c>
      <c r="I46" s="24" t="str">
        <f ca="1">IFERROR(__xludf.DUMMYFUNCTION("""COMPUTED_VALUE"""),"CoAuthor")</f>
        <v>CoAuthor</v>
      </c>
      <c r="J46" s="24" t="b">
        <f ca="1">IFERROR(__xludf.DUMMYFUNCTION("""COMPUTED_VALUE"""),FALSE)</f>
        <v>0</v>
      </c>
      <c r="K46" s="24" t="b">
        <f ca="1">IFERROR(__xludf.DUMMYFUNCTION("""COMPUTED_VALUE"""),FALSE)</f>
        <v>0</v>
      </c>
      <c r="L46" s="58">
        <f ca="1">IFERROR(__xludf.DUMMYFUNCTION("""COMPUTED_VALUE"""),45074)</f>
        <v>45074</v>
      </c>
      <c r="M46" s="24" t="str">
        <f ca="1">IFERROR(__xludf.DUMMYFUNCTION("""COMPUTED_VALUE"""),"International")</f>
        <v>International</v>
      </c>
      <c r="N46" s="24">
        <f ca="1">IFERROR(__xludf.DUMMYFUNCTION("""COMPUTED_VALUE"""),2)</f>
        <v>2</v>
      </c>
      <c r="O46" s="24">
        <f ca="1">IFERROR(__xludf.DUMMYFUNCTION("""COMPUTED_VALUE"""),1.786)</f>
        <v>1.786</v>
      </c>
      <c r="P46" s="24" t="str">
        <f ca="1">IFERROR(__xludf.DUMMYFUNCTION("""COMPUTED_VALUE"""),"Yes")</f>
        <v>Yes</v>
      </c>
      <c r="Q46" s="24" t="str">
        <f ca="1">IFERROR(__xludf.DUMMYFUNCTION("""COMPUTED_VALUE"""),"Yes")</f>
        <v>Yes</v>
      </c>
      <c r="R46" s="24" t="str">
        <f ca="1">IFERROR(__xludf.DUMMYFUNCTION("""COMPUTED_VALUE"""),"ภาควิชาเภสัชวิทยา")</f>
        <v>ภาควิชาเภสัชวิทยา</v>
      </c>
      <c r="S46" s="24">
        <f ca="1">IFERROR(__xludf.DUMMYFUNCTION("""COMPUTED_VALUE"""),54)</f>
        <v>54</v>
      </c>
      <c r="T46" s="24" t="str">
        <f ca="1">IFERROR(__xludf.DUMMYFUNCTION("""COMPUTED_VALUE"""),"May")</f>
        <v>May</v>
      </c>
    </row>
    <row r="47" spans="1:20" ht="14.25" hidden="1">
      <c r="A47" s="24">
        <f ca="1">IFERROR(__xludf.DUMMYFUNCTION("""COMPUTED_VALUE"""),2023)</f>
        <v>2023</v>
      </c>
      <c r="B47" s="24">
        <f ca="1">IFERROR(__xludf.DUMMYFUNCTION("""COMPUTED_VALUE"""),602)</f>
        <v>602</v>
      </c>
      <c r="C47" s="24" t="str">
        <f ca="1">IFERROR(__xludf.DUMMYFUNCTION("""COMPUTED_VALUE"""),"Ecological niche affects mitochondrial DNA diversity and variation in near-threatened Himalayan vulture (Gyps himalayensis)")</f>
        <v>Ecological niche affects mitochondrial DNA diversity and variation in near-threatened Himalayan vulture (Gyps himalayensis)</v>
      </c>
      <c r="D47" s="24">
        <f ca="1">IFERROR(__xludf.DUMMYFUNCTION("""COMPUTED_VALUE"""),2)</f>
        <v>2</v>
      </c>
      <c r="E47" s="24" t="str">
        <f ca="1">IFERROR(__xludf.DUMMYFUNCTION("""COMPUTED_VALUE"""),"2023.602")</f>
        <v>2023.602</v>
      </c>
      <c r="F47" s="24" t="str">
        <f ca="1">IFERROR(__xludf.DUMMYFUNCTION("""COMPUTED_VALUE"""),"Raptor")</f>
        <v>Raptor</v>
      </c>
      <c r="G47" s="24" t="str">
        <f ca="1">IFERROR(__xludf.DUMMYFUNCTION("""COMPUTED_VALUE"""),"Biodiversitas")</f>
        <v>Biodiversitas</v>
      </c>
      <c r="H47" s="24" t="str">
        <f ca="1">IFERROR(__xludf.DUMMYFUNCTION("""COMPUTED_VALUE"""),"Chaiyan Kasorndorkbua")</f>
        <v>Chaiyan Kasorndorkbua</v>
      </c>
      <c r="I47" s="24" t="str">
        <f ca="1">IFERROR(__xludf.DUMMYFUNCTION("""COMPUTED_VALUE"""),"CorrespondingAuthor")</f>
        <v>CorrespondingAuthor</v>
      </c>
      <c r="J47" s="24" t="b">
        <f ca="1">IFERROR(__xludf.DUMMYFUNCTION("""COMPUTED_VALUE"""),FALSE)</f>
        <v>0</v>
      </c>
      <c r="K47" s="24" t="b">
        <f ca="1">IFERROR(__xludf.DUMMYFUNCTION("""COMPUTED_VALUE"""),TRUE)</f>
        <v>1</v>
      </c>
      <c r="L47" s="58">
        <f ca="1">IFERROR(__xludf.DUMMYFUNCTION("""COMPUTED_VALUE"""),45106)</f>
        <v>45106</v>
      </c>
      <c r="M47" s="24" t="str">
        <f ca="1">IFERROR(__xludf.DUMMYFUNCTION("""COMPUTED_VALUE"""),"International")</f>
        <v>International</v>
      </c>
      <c r="N47" s="24">
        <f ca="1">IFERROR(__xludf.DUMMYFUNCTION("""COMPUTED_VALUE"""),3)</f>
        <v>3</v>
      </c>
      <c r="O47" s="24">
        <f ca="1">IFERROR(__xludf.DUMMYFUNCTION("""COMPUTED_VALUE"""),1.05)</f>
        <v>1.05</v>
      </c>
      <c r="P47" s="24" t="str">
        <f ca="1">IFERROR(__xludf.DUMMYFUNCTION("""COMPUTED_VALUE"""),"No")</f>
        <v>No</v>
      </c>
      <c r="Q47" s="24" t="str">
        <f ca="1">IFERROR(__xludf.DUMMYFUNCTION("""COMPUTED_VALUE"""),"Yes")</f>
        <v>Yes</v>
      </c>
      <c r="R47" s="24" t="str">
        <f ca="1">IFERROR(__xludf.DUMMYFUNCTION("""COMPUTED_VALUE"""),"ภาควิชาพยาธิวิทยา")</f>
        <v>ภาควิชาพยาธิวิทยา</v>
      </c>
      <c r="S47" s="24">
        <f ca="1">IFERROR(__xludf.DUMMYFUNCTION("""COMPUTED_VALUE"""),56)</f>
        <v>56</v>
      </c>
      <c r="T47" s="24" t="str">
        <f ca="1">IFERROR(__xludf.DUMMYFUNCTION("""COMPUTED_VALUE"""),"June")</f>
        <v>June</v>
      </c>
    </row>
    <row r="48" spans="1:20" ht="14.25" hidden="1">
      <c r="A48" s="24">
        <f ca="1">IFERROR(__xludf.DUMMYFUNCTION("""COMPUTED_VALUE"""),2023)</f>
        <v>2023</v>
      </c>
      <c r="B48" s="24">
        <f ca="1">IFERROR(__xludf.DUMMYFUNCTION("""COMPUTED_VALUE"""),603)</f>
        <v>603</v>
      </c>
      <c r="C48" s="24" t="str">
        <f ca="1">IFERROR(__xludf.DUMMYFUNCTION("""COMPUTED_VALUE"""),"Porcine Sapovirus in Northern Vietnam: Genetic Detection and Characterization Reveals Co-Circulation of Multiple Genotypes")</f>
        <v>Porcine Sapovirus in Northern Vietnam: Genetic Detection and Characterization Reveals Co-Circulation of Multiple Genotypes</v>
      </c>
      <c r="D48" s="24">
        <f ca="1">IFERROR(__xludf.DUMMYFUNCTION("""COMPUTED_VALUE"""),2)</f>
        <v>2</v>
      </c>
      <c r="E48" s="24" t="str">
        <f ca="1">IFERROR(__xludf.DUMMYFUNCTION("""COMPUTED_VALUE"""),"2023.603")</f>
        <v>2023.603</v>
      </c>
      <c r="F48" s="24" t="str">
        <f ca="1">IFERROR(__xludf.DUMMYFUNCTION("""COMPUTED_VALUE"""),"Swine")</f>
        <v>Swine</v>
      </c>
      <c r="G48" s="24" t="str">
        <f ca="1">IFERROR(__xludf.DUMMYFUNCTION("""COMPUTED_VALUE"""),"Veterinary Sciences")</f>
        <v>Veterinary Sciences</v>
      </c>
      <c r="H48" s="24" t="str">
        <f ca="1">IFERROR(__xludf.DUMMYFUNCTION("""COMPUTED_VALUE"""),"Jatuporn Rattanasrisomporn")</f>
        <v>Jatuporn Rattanasrisomporn</v>
      </c>
      <c r="I48" s="24" t="str">
        <f ca="1">IFERROR(__xludf.DUMMYFUNCTION("""COMPUTED_VALUE"""),"CorrespondingAuthor")</f>
        <v>CorrespondingAuthor</v>
      </c>
      <c r="J48" s="24" t="b">
        <f ca="1">IFERROR(__xludf.DUMMYFUNCTION("""COMPUTED_VALUE"""),FALSE)</f>
        <v>0</v>
      </c>
      <c r="K48" s="24" t="b">
        <f ca="1">IFERROR(__xludf.DUMMYFUNCTION("""COMPUTED_VALUE"""),TRUE)</f>
        <v>1</v>
      </c>
      <c r="L48" s="58">
        <f ca="1">IFERROR(__xludf.DUMMYFUNCTION("""COMPUTED_VALUE"""),45106)</f>
        <v>45106</v>
      </c>
      <c r="M48" s="24" t="str">
        <f ca="1">IFERROR(__xludf.DUMMYFUNCTION("""COMPUTED_VALUE"""),"International")</f>
        <v>International</v>
      </c>
      <c r="N48" s="24">
        <f ca="1">IFERROR(__xludf.DUMMYFUNCTION("""COMPUTED_VALUE"""),1)</f>
        <v>1</v>
      </c>
      <c r="O48" s="24">
        <f ca="1">IFERROR(__xludf.DUMMYFUNCTION("""COMPUTED_VALUE"""),2.304)</f>
        <v>2.3039999999999998</v>
      </c>
      <c r="P48" s="24" t="str">
        <f ca="1">IFERROR(__xludf.DUMMYFUNCTION("""COMPUTED_VALUE"""),"Yes")</f>
        <v>Yes</v>
      </c>
      <c r="Q48" s="24" t="str">
        <f ca="1">IFERROR(__xludf.DUMMYFUNCTION("""COMPUTED_VALUE"""),"Yes")</f>
        <v>Yes</v>
      </c>
      <c r="R48" s="24" t="str">
        <f ca="1">IFERROR(__xludf.DUMMYFUNCTION("""COMPUTED_VALUE"""),"ภาควิชาเวชศาสตร์คลินิกสัตว์เลี้ยง")</f>
        <v>ภาควิชาเวชศาสตร์คลินิกสัตว์เลี้ยง</v>
      </c>
      <c r="S48" s="24">
        <f ca="1">IFERROR(__xludf.DUMMYFUNCTION("""COMPUTED_VALUE"""),52)</f>
        <v>52</v>
      </c>
      <c r="T48" s="24" t="str">
        <f ca="1">IFERROR(__xludf.DUMMYFUNCTION("""COMPUTED_VALUE"""),"June")</f>
        <v>June</v>
      </c>
    </row>
    <row r="49" spans="1:20" ht="14.25" hidden="1">
      <c r="A49" s="24">
        <f ca="1">IFERROR(__xludf.DUMMYFUNCTION("""COMPUTED_VALUE"""),2023)</f>
        <v>2023</v>
      </c>
      <c r="B49" s="24">
        <f ca="1">IFERROR(__xludf.DUMMYFUNCTION("""COMPUTED_VALUE"""),604)</f>
        <v>604</v>
      </c>
      <c r="C49" s="24" t="str">
        <f ca="1">IFERROR(__xludf.DUMMYFUNCTION("""COMPUTED_VALUE"""),"RNA-Seq Reveals Differential Gene Expression Patterns Related to Reproduction in the Golden Mahseer")</f>
        <v>RNA-Seq Reveals Differential Gene Expression Patterns Related to Reproduction in the Golden Mahseer</v>
      </c>
      <c r="D49" s="24">
        <f ca="1">IFERROR(__xludf.DUMMYFUNCTION("""COMPUTED_VALUE"""),2)</f>
        <v>2</v>
      </c>
      <c r="E49" s="24" t="str">
        <f ca="1">IFERROR(__xludf.DUMMYFUNCTION("""COMPUTED_VALUE"""),"2023.604")</f>
        <v>2023.604</v>
      </c>
      <c r="F49" s="24" t="str">
        <f ca="1">IFERROR(__xludf.DUMMYFUNCTION("""COMPUTED_VALUE"""),"Fish")</f>
        <v>Fish</v>
      </c>
      <c r="G49" s="24" t="str">
        <f ca="1">IFERROR(__xludf.DUMMYFUNCTION("""COMPUTED_VALUE"""),"Fishes")</f>
        <v>Fishes</v>
      </c>
      <c r="H49" s="24" t="str">
        <f ca="1">IFERROR(__xludf.DUMMYFUNCTION("""COMPUTED_VALUE"""),"Win Surachetpong")</f>
        <v>Win Surachetpong</v>
      </c>
      <c r="I49" s="24" t="str">
        <f ca="1">IFERROR(__xludf.DUMMYFUNCTION("""COMPUTED_VALUE"""),"CorrespondingAuthor")</f>
        <v>CorrespondingAuthor</v>
      </c>
      <c r="J49" s="24" t="b">
        <f ca="1">IFERROR(__xludf.DUMMYFUNCTION("""COMPUTED_VALUE"""),FALSE)</f>
        <v>0</v>
      </c>
      <c r="K49" s="24" t="b">
        <f ca="1">IFERROR(__xludf.DUMMYFUNCTION("""COMPUTED_VALUE"""),FALSE)</f>
        <v>0</v>
      </c>
      <c r="L49" s="58">
        <f ca="1">IFERROR(__xludf.DUMMYFUNCTION("""COMPUTED_VALUE"""),45108)</f>
        <v>45108</v>
      </c>
      <c r="M49" s="24" t="str">
        <f ca="1">IFERROR(__xludf.DUMMYFUNCTION("""COMPUTED_VALUE"""),"International")</f>
        <v>International</v>
      </c>
      <c r="N49" s="24">
        <f ca="1">IFERROR(__xludf.DUMMYFUNCTION("""COMPUTED_VALUE"""),2)</f>
        <v>2</v>
      </c>
      <c r="O49" s="24">
        <f ca="1">IFERROR(__xludf.DUMMYFUNCTION("""COMPUTED_VALUE"""),2.3)</f>
        <v>2.2999999999999998</v>
      </c>
      <c r="P49" s="24" t="str">
        <f ca="1">IFERROR(__xludf.DUMMYFUNCTION("""COMPUTED_VALUE"""),"Yes")</f>
        <v>Yes</v>
      </c>
      <c r="Q49" s="24" t="str">
        <f ca="1">IFERROR(__xludf.DUMMYFUNCTION("""COMPUTED_VALUE"""),"Yes")</f>
        <v>Yes</v>
      </c>
      <c r="R49" s="24" t="str">
        <f ca="1">IFERROR(__xludf.DUMMYFUNCTION("""COMPUTED_VALUE"""),"ภาควิชาจุลชีววิทยาและวิทยาฯ")</f>
        <v>ภาควิชาจุลชีววิทยาและวิทยาฯ</v>
      </c>
      <c r="S49" s="24">
        <f ca="1">IFERROR(__xludf.DUMMYFUNCTION("""COMPUTED_VALUE"""),48)</f>
        <v>48</v>
      </c>
      <c r="T49" s="24" t="str">
        <f ca="1">IFERROR(__xludf.DUMMYFUNCTION("""COMPUTED_VALUE"""),"July")</f>
        <v>July</v>
      </c>
    </row>
    <row r="50" spans="1:20" ht="14.25" hidden="1">
      <c r="A50" s="24">
        <f ca="1">IFERROR(__xludf.DUMMYFUNCTION("""COMPUTED_VALUE"""),2023)</f>
        <v>2023</v>
      </c>
      <c r="B50" s="24">
        <f ca="1">IFERROR(__xludf.DUMMYFUNCTION("""COMPUTED_VALUE"""),605)</f>
        <v>605</v>
      </c>
      <c r="C50" s="24" t="str">
        <f ca="1">IFERROR(__xludf.DUMMYFUNCTION("""COMPUTED_VALUE"""),"PKD1 gene mutation and ultrasonographic characterization in cats with renal cysts")</f>
        <v>PKD1 gene mutation and ultrasonographic characterization in cats with renal cysts</v>
      </c>
      <c r="D50" s="24">
        <f ca="1">IFERROR(__xludf.DUMMYFUNCTION("""COMPUTED_VALUE"""),5)</f>
        <v>5</v>
      </c>
      <c r="E50" s="24" t="str">
        <f ca="1">IFERROR(__xludf.DUMMYFUNCTION("""COMPUTED_VALUE"""),"2023.605")</f>
        <v>2023.605</v>
      </c>
      <c r="F50" s="24" t="str">
        <f ca="1">IFERROR(__xludf.DUMMYFUNCTION("""COMPUTED_VALUE"""),"Cat")</f>
        <v>Cat</v>
      </c>
      <c r="G50" s="24" t="str">
        <f ca="1">IFERROR(__xludf.DUMMYFUNCTION("""COMPUTED_VALUE"""),"F1000Research")</f>
        <v>F1000Research</v>
      </c>
      <c r="H50" s="24" t="str">
        <f ca="1">IFERROR(__xludf.DUMMYFUNCTION("""COMPUTED_VALUE"""),"Soontaree Petchdee")</f>
        <v>Soontaree Petchdee</v>
      </c>
      <c r="I50" s="24" t="str">
        <f ca="1">IFERROR(__xludf.DUMMYFUNCTION("""COMPUTED_VALUE"""),"CorrespondingAuthor")</f>
        <v>CorrespondingAuthor</v>
      </c>
      <c r="J50" s="24" t="b">
        <f ca="1">IFERROR(__xludf.DUMMYFUNCTION("""COMPUTED_VALUE"""),FALSE)</f>
        <v>0</v>
      </c>
      <c r="K50" s="24" t="b">
        <f ca="1">IFERROR(__xludf.DUMMYFUNCTION("""COMPUTED_VALUE"""),TRUE)</f>
        <v>1</v>
      </c>
      <c r="L50" s="58">
        <f ca="1">IFERROR(__xludf.DUMMYFUNCTION("""COMPUTED_VALUE"""),45105)</f>
        <v>45105</v>
      </c>
      <c r="M50" s="24" t="str">
        <f ca="1">IFERROR(__xludf.DUMMYFUNCTION("""COMPUTED_VALUE"""),"International")</f>
        <v>International</v>
      </c>
      <c r="N50" s="24">
        <f ca="1">IFERROR(__xludf.DUMMYFUNCTION("""COMPUTED_VALUE"""),1)</f>
        <v>1</v>
      </c>
      <c r="O50" s="24">
        <f ca="1">IFERROR(__xludf.DUMMYFUNCTION("""COMPUTED_VALUE"""),0.939)</f>
        <v>0.93899999999999995</v>
      </c>
      <c r="P50" s="24" t="str">
        <f ca="1">IFERROR(__xludf.DUMMYFUNCTION("""COMPUTED_VALUE"""),"No")</f>
        <v>No</v>
      </c>
      <c r="Q50" s="24" t="str">
        <f ca="1">IFERROR(__xludf.DUMMYFUNCTION("""COMPUTED_VALUE"""),"Yes")</f>
        <v>Yes</v>
      </c>
      <c r="R50" s="24" t="str">
        <f ca="1">IFERROR(__xludf.DUMMYFUNCTION("""COMPUTED_VALUE"""),"ภาควิชาเวชศาสตร์คลินิกสัตว์ใหญ่และสัตว์ป่า")</f>
        <v>ภาควิชาเวชศาสตร์คลินิกสัตว์ใหญ่และสัตว์ป่า</v>
      </c>
      <c r="S50" s="24">
        <f ca="1">IFERROR(__xludf.DUMMYFUNCTION("""COMPUTED_VALUE"""),51)</f>
        <v>51</v>
      </c>
      <c r="T50" s="24" t="str">
        <f ca="1">IFERROR(__xludf.DUMMYFUNCTION("""COMPUTED_VALUE"""),"June")</f>
        <v>June</v>
      </c>
    </row>
    <row r="51" spans="1:20" ht="14.25" hidden="1">
      <c r="A51" s="24">
        <f ca="1">IFERROR(__xludf.DUMMYFUNCTION("""COMPUTED_VALUE"""),2023)</f>
        <v>2023</v>
      </c>
      <c r="B51" s="24">
        <f ca="1">IFERROR(__xludf.DUMMYFUNCTION("""COMPUTED_VALUE"""),606)</f>
        <v>606</v>
      </c>
      <c r="C51" s="24" t="str">
        <f ca="1">IFERROR(__xludf.DUMMYFUNCTION("""COMPUTED_VALUE"""),"Prevalence and risk factors of brucellosis and dairy farmers’ KAP in 2 townships, Myanmar")</f>
        <v>Prevalence and risk factors of brucellosis and dairy farmers’ KAP in 2 townships, Myanmar</v>
      </c>
      <c r="D51" s="24">
        <f ca="1">IFERROR(__xludf.DUMMYFUNCTION("""COMPUTED_VALUE"""),2)</f>
        <v>2</v>
      </c>
      <c r="E51" s="24" t="str">
        <f ca="1">IFERROR(__xludf.DUMMYFUNCTION("""COMPUTED_VALUE"""),"2023.606")</f>
        <v>2023.606</v>
      </c>
      <c r="F51" s="24" t="str">
        <f ca="1">IFERROR(__xludf.DUMMYFUNCTION("""COMPUTED_VALUE"""),"Bovine")</f>
        <v>Bovine</v>
      </c>
      <c r="G51" s="24" t="str">
        <f ca="1">IFERROR(__xludf.DUMMYFUNCTION("""COMPUTED_VALUE"""),"Veterinary Integrative Sciences")</f>
        <v>Veterinary Integrative Sciences</v>
      </c>
      <c r="H51" s="24" t="str">
        <f ca="1">IFERROR(__xludf.DUMMYFUNCTION("""COMPUTED_VALUE"""),"Waraphon Phimpraphai")</f>
        <v>Waraphon Phimpraphai</v>
      </c>
      <c r="I51" s="24" t="str">
        <f ca="1">IFERROR(__xludf.DUMMYFUNCTION("""COMPUTED_VALUE"""),"CorrespondingAuthor")</f>
        <v>CorrespondingAuthor</v>
      </c>
      <c r="J51" s="24" t="b">
        <f ca="1">IFERROR(__xludf.DUMMYFUNCTION("""COMPUTED_VALUE"""),FALSE)</f>
        <v>0</v>
      </c>
      <c r="K51" s="24" t="b">
        <f ca="1">IFERROR(__xludf.DUMMYFUNCTION("""COMPUTED_VALUE"""),FALSE)</f>
        <v>0</v>
      </c>
      <c r="L51" s="58">
        <f ca="1">IFERROR(__xludf.DUMMYFUNCTION("""COMPUTED_VALUE"""),44988)</f>
        <v>44988</v>
      </c>
      <c r="M51" s="24" t="str">
        <f ca="1">IFERROR(__xludf.DUMMYFUNCTION("""COMPUTED_VALUE"""),"International")</f>
        <v>International</v>
      </c>
      <c r="N51" s="24">
        <f ca="1">IFERROR(__xludf.DUMMYFUNCTION("""COMPUTED_VALUE"""),4)</f>
        <v>4</v>
      </c>
      <c r="O51" s="24">
        <f ca="1">IFERROR(__xludf.DUMMYFUNCTION("""COMPUTED_VALUE"""),0)</f>
        <v>0</v>
      </c>
      <c r="P51" s="24" t="str">
        <f ca="1">IFERROR(__xludf.DUMMYFUNCTION("""COMPUTED_VALUE"""),"No")</f>
        <v>No</v>
      </c>
      <c r="Q51" s="24" t="str">
        <f ca="1">IFERROR(__xludf.DUMMYFUNCTION("""COMPUTED_VALUE"""),"Yes")</f>
        <v>Yes</v>
      </c>
      <c r="R51" s="24" t="str">
        <f ca="1">IFERROR(__xludf.DUMMYFUNCTION("""COMPUTED_VALUE"""),"ภาควิชาสัตวแพทยสาธารณสุขศาสตร์")</f>
        <v>ภาควิชาสัตวแพทยสาธารณสุขศาสตร์</v>
      </c>
      <c r="S51" s="24">
        <f ca="1">IFERROR(__xludf.DUMMYFUNCTION("""COMPUTED_VALUE"""),50)</f>
        <v>50</v>
      </c>
      <c r="T51" s="24" t="str">
        <f ca="1">IFERROR(__xludf.DUMMYFUNCTION("""COMPUTED_VALUE"""),"March")</f>
        <v>March</v>
      </c>
    </row>
    <row r="52" spans="1:20" ht="14.25" hidden="1">
      <c r="A52" s="24">
        <f ca="1">IFERROR(__xludf.DUMMYFUNCTION("""COMPUTED_VALUE"""),2023)</f>
        <v>2023</v>
      </c>
      <c r="B52" s="24">
        <f ca="1">IFERROR(__xludf.DUMMYFUNCTION("""COMPUTED_VALUE"""),607)</f>
        <v>607</v>
      </c>
      <c r="C52" s="24" t="str">
        <f ca="1">IFERROR(__xludf.DUMMYFUNCTION("""COMPUTED_VALUE"""),"The Application of the Gibson Assembly Method in the Production of Two pKLS3 Vector-Derived Infectious Clones of Foot-and-Mouth Disease Virus")</f>
        <v>The Application of the Gibson Assembly Method in the Production of Two pKLS3 Vector-Derived Infectious Clones of Foot-and-Mouth Disease Virus</v>
      </c>
      <c r="D52" s="24">
        <f ca="1">IFERROR(__xludf.DUMMYFUNCTION("""COMPUTED_VALUE"""),2)</f>
        <v>2</v>
      </c>
      <c r="E52" s="24" t="str">
        <f ca="1">IFERROR(__xludf.DUMMYFUNCTION("""COMPUTED_VALUE"""),"2023.607")</f>
        <v>2023.607</v>
      </c>
      <c r="F52" s="24" t="str">
        <f ca="1">IFERROR(__xludf.DUMMYFUNCTION("""COMPUTED_VALUE"""),"Bovine")</f>
        <v>Bovine</v>
      </c>
      <c r="G52" s="24" t="str">
        <f ca="1">IFERROR(__xludf.DUMMYFUNCTION("""COMPUTED_VALUE"""),"Vaccines")</f>
        <v>Vaccines</v>
      </c>
      <c r="H52" s="24" t="str">
        <f ca="1">IFERROR(__xludf.DUMMYFUNCTION("""COMPUTED_VALUE"""),"Porntippa Lekcharoensuk")</f>
        <v>Porntippa Lekcharoensuk</v>
      </c>
      <c r="I52" s="24" t="str">
        <f ca="1">IFERROR(__xludf.DUMMYFUNCTION("""COMPUTED_VALUE"""),"CorrespondingAuthor")</f>
        <v>CorrespondingAuthor</v>
      </c>
      <c r="J52" s="24" t="b">
        <f ca="1">IFERROR(__xludf.DUMMYFUNCTION("""COMPUTED_VALUE"""),FALSE)</f>
        <v>0</v>
      </c>
      <c r="K52" s="24" t="b">
        <f ca="1">IFERROR(__xludf.DUMMYFUNCTION("""COMPUTED_VALUE"""),FALSE)</f>
        <v>0</v>
      </c>
      <c r="L52" s="58">
        <f ca="1">IFERROR(__xludf.DUMMYFUNCTION("""COMPUTED_VALUE"""),45092)</f>
        <v>45092</v>
      </c>
      <c r="M52" s="24" t="str">
        <f ca="1">IFERROR(__xludf.DUMMYFUNCTION("""COMPUTED_VALUE"""),"International")</f>
        <v>International</v>
      </c>
      <c r="N52" s="24">
        <f ca="1">IFERROR(__xludf.DUMMYFUNCTION("""COMPUTED_VALUE"""),1)</f>
        <v>1</v>
      </c>
      <c r="O52" s="24">
        <f ca="1">IFERROR(__xludf.DUMMYFUNCTION("""COMPUTED_VALUE"""),1.585)</f>
        <v>1.585</v>
      </c>
      <c r="P52" s="24" t="str">
        <f ca="1">IFERROR(__xludf.DUMMYFUNCTION("""COMPUTED_VALUE"""),"Yes")</f>
        <v>Yes</v>
      </c>
      <c r="Q52" s="24" t="str">
        <f ca="1">IFERROR(__xludf.DUMMYFUNCTION("""COMPUTED_VALUE"""),"Yes")</f>
        <v>Yes</v>
      </c>
      <c r="R52" s="24" t="str">
        <f ca="1">IFERROR(__xludf.DUMMYFUNCTION("""COMPUTED_VALUE"""),"ภาควิชาจุลชีววิทยาและวิทยาฯ")</f>
        <v>ภาควิชาจุลชีววิทยาและวิทยาฯ</v>
      </c>
      <c r="S52" s="24">
        <f ca="1">IFERROR(__xludf.DUMMYFUNCTION("""COMPUTED_VALUE"""),61)</f>
        <v>61</v>
      </c>
      <c r="T52" s="24" t="str">
        <f ca="1">IFERROR(__xludf.DUMMYFUNCTION("""COMPUTED_VALUE"""),"June")</f>
        <v>June</v>
      </c>
    </row>
    <row r="53" spans="1:20" ht="14.25" hidden="1">
      <c r="A53" s="24">
        <f ca="1">IFERROR(__xludf.DUMMYFUNCTION("""COMPUTED_VALUE"""),2023)</f>
        <v>2023</v>
      </c>
      <c r="B53" s="24">
        <f ca="1">IFERROR(__xludf.DUMMYFUNCTION("""COMPUTED_VALUE"""),608)</f>
        <v>608</v>
      </c>
      <c r="C53" s="24" t="str">
        <f ca="1">IFERROR(__xludf.DUMMYFUNCTION("""COMPUTED_VALUE"""),"Seasonal abundance of Culicoides imicola and Culicoides oxystoma in Prachuap Khiri Khan province, Thailand")</f>
        <v>Seasonal abundance of Culicoides imicola and Culicoides oxystoma in Prachuap Khiri Khan province, Thailand</v>
      </c>
      <c r="D53" s="24">
        <f ca="1">IFERROR(__xludf.DUMMYFUNCTION("""COMPUTED_VALUE"""),2)</f>
        <v>2</v>
      </c>
      <c r="E53" s="24" t="str">
        <f ca="1">IFERROR(__xludf.DUMMYFUNCTION("""COMPUTED_VALUE"""),"2023.608")</f>
        <v>2023.608</v>
      </c>
      <c r="F53" s="24" t="str">
        <f ca="1">IFERROR(__xludf.DUMMYFUNCTION("""COMPUTED_VALUE"""),"Parasite")</f>
        <v>Parasite</v>
      </c>
      <c r="G53" s="24" t="str">
        <f ca="1">IFERROR(__xludf.DUMMYFUNCTION("""COMPUTED_VALUE"""),"Agriculture and Natural Resources")</f>
        <v>Agriculture and Natural Resources</v>
      </c>
      <c r="H53" s="24" t="str">
        <f ca="1">IFERROR(__xludf.DUMMYFUNCTION("""COMPUTED_VALUE"""),"Jumnongjit Phasuk")</f>
        <v>Jumnongjit Phasuk</v>
      </c>
      <c r="I53" s="24" t="str">
        <f ca="1">IFERROR(__xludf.DUMMYFUNCTION("""COMPUTED_VALUE"""),"FirstAuthor&amp;CorrespondingAuthor")</f>
        <v>FirstAuthor&amp;CorrespondingAuthor</v>
      </c>
      <c r="J53" s="24" t="b">
        <f ca="1">IFERROR(__xludf.DUMMYFUNCTION("""COMPUTED_VALUE"""),FALSE)</f>
        <v>0</v>
      </c>
      <c r="K53" s="24" t="b">
        <f ca="1">IFERROR(__xludf.DUMMYFUNCTION("""COMPUTED_VALUE"""),FALSE)</f>
        <v>0</v>
      </c>
      <c r="L53" s="58">
        <f ca="1">IFERROR(__xludf.DUMMYFUNCTION("""COMPUTED_VALUE"""),45071)</f>
        <v>45071</v>
      </c>
      <c r="M53" s="24" t="str">
        <f ca="1">IFERROR(__xludf.DUMMYFUNCTION("""COMPUTED_VALUE"""),"International")</f>
        <v>International</v>
      </c>
      <c r="N53" s="24">
        <f ca="1">IFERROR(__xludf.DUMMYFUNCTION("""COMPUTED_VALUE"""),2)</f>
        <v>2</v>
      </c>
      <c r="O53" s="24">
        <f ca="1">IFERROR(__xludf.DUMMYFUNCTION("""COMPUTED_VALUE"""),1.163)</f>
        <v>1.163</v>
      </c>
      <c r="P53" s="24" t="str">
        <f ca="1">IFERROR(__xludf.DUMMYFUNCTION("""COMPUTED_VALUE"""),"Yes")</f>
        <v>Yes</v>
      </c>
      <c r="Q53" s="24" t="str">
        <f ca="1">IFERROR(__xludf.DUMMYFUNCTION("""COMPUTED_VALUE"""),"Yes")</f>
        <v>Yes</v>
      </c>
      <c r="R53" s="24" t="str">
        <f ca="1">IFERROR(__xludf.DUMMYFUNCTION("""COMPUTED_VALUE"""),"ภาควิชาปรสิตวิทยา")</f>
        <v>ภาควิชาปรสิตวิทยา</v>
      </c>
      <c r="S53" s="24">
        <f ca="1">IFERROR(__xludf.DUMMYFUNCTION("""COMPUTED_VALUE"""),50)</f>
        <v>50</v>
      </c>
      <c r="T53" s="24" t="str">
        <f ca="1">IFERROR(__xludf.DUMMYFUNCTION("""COMPUTED_VALUE"""),"May")</f>
        <v>May</v>
      </c>
    </row>
    <row r="54" spans="1:20" ht="14.25" hidden="1">
      <c r="A54" s="24">
        <f ca="1">IFERROR(__xludf.DUMMYFUNCTION("""COMPUTED_VALUE"""),2023)</f>
        <v>2023</v>
      </c>
      <c r="B54" s="24">
        <f ca="1">IFERROR(__xludf.DUMMYFUNCTION("""COMPUTED_VALUE"""),609)</f>
        <v>609</v>
      </c>
      <c r="C54" s="24" t="str">
        <f ca="1">IFERROR(__xludf.DUMMYFUNCTION("""COMPUTED_VALUE"""),"Effect of the oil from the fatty tissues of Crocodylus siamensis on gut microbiome diversity and metabolism in mice")</f>
        <v>Effect of the oil from the fatty tissues of Crocodylus siamensis on gut microbiome diversity and metabolism in mice</v>
      </c>
      <c r="D54" s="24">
        <f ca="1">IFERROR(__xludf.DUMMYFUNCTION("""COMPUTED_VALUE"""),3)</f>
        <v>3</v>
      </c>
      <c r="E54" s="24" t="str">
        <f ca="1">IFERROR(__xludf.DUMMYFUNCTION("""COMPUTED_VALUE"""),"2023.609")</f>
        <v>2023.609</v>
      </c>
      <c r="F54" s="24" t="str">
        <f ca="1">IFERROR(__xludf.DUMMYFUNCTION("""COMPUTED_VALUE"""),"Crocodyle")</f>
        <v>Crocodyle</v>
      </c>
      <c r="G54" s="24" t="str">
        <f ca="1">IFERROR(__xludf.DUMMYFUNCTION("""COMPUTED_VALUE"""),"Plos One")</f>
        <v>Plos One</v>
      </c>
      <c r="H54" s="24" t="str">
        <f ca="1">IFERROR(__xludf.DUMMYFUNCTION("""COMPUTED_VALUE"""),"Phitsanu Tulayakul")</f>
        <v>Phitsanu Tulayakul</v>
      </c>
      <c r="I54" s="24" t="str">
        <f ca="1">IFERROR(__xludf.DUMMYFUNCTION("""COMPUTED_VALUE"""),"CoAuthor")</f>
        <v>CoAuthor</v>
      </c>
      <c r="J54" s="24" t="b">
        <f ca="1">IFERROR(__xludf.DUMMYFUNCTION("""COMPUTED_VALUE"""),FALSE)</f>
        <v>0</v>
      </c>
      <c r="K54" s="24" t="b">
        <f ca="1">IFERROR(__xludf.DUMMYFUNCTION("""COMPUTED_VALUE"""),TRUE)</f>
        <v>1</v>
      </c>
      <c r="L54" s="58">
        <f ca="1">IFERROR(__xludf.DUMMYFUNCTION("""COMPUTED_VALUE"""),45117)</f>
        <v>45117</v>
      </c>
      <c r="M54" s="24" t="str">
        <f ca="1">IFERROR(__xludf.DUMMYFUNCTION("""COMPUTED_VALUE"""),"International")</f>
        <v>International</v>
      </c>
      <c r="N54" s="24">
        <f ca="1">IFERROR(__xludf.DUMMYFUNCTION("""COMPUTED_VALUE"""),1)</f>
        <v>1</v>
      </c>
      <c r="O54" s="24">
        <f ca="1">IFERROR(__xludf.DUMMYFUNCTION("""COMPUTED_VALUE"""),3.24)</f>
        <v>3.24</v>
      </c>
      <c r="P54" s="24" t="str">
        <f ca="1">IFERROR(__xludf.DUMMYFUNCTION("""COMPUTED_VALUE"""),"Yes")</f>
        <v>Yes</v>
      </c>
      <c r="Q54" s="24" t="str">
        <f ca="1">IFERROR(__xludf.DUMMYFUNCTION("""COMPUTED_VALUE"""),"Yes")</f>
        <v>Yes</v>
      </c>
      <c r="R54" s="24" t="str">
        <f ca="1">IFERROR(__xludf.DUMMYFUNCTION("""COMPUTED_VALUE"""),"ภาควิชาสัตวแพทยสาธารณสุขศาสตร์")</f>
        <v>ภาควิชาสัตวแพทยสาธารณสุขศาสตร์</v>
      </c>
      <c r="S54" s="24">
        <f ca="1">IFERROR(__xludf.DUMMYFUNCTION("""COMPUTED_VALUE"""),50)</f>
        <v>50</v>
      </c>
      <c r="T54" s="24" t="str">
        <f ca="1">IFERROR(__xludf.DUMMYFUNCTION("""COMPUTED_VALUE"""),"July")</f>
        <v>July</v>
      </c>
    </row>
    <row r="55" spans="1:20" ht="14.25" hidden="1">
      <c r="A55" s="24">
        <f ca="1">IFERROR(__xludf.DUMMYFUNCTION("""COMPUTED_VALUE"""),2023)</f>
        <v>2023</v>
      </c>
      <c r="B55" s="24">
        <f ca="1">IFERROR(__xludf.DUMMYFUNCTION("""COMPUTED_VALUE"""),610)</f>
        <v>610</v>
      </c>
      <c r="C55" s="24" t="str">
        <f ca="1">IFERROR(__xludf.DUMMYFUNCTION("""COMPUTED_VALUE"""),"Assessment of Tilapia (Oreochromis spp.) Welfare in the Semi-intensive and Intensive Culture Systems in Thailand")</f>
        <v>Assessment of Tilapia (Oreochromis spp.) Welfare in the Semi-intensive and Intensive Culture Systems in Thailand</v>
      </c>
      <c r="D55" s="24">
        <f ca="1">IFERROR(__xludf.DUMMYFUNCTION("""COMPUTED_VALUE"""),2)</f>
        <v>2</v>
      </c>
      <c r="E55" s="24" t="str">
        <f ca="1">IFERROR(__xludf.DUMMYFUNCTION("""COMPUTED_VALUE"""),"2023.610")</f>
        <v>2023.610</v>
      </c>
      <c r="F55" s="24" t="str">
        <f ca="1">IFERROR(__xludf.DUMMYFUNCTION("""COMPUTED_VALUE"""),"Fish")</f>
        <v>Fish</v>
      </c>
      <c r="G55" s="24" t="str">
        <f ca="1">IFERROR(__xludf.DUMMYFUNCTION("""COMPUTED_VALUE"""),"Animals")</f>
        <v>Animals</v>
      </c>
      <c r="H55" s="24" t="str">
        <f ca="1">IFERROR(__xludf.DUMMYFUNCTION("""COMPUTED_VALUE"""),"Win Surachetpong")</f>
        <v>Win Surachetpong</v>
      </c>
      <c r="I55" s="24" t="str">
        <f ca="1">IFERROR(__xludf.DUMMYFUNCTION("""COMPUTED_VALUE"""),"CorrespondingAuthor")</f>
        <v>CorrespondingAuthor</v>
      </c>
      <c r="J55" s="24" t="b">
        <f ca="1">IFERROR(__xludf.DUMMYFUNCTION("""COMPUTED_VALUE"""),FALSE)</f>
        <v>0</v>
      </c>
      <c r="K55" s="24" t="b">
        <f ca="1">IFERROR(__xludf.DUMMYFUNCTION("""COMPUTED_VALUE"""),FALSE)</f>
        <v>0</v>
      </c>
      <c r="L55" s="58">
        <f ca="1">IFERROR(__xludf.DUMMYFUNCTION("""COMPUTED_VALUE"""),45138)</f>
        <v>45138</v>
      </c>
      <c r="M55" s="24" t="str">
        <f ca="1">IFERROR(__xludf.DUMMYFUNCTION("""COMPUTED_VALUE"""),"International")</f>
        <v>International</v>
      </c>
      <c r="N55" s="24">
        <f ca="1">IFERROR(__xludf.DUMMYFUNCTION("""COMPUTED_VALUE"""),1)</f>
        <v>1</v>
      </c>
      <c r="O55" s="24">
        <f ca="1">IFERROR(__xludf.DUMMYFUNCTION("""COMPUTED_VALUE"""),2.752)</f>
        <v>2.7519999999999998</v>
      </c>
      <c r="P55" s="24" t="str">
        <f ca="1">IFERROR(__xludf.DUMMYFUNCTION("""COMPUTED_VALUE"""),"Yes")</f>
        <v>Yes</v>
      </c>
      <c r="Q55" s="24" t="str">
        <f ca="1">IFERROR(__xludf.DUMMYFUNCTION("""COMPUTED_VALUE"""),"Yes")</f>
        <v>Yes</v>
      </c>
      <c r="R55" s="24" t="str">
        <f ca="1">IFERROR(__xludf.DUMMYFUNCTION("""COMPUTED_VALUE"""),"ภาควิชาจุลชีววิทยาและวิทยาฯ")</f>
        <v>ภาควิชาจุลชีววิทยาและวิทยาฯ</v>
      </c>
      <c r="S55" s="24">
        <f ca="1">IFERROR(__xludf.DUMMYFUNCTION("""COMPUTED_VALUE"""),48)</f>
        <v>48</v>
      </c>
      <c r="T55" s="24" t="str">
        <f ca="1">IFERROR(__xludf.DUMMYFUNCTION("""COMPUTED_VALUE"""),"July")</f>
        <v>July</v>
      </c>
    </row>
    <row r="56" spans="1:20" ht="14.25" hidden="1">
      <c r="A56" s="24">
        <f ca="1">IFERROR(__xludf.DUMMYFUNCTION("""COMPUTED_VALUE"""),2023)</f>
        <v>2023</v>
      </c>
      <c r="B56" s="24">
        <f ca="1">IFERROR(__xludf.DUMMYFUNCTION("""COMPUTED_VALUE"""),611)</f>
        <v>611</v>
      </c>
      <c r="C56" s="24" t="str">
        <f ca="1">IFERROR(__xludf.DUMMYFUNCTION("""COMPUTED_VALUE"""),"Long-term monitoring of immune response to recombinant lumpy skin disease virus in dairy cattle from small-household farms in western Thailand")</f>
        <v>Long-term monitoring of immune response to recombinant lumpy skin disease virus in dairy cattle from small-household farms in western Thailand</v>
      </c>
      <c r="D56" s="24">
        <f ca="1">IFERROR(__xludf.DUMMYFUNCTION("""COMPUTED_VALUE"""),2)</f>
        <v>2</v>
      </c>
      <c r="E56" s="24" t="str">
        <f ca="1">IFERROR(__xludf.DUMMYFUNCTION("""COMPUTED_VALUE"""),"2023.611")</f>
        <v>2023.611</v>
      </c>
      <c r="F56" s="24" t="str">
        <f ca="1">IFERROR(__xludf.DUMMYFUNCTION("""COMPUTED_VALUE"""),"Bovine")</f>
        <v>Bovine</v>
      </c>
      <c r="G56" s="24" t="str">
        <f ca="1">IFERROR(__xludf.DUMMYFUNCTION("""COMPUTED_VALUE"""),"Comparative Immunology, Microbiology and Infectious Diseases")</f>
        <v>Comparative Immunology, Microbiology and Infectious Diseases</v>
      </c>
      <c r="H56" s="24" t="str">
        <f ca="1">IFERROR(__xludf.DUMMYFUNCTION("""COMPUTED_VALUE"""),"Pipat Arunvipas")</f>
        <v>Pipat Arunvipas</v>
      </c>
      <c r="I56" s="24" t="str">
        <f ca="1">IFERROR(__xludf.DUMMYFUNCTION("""COMPUTED_VALUE"""),"CorrespondingAuthor")</f>
        <v>CorrespondingAuthor</v>
      </c>
      <c r="J56" s="24" t="b">
        <f ca="1">IFERROR(__xludf.DUMMYFUNCTION("""COMPUTED_VALUE"""),FALSE)</f>
        <v>0</v>
      </c>
      <c r="K56" s="24" t="b">
        <f ca="1">IFERROR(__xludf.DUMMYFUNCTION("""COMPUTED_VALUE"""),TRUE)</f>
        <v>1</v>
      </c>
      <c r="L56" s="58">
        <f ca="1">IFERROR(__xludf.DUMMYFUNCTION("""COMPUTED_VALUE"""),45096)</f>
        <v>45096</v>
      </c>
      <c r="M56" s="24" t="str">
        <f ca="1">IFERROR(__xludf.DUMMYFUNCTION("""COMPUTED_VALUE"""),"International")</f>
        <v>International</v>
      </c>
      <c r="N56" s="24">
        <f ca="1">IFERROR(__xludf.DUMMYFUNCTION("""COMPUTED_VALUE"""),1)</f>
        <v>1</v>
      </c>
      <c r="O56" s="24">
        <f ca="1">IFERROR(__xludf.DUMMYFUNCTION("""COMPUTED_VALUE"""),2.268)</f>
        <v>2.2679999999999998</v>
      </c>
      <c r="P56" s="24" t="str">
        <f ca="1">IFERROR(__xludf.DUMMYFUNCTION("""COMPUTED_VALUE"""),"No")</f>
        <v>No</v>
      </c>
      <c r="Q56" s="24" t="str">
        <f ca="1">IFERROR(__xludf.DUMMYFUNCTION("""COMPUTED_VALUE"""),"Yes")</f>
        <v>Yes</v>
      </c>
      <c r="R56" s="24" t="str">
        <f ca="1">IFERROR(__xludf.DUMMYFUNCTION("""COMPUTED_VALUE"""),"ภาควิชาเวชศาสตร์คลินิกสัตว์ใหญ่และสัตว์ป่า")</f>
        <v>ภาควิชาเวชศาสตร์คลินิกสัตว์ใหญ่และสัตว์ป่า</v>
      </c>
      <c r="S56" s="24">
        <f ca="1">IFERROR(__xludf.DUMMYFUNCTION("""COMPUTED_VALUE"""),59)</f>
        <v>59</v>
      </c>
      <c r="T56" s="24" t="str">
        <f ca="1">IFERROR(__xludf.DUMMYFUNCTION("""COMPUTED_VALUE"""),"June")</f>
        <v>June</v>
      </c>
    </row>
    <row r="57" spans="1:20" ht="14.25" hidden="1">
      <c r="A57" s="24">
        <f ca="1">IFERROR(__xludf.DUMMYFUNCTION("""COMPUTED_VALUE"""),2023)</f>
        <v>2023</v>
      </c>
      <c r="B57" s="24">
        <f ca="1">IFERROR(__xludf.DUMMYFUNCTION("""COMPUTED_VALUE"""),612)</f>
        <v>612</v>
      </c>
      <c r="C57" s="24" t="str">
        <f ca="1">IFERROR(__xludf.DUMMYFUNCTION("""COMPUTED_VALUE"""),"Ultrasonographic kidney length-to-abdominal aortic diameter for the diagnosis of feline chronic kidney disease: A preliminary study")</f>
        <v>Ultrasonographic kidney length-to-abdominal aortic diameter for the diagnosis of feline chronic kidney disease: A preliminary study</v>
      </c>
      <c r="D57" s="24">
        <f ca="1">IFERROR(__xludf.DUMMYFUNCTION("""COMPUTED_VALUE"""),5)</f>
        <v>5</v>
      </c>
      <c r="E57" s="24" t="str">
        <f ca="1">IFERROR(__xludf.DUMMYFUNCTION("""COMPUTED_VALUE"""),"2023.612")</f>
        <v>2023.612</v>
      </c>
      <c r="F57" s="24" t="str">
        <f ca="1">IFERROR(__xludf.DUMMYFUNCTION("""COMPUTED_VALUE"""),"Cat")</f>
        <v>Cat</v>
      </c>
      <c r="G57" s="24" t="str">
        <f ca="1">IFERROR(__xludf.DUMMYFUNCTION("""COMPUTED_VALUE"""),"Veterinary World")</f>
        <v>Veterinary World</v>
      </c>
      <c r="H57" s="24" t="str">
        <f ca="1">IFERROR(__xludf.DUMMYFUNCTION("""COMPUTED_VALUE"""),"Naparee Srisowanna")</f>
        <v>Naparee Srisowanna</v>
      </c>
      <c r="I57" s="24" t="str">
        <f ca="1">IFERROR(__xludf.DUMMYFUNCTION("""COMPUTED_VALUE"""),"CoAuthor")</f>
        <v>CoAuthor</v>
      </c>
      <c r="J57" s="24" t="b">
        <f ca="1">IFERROR(__xludf.DUMMYFUNCTION("""COMPUTED_VALUE"""),FALSE)</f>
        <v>0</v>
      </c>
      <c r="K57" s="24" t="b">
        <f ca="1">IFERROR(__xludf.DUMMYFUNCTION("""COMPUTED_VALUE"""),FALSE)</f>
        <v>0</v>
      </c>
      <c r="L57" s="58">
        <f ca="1">IFERROR(__xludf.DUMMYFUNCTION("""COMPUTED_VALUE"""),45043)</f>
        <v>45043</v>
      </c>
      <c r="M57" s="24" t="str">
        <f ca="1">IFERROR(__xludf.DUMMYFUNCTION("""COMPUTED_VALUE"""),"International")</f>
        <v>International</v>
      </c>
      <c r="N57" s="24">
        <f ca="1">IFERROR(__xludf.DUMMYFUNCTION("""COMPUTED_VALUE"""),2)</f>
        <v>2</v>
      </c>
      <c r="O57" s="24">
        <f ca="1">IFERROR(__xludf.DUMMYFUNCTION("""COMPUTED_VALUE"""),2.11)</f>
        <v>2.11</v>
      </c>
      <c r="P57" s="24" t="str">
        <f ca="1">IFERROR(__xludf.DUMMYFUNCTION("""COMPUTED_VALUE"""),"No")</f>
        <v>No</v>
      </c>
      <c r="Q57" s="24" t="str">
        <f ca="1">IFERROR(__xludf.DUMMYFUNCTION("""COMPUTED_VALUE"""),"Yes")</f>
        <v>Yes</v>
      </c>
      <c r="R57" s="24" t="str">
        <f ca="1">IFERROR(__xludf.DUMMYFUNCTION("""COMPUTED_VALUE"""),"ภาควิชากายวิภาคศาสตร์")</f>
        <v>ภาควิชากายวิภาคศาสตร์</v>
      </c>
      <c r="S57" s="24"/>
      <c r="T57" s="24" t="str">
        <f ca="1">IFERROR(__xludf.DUMMYFUNCTION("""COMPUTED_VALUE"""),"April")</f>
        <v>April</v>
      </c>
    </row>
    <row r="58" spans="1:20" ht="14.25" hidden="1">
      <c r="A58" s="24">
        <f ca="1">IFERROR(__xludf.DUMMYFUNCTION("""COMPUTED_VALUE"""),2023)</f>
        <v>2023</v>
      </c>
      <c r="B58" s="24">
        <f ca="1">IFERROR(__xludf.DUMMYFUNCTION("""COMPUTED_VALUE"""),613)</f>
        <v>613</v>
      </c>
      <c r="C58" s="24" t="str">
        <f ca="1">IFERROR(__xludf.DUMMYFUNCTION("""COMPUTED_VALUE"""),"The influence of subclinical mastitis on the protein composition and protease activities of raw milk from lactating Thai-crossbred dairy cows")</f>
        <v>The influence of subclinical mastitis on the protein composition and protease activities of raw milk from lactating Thai-crossbred dairy cows</v>
      </c>
      <c r="D58" s="24">
        <f ca="1">IFERROR(__xludf.DUMMYFUNCTION("""COMPUTED_VALUE"""),2)</f>
        <v>2</v>
      </c>
      <c r="E58" s="24" t="str">
        <f ca="1">IFERROR(__xludf.DUMMYFUNCTION("""COMPUTED_VALUE"""),"2023.613")</f>
        <v>2023.613</v>
      </c>
      <c r="F58" s="24" t="str">
        <f ca="1">IFERROR(__xludf.DUMMYFUNCTION("""COMPUTED_VALUE"""),"Bovine")</f>
        <v>Bovine</v>
      </c>
      <c r="G58" s="24" t="str">
        <f ca="1">IFERROR(__xludf.DUMMYFUNCTION("""COMPUTED_VALUE"""),"Veterinary World")</f>
        <v>Veterinary World</v>
      </c>
      <c r="H58" s="24" t="str">
        <f ca="1">IFERROR(__xludf.DUMMYFUNCTION("""COMPUTED_VALUE"""),"Pipat Arunvipas")</f>
        <v>Pipat Arunvipas</v>
      </c>
      <c r="I58" s="24" t="str">
        <f ca="1">IFERROR(__xludf.DUMMYFUNCTION("""COMPUTED_VALUE"""),"CoAuthor")</f>
        <v>CoAuthor</v>
      </c>
      <c r="J58" s="24" t="b">
        <f ca="1">IFERROR(__xludf.DUMMYFUNCTION("""COMPUTED_VALUE"""),FALSE)</f>
        <v>0</v>
      </c>
      <c r="K58" s="24" t="b">
        <f ca="1">IFERROR(__xludf.DUMMYFUNCTION("""COMPUTED_VALUE"""),FALSE)</f>
        <v>0</v>
      </c>
      <c r="L58" s="58">
        <f ca="1">IFERROR(__xludf.DUMMYFUNCTION("""COMPUTED_VALUE"""),45070)</f>
        <v>45070</v>
      </c>
      <c r="M58" s="24" t="str">
        <f ca="1">IFERROR(__xludf.DUMMYFUNCTION("""COMPUTED_VALUE"""),"International")</f>
        <v>International</v>
      </c>
      <c r="N58" s="24">
        <f ca="1">IFERROR(__xludf.DUMMYFUNCTION("""COMPUTED_VALUE"""),2)</f>
        <v>2</v>
      </c>
      <c r="O58" s="24">
        <f ca="1">IFERROR(__xludf.DUMMYFUNCTION("""COMPUTED_VALUE"""),2.11)</f>
        <v>2.11</v>
      </c>
      <c r="P58" s="24" t="str">
        <f ca="1">IFERROR(__xludf.DUMMYFUNCTION("""COMPUTED_VALUE"""),"No")</f>
        <v>No</v>
      </c>
      <c r="Q58" s="24" t="str">
        <f ca="1">IFERROR(__xludf.DUMMYFUNCTION("""COMPUTED_VALUE"""),"Yes")</f>
        <v>Yes</v>
      </c>
      <c r="R58" s="24" t="str">
        <f ca="1">IFERROR(__xludf.DUMMYFUNCTION("""COMPUTED_VALUE"""),"ภาควิชาเวชศาสตร์คลินิกสัตว์ใหญ่และสัตว์ป่า")</f>
        <v>ภาควิชาเวชศาสตร์คลินิกสัตว์ใหญ่และสัตว์ป่า</v>
      </c>
      <c r="S58" s="24">
        <f ca="1">IFERROR(__xludf.DUMMYFUNCTION("""COMPUTED_VALUE"""),59)</f>
        <v>59</v>
      </c>
      <c r="T58" s="24" t="str">
        <f ca="1">IFERROR(__xludf.DUMMYFUNCTION("""COMPUTED_VALUE"""),"May")</f>
        <v>May</v>
      </c>
    </row>
    <row r="59" spans="1:20" ht="14.25" hidden="1">
      <c r="A59" s="24">
        <f ca="1">IFERROR(__xludf.DUMMYFUNCTION("""COMPUTED_VALUE"""),2023)</f>
        <v>2023</v>
      </c>
      <c r="B59" s="24">
        <f ca="1">IFERROR(__xludf.DUMMYFUNCTION("""COMPUTED_VALUE"""),614)</f>
        <v>614</v>
      </c>
      <c r="C59" s="24" t="str">
        <f ca="1">IFERROR(__xludf.DUMMYFUNCTION("""COMPUTED_VALUE"""),"Predictive Factors for Two-Year Survival in Dogs with Hepatobiliary Diseases: Importance of Clinical and Laboratory Monitoring")</f>
        <v>Predictive Factors for Two-Year Survival in Dogs with Hepatobiliary Diseases: Importance of Clinical and Laboratory Monitoring</v>
      </c>
      <c r="D59" s="24">
        <f ca="1">IFERROR(__xludf.DUMMYFUNCTION("""COMPUTED_VALUE"""),5)</f>
        <v>5</v>
      </c>
      <c r="E59" s="24" t="str">
        <f ca="1">IFERROR(__xludf.DUMMYFUNCTION("""COMPUTED_VALUE"""),"2023.614")</f>
        <v>2023.614</v>
      </c>
      <c r="F59" s="24" t="str">
        <f ca="1">IFERROR(__xludf.DUMMYFUNCTION("""COMPUTED_VALUE"""),"Dog")</f>
        <v>Dog</v>
      </c>
      <c r="G59" s="24" t="str">
        <f ca="1">IFERROR(__xludf.DUMMYFUNCTION("""COMPUTED_VALUE"""),"Animals")</f>
        <v>Animals</v>
      </c>
      <c r="H59" s="24" t="str">
        <f ca="1">IFERROR(__xludf.DUMMYFUNCTION("""COMPUTED_VALUE"""),"Naris Thengchaisri")</f>
        <v>Naris Thengchaisri</v>
      </c>
      <c r="I59" s="24" t="str">
        <f ca="1">IFERROR(__xludf.DUMMYFUNCTION("""COMPUTED_VALUE"""),"CorrespondingAuthor")</f>
        <v>CorrespondingAuthor</v>
      </c>
      <c r="J59" s="24" t="b">
        <f ca="1">IFERROR(__xludf.DUMMYFUNCTION("""COMPUTED_VALUE"""),FALSE)</f>
        <v>0</v>
      </c>
      <c r="K59" s="24" t="b">
        <f ca="1">IFERROR(__xludf.DUMMYFUNCTION("""COMPUTED_VALUE"""),FALSE)</f>
        <v>0</v>
      </c>
      <c r="L59" s="58">
        <f ca="1">IFERROR(__xludf.DUMMYFUNCTION("""COMPUTED_VALUE"""),45158)</f>
        <v>45158</v>
      </c>
      <c r="M59" s="24" t="str">
        <f ca="1">IFERROR(__xludf.DUMMYFUNCTION("""COMPUTED_VALUE"""),"International")</f>
        <v>International</v>
      </c>
      <c r="N59" s="24">
        <f ca="1">IFERROR(__xludf.DUMMYFUNCTION("""COMPUTED_VALUE"""),1)</f>
        <v>1</v>
      </c>
      <c r="O59" s="24">
        <f ca="1">IFERROR(__xludf.DUMMYFUNCTION("""COMPUTED_VALUE"""),2.752)</f>
        <v>2.7519999999999998</v>
      </c>
      <c r="P59" s="24" t="str">
        <f ca="1">IFERROR(__xludf.DUMMYFUNCTION("""COMPUTED_VALUE"""),"Yes")</f>
        <v>Yes</v>
      </c>
      <c r="Q59" s="24" t="str">
        <f ca="1">IFERROR(__xludf.DUMMYFUNCTION("""COMPUTED_VALUE"""),"Yes")</f>
        <v>Yes</v>
      </c>
      <c r="R59" s="24" t="str">
        <f ca="1">IFERROR(__xludf.DUMMYFUNCTION("""COMPUTED_VALUE"""),"ภาควิชาเวชศาสตร์คลินิกสัตว์เลี้ยง")</f>
        <v>ภาควิชาเวชศาสตร์คลินิกสัตว์เลี้ยง</v>
      </c>
      <c r="S59" s="24">
        <f ca="1">IFERROR(__xludf.DUMMYFUNCTION("""COMPUTED_VALUE"""),52)</f>
        <v>52</v>
      </c>
      <c r="T59" s="24" t="str">
        <f ca="1">IFERROR(__xludf.DUMMYFUNCTION("""COMPUTED_VALUE"""),"August")</f>
        <v>August</v>
      </c>
    </row>
    <row r="60" spans="1:20" ht="14.25" hidden="1">
      <c r="A60" s="24">
        <f ca="1">IFERROR(__xludf.DUMMYFUNCTION("""COMPUTED_VALUE"""),2023)</f>
        <v>2023</v>
      </c>
      <c r="B60" s="24">
        <f ca="1">IFERROR(__xludf.DUMMYFUNCTION("""COMPUTED_VALUE"""),615)</f>
        <v>615</v>
      </c>
      <c r="C60" s="24" t="str">
        <f ca="1">IFERROR(__xludf.DUMMYFUNCTION("""COMPUTED_VALUE"""),"Effects of crocodile (Crocodylus siamensis) oil and palm oil on leptin activated signal transducer and activator of transcription 3 signaling pathway and hepatic fat accumulation in rats")</f>
        <v>Effects of crocodile (Crocodylus siamensis) oil and palm oil on leptin activated signal transducer and activator of transcription 3 signaling pathway and hepatic fat accumulation in rats</v>
      </c>
      <c r="D60" s="24">
        <f ca="1">IFERROR(__xludf.DUMMYFUNCTION("""COMPUTED_VALUE"""),3)</f>
        <v>3</v>
      </c>
      <c r="E60" s="24" t="str">
        <f ca="1">IFERROR(__xludf.DUMMYFUNCTION("""COMPUTED_VALUE"""),"2023.615")</f>
        <v>2023.615</v>
      </c>
      <c r="F60" s="24" t="str">
        <f ca="1">IFERROR(__xludf.DUMMYFUNCTION("""COMPUTED_VALUE"""),"Crocodyle")</f>
        <v>Crocodyle</v>
      </c>
      <c r="G60" s="24" t="str">
        <f ca="1">IFERROR(__xludf.DUMMYFUNCTION("""COMPUTED_VALUE"""),"Agriculture and Natural Resources")</f>
        <v>Agriculture and Natural Resources</v>
      </c>
      <c r="H60" s="24" t="str">
        <f ca="1">IFERROR(__xludf.DUMMYFUNCTION("""COMPUTED_VALUE"""),"Phitsanu Tulayakul")</f>
        <v>Phitsanu Tulayakul</v>
      </c>
      <c r="I60" s="24" t="str">
        <f ca="1">IFERROR(__xludf.DUMMYFUNCTION("""COMPUTED_VALUE"""),"CorrespondingAuthor")</f>
        <v>CorrespondingAuthor</v>
      </c>
      <c r="J60" s="24" t="b">
        <f ca="1">IFERROR(__xludf.DUMMYFUNCTION("""COMPUTED_VALUE"""),FALSE)</f>
        <v>0</v>
      </c>
      <c r="K60" s="24" t="b">
        <f ca="1">IFERROR(__xludf.DUMMYFUNCTION("""COMPUTED_VALUE"""),TRUE)</f>
        <v>1</v>
      </c>
      <c r="L60" s="58">
        <f ca="1">IFERROR(__xludf.DUMMYFUNCTION("""COMPUTED_VALUE"""),45097)</f>
        <v>45097</v>
      </c>
      <c r="M60" s="24" t="str">
        <f ca="1">IFERROR(__xludf.DUMMYFUNCTION("""COMPUTED_VALUE"""),"International")</f>
        <v>International</v>
      </c>
      <c r="N60" s="24">
        <f ca="1">IFERROR(__xludf.DUMMYFUNCTION("""COMPUTED_VALUE"""),2)</f>
        <v>2</v>
      </c>
      <c r="O60" s="24">
        <f ca="1">IFERROR(__xludf.DUMMYFUNCTION("""COMPUTED_VALUE"""),1.163)</f>
        <v>1.163</v>
      </c>
      <c r="P60" s="24" t="str">
        <f ca="1">IFERROR(__xludf.DUMMYFUNCTION("""COMPUTED_VALUE"""),"Yes")</f>
        <v>Yes</v>
      </c>
      <c r="Q60" s="24" t="str">
        <f ca="1">IFERROR(__xludf.DUMMYFUNCTION("""COMPUTED_VALUE"""),"Yes")</f>
        <v>Yes</v>
      </c>
      <c r="R60" s="24" t="str">
        <f ca="1">IFERROR(__xludf.DUMMYFUNCTION("""COMPUTED_VALUE"""),"ภาควิชาสัตวแพทยสาธารณสุขศาสตร์")</f>
        <v>ภาควิชาสัตวแพทยสาธารณสุขศาสตร์</v>
      </c>
      <c r="S60" s="24">
        <f ca="1">IFERROR(__xludf.DUMMYFUNCTION("""COMPUTED_VALUE"""),50)</f>
        <v>50</v>
      </c>
      <c r="T60" s="24" t="str">
        <f ca="1">IFERROR(__xludf.DUMMYFUNCTION("""COMPUTED_VALUE"""),"June")</f>
        <v>June</v>
      </c>
    </row>
    <row r="61" spans="1:20" ht="14.25" hidden="1">
      <c r="A61" s="24">
        <f ca="1">IFERROR(__xludf.DUMMYFUNCTION("""COMPUTED_VALUE"""),2023)</f>
        <v>2023</v>
      </c>
      <c r="B61" s="24">
        <f ca="1">IFERROR(__xludf.DUMMYFUNCTION("""COMPUTED_VALUE"""),616)</f>
        <v>616</v>
      </c>
      <c r="C61" s="24" t="str">
        <f ca="1">IFERROR(__xludf.DUMMYFUNCTION("""COMPUTED_VALUE"""),"Insect-based diets (house crickets and mulberry silkworm pupae): A comparison of their effects on canine gut microbiota")</f>
        <v>Insect-based diets (house crickets and mulberry silkworm pupae): A comparison of their effects on canine gut microbiota</v>
      </c>
      <c r="D61" s="24">
        <f ca="1">IFERROR(__xludf.DUMMYFUNCTION("""COMPUTED_VALUE"""),2)</f>
        <v>2</v>
      </c>
      <c r="E61" s="24" t="str">
        <f ca="1">IFERROR(__xludf.DUMMYFUNCTION("""COMPUTED_VALUE"""),"2023.616")</f>
        <v>2023.616</v>
      </c>
      <c r="F61" s="24" t="str">
        <f ca="1">IFERROR(__xludf.DUMMYFUNCTION("""COMPUTED_VALUE"""),"Dog")</f>
        <v>Dog</v>
      </c>
      <c r="G61" s="24" t="str">
        <f ca="1">IFERROR(__xludf.DUMMYFUNCTION("""COMPUTED_VALUE"""),"Veterinary World")</f>
        <v>Veterinary World</v>
      </c>
      <c r="H61" s="24" t="str">
        <f ca="1">IFERROR(__xludf.DUMMYFUNCTION("""COMPUTED_VALUE"""),"Attawit Kovitvadhi")</f>
        <v>Attawit Kovitvadhi</v>
      </c>
      <c r="I61" s="24" t="str">
        <f ca="1">IFERROR(__xludf.DUMMYFUNCTION("""COMPUTED_VALUE"""),"CorrespondingAuthor")</f>
        <v>CorrespondingAuthor</v>
      </c>
      <c r="J61" s="24" t="b">
        <f ca="1">IFERROR(__xludf.DUMMYFUNCTION("""COMPUTED_VALUE"""),FALSE)</f>
        <v>0</v>
      </c>
      <c r="K61" s="24" t="b">
        <f ca="1">IFERROR(__xludf.DUMMYFUNCTION("""COMPUTED_VALUE"""),TRUE)</f>
        <v>1</v>
      </c>
      <c r="L61" s="58">
        <f ca="1">IFERROR(__xludf.DUMMYFUNCTION("""COMPUTED_VALUE"""),45155)</f>
        <v>45155</v>
      </c>
      <c r="M61" s="24" t="str">
        <f ca="1">IFERROR(__xludf.DUMMYFUNCTION("""COMPUTED_VALUE"""),"International")</f>
        <v>International</v>
      </c>
      <c r="N61" s="24">
        <f ca="1">IFERROR(__xludf.DUMMYFUNCTION("""COMPUTED_VALUE"""),2)</f>
        <v>2</v>
      </c>
      <c r="O61" s="24">
        <f ca="1">IFERROR(__xludf.DUMMYFUNCTION("""COMPUTED_VALUE"""),2.11)</f>
        <v>2.11</v>
      </c>
      <c r="P61" s="24" t="str">
        <f ca="1">IFERROR(__xludf.DUMMYFUNCTION("""COMPUTED_VALUE"""),"No")</f>
        <v>No</v>
      </c>
      <c r="Q61" s="24" t="str">
        <f ca="1">IFERROR(__xludf.DUMMYFUNCTION("""COMPUTED_VALUE"""),"Yes")</f>
        <v>Yes</v>
      </c>
      <c r="R61" s="24" t="str">
        <f ca="1">IFERROR(__xludf.DUMMYFUNCTION("""COMPUTED_VALUE"""),"ภาควิชาสรีรวิทยา")</f>
        <v>ภาควิชาสรีรวิทยา</v>
      </c>
      <c r="S61" s="24">
        <f ca="1">IFERROR(__xludf.DUMMYFUNCTION("""COMPUTED_VALUE"""),37)</f>
        <v>37</v>
      </c>
      <c r="T61" s="24" t="str">
        <f ca="1">IFERROR(__xludf.DUMMYFUNCTION("""COMPUTED_VALUE"""),"August")</f>
        <v>August</v>
      </c>
    </row>
    <row r="62" spans="1:20" ht="14.25" hidden="1">
      <c r="A62" s="24">
        <f ca="1">IFERROR(__xludf.DUMMYFUNCTION("""COMPUTED_VALUE"""),2023)</f>
        <v>2023</v>
      </c>
      <c r="B62" s="24">
        <f ca="1">IFERROR(__xludf.DUMMYFUNCTION("""COMPUTED_VALUE"""),617)</f>
        <v>617</v>
      </c>
      <c r="C62" s="24" t="str">
        <f ca="1">IFERROR(__xludf.DUMMYFUNCTION("""COMPUTED_VALUE"""),"Surgical treatment of intra-abdominal vaginal cyst severely adhered to associated organs in a dog")</f>
        <v>Surgical treatment of intra-abdominal vaginal cyst severely adhered to associated organs in a dog</v>
      </c>
      <c r="D62" s="24">
        <f ca="1">IFERROR(__xludf.DUMMYFUNCTION("""COMPUTED_VALUE"""),5)</f>
        <v>5</v>
      </c>
      <c r="E62" s="24" t="str">
        <f ca="1">IFERROR(__xludf.DUMMYFUNCTION("""COMPUTED_VALUE"""),"2023.617")</f>
        <v>2023.617</v>
      </c>
      <c r="F62" s="24" t="str">
        <f ca="1">IFERROR(__xludf.DUMMYFUNCTION("""COMPUTED_VALUE"""),"Dog")</f>
        <v>Dog</v>
      </c>
      <c r="G62" s="24" t="str">
        <f ca="1">IFERROR(__xludf.DUMMYFUNCTION("""COMPUTED_VALUE"""),"Thai Journal of Veterinary Medicine")</f>
        <v>Thai Journal of Veterinary Medicine</v>
      </c>
      <c r="H62" s="24" t="str">
        <f ca="1">IFERROR(__xludf.DUMMYFUNCTION("""COMPUTED_VALUE"""),"Nithida Boonwittaya")</f>
        <v>Nithida Boonwittaya</v>
      </c>
      <c r="I62" s="24" t="str">
        <f ca="1">IFERROR(__xludf.DUMMYFUNCTION("""COMPUTED_VALUE"""),"FirstAuthor&amp;CorrespondingAuthor")</f>
        <v>FirstAuthor&amp;CorrespondingAuthor</v>
      </c>
      <c r="J62" s="24" t="b">
        <f ca="1">IFERROR(__xludf.DUMMYFUNCTION("""COMPUTED_VALUE"""),FALSE)</f>
        <v>0</v>
      </c>
      <c r="K62" s="24" t="b">
        <f ca="1">IFERROR(__xludf.DUMMYFUNCTION("""COMPUTED_VALUE"""),FALSE)</f>
        <v>0</v>
      </c>
      <c r="L62" s="58">
        <f ca="1">IFERROR(__xludf.DUMMYFUNCTION("""COMPUTED_VALUE"""),45043)</f>
        <v>45043</v>
      </c>
      <c r="M62" s="24" t="str">
        <f ca="1">IFERROR(__xludf.DUMMYFUNCTION("""COMPUTED_VALUE"""),"International")</f>
        <v>International</v>
      </c>
      <c r="N62" s="24">
        <f ca="1">IFERROR(__xludf.DUMMYFUNCTION("""COMPUTED_VALUE"""),4)</f>
        <v>4</v>
      </c>
      <c r="O62" s="24">
        <f ca="1">IFERROR(__xludf.DUMMYFUNCTION("""COMPUTED_VALUE"""),0.28)</f>
        <v>0.28000000000000003</v>
      </c>
      <c r="P62" s="24" t="str">
        <f ca="1">IFERROR(__xludf.DUMMYFUNCTION("""COMPUTED_VALUE"""),"Yes")</f>
        <v>Yes</v>
      </c>
      <c r="Q62" s="24" t="str">
        <f ca="1">IFERROR(__xludf.DUMMYFUNCTION("""COMPUTED_VALUE"""),"Yes")</f>
        <v>Yes</v>
      </c>
      <c r="R62" s="24" t="str">
        <f ca="1">IFERROR(__xludf.DUMMYFUNCTION("""COMPUTED_VALUE"""),"โรงพยาบาลสัตว์ มก. บางเขน")</f>
        <v>โรงพยาบาลสัตว์ มก. บางเขน</v>
      </c>
      <c r="S62" s="24">
        <f ca="1">IFERROR(__xludf.DUMMYFUNCTION("""COMPUTED_VALUE"""),39)</f>
        <v>39</v>
      </c>
      <c r="T62" s="24" t="str">
        <f ca="1">IFERROR(__xludf.DUMMYFUNCTION("""COMPUTED_VALUE"""),"April")</f>
        <v>April</v>
      </c>
    </row>
    <row r="63" spans="1:20" ht="14.25" hidden="1">
      <c r="A63" s="24">
        <f ca="1">IFERROR(__xludf.DUMMYFUNCTION("""COMPUTED_VALUE"""),2023)</f>
        <v>2023</v>
      </c>
      <c r="B63" s="24">
        <f ca="1">IFERROR(__xludf.DUMMYFUNCTION("""COMPUTED_VALUE"""),618)</f>
        <v>618</v>
      </c>
      <c r="C63" s="24" t="str">
        <f ca="1">IFERROR(__xludf.DUMMYFUNCTION("""COMPUTED_VALUE"""),"Serum and Fecal 3-Bromotyrosine Concentrations in Dogs with Chronic Inflammatory Enteropathy: Clinical Parameters and Histopathological Changes")</f>
        <v>Serum and Fecal 3-Bromotyrosine Concentrations in Dogs with Chronic Inflammatory Enteropathy: Clinical Parameters and Histopathological Changes</v>
      </c>
      <c r="D63" s="24">
        <f ca="1">IFERROR(__xludf.DUMMYFUNCTION("""COMPUTED_VALUE"""),5)</f>
        <v>5</v>
      </c>
      <c r="E63" s="24" t="str">
        <f ca="1">IFERROR(__xludf.DUMMYFUNCTION("""COMPUTED_VALUE"""),"2023.618")</f>
        <v>2023.618</v>
      </c>
      <c r="F63" s="24" t="str">
        <f ca="1">IFERROR(__xludf.DUMMYFUNCTION("""COMPUTED_VALUE"""),"Dog")</f>
        <v>Dog</v>
      </c>
      <c r="G63" s="24" t="str">
        <f ca="1">IFERROR(__xludf.DUMMYFUNCTION("""COMPUTED_VALUE"""),"Animals")</f>
        <v>Animals</v>
      </c>
      <c r="H63" s="24" t="str">
        <f ca="1">IFERROR(__xludf.DUMMYFUNCTION("""COMPUTED_VALUE"""),"Panpicha Sattasathuchana")</f>
        <v>Panpicha Sattasathuchana</v>
      </c>
      <c r="I63" s="24" t="str">
        <f ca="1">IFERROR(__xludf.DUMMYFUNCTION("""COMPUTED_VALUE"""),"FirstAuthor&amp;CorrespondingAuthor")</f>
        <v>FirstAuthor&amp;CorrespondingAuthor</v>
      </c>
      <c r="J63" s="24" t="b">
        <f ca="1">IFERROR(__xludf.DUMMYFUNCTION("""COMPUTED_VALUE"""),FALSE)</f>
        <v>0</v>
      </c>
      <c r="K63" s="24" t="b">
        <f ca="1">IFERROR(__xludf.DUMMYFUNCTION("""COMPUTED_VALUE"""),FALSE)</f>
        <v>0</v>
      </c>
      <c r="L63" s="58">
        <f ca="1">IFERROR(__xludf.DUMMYFUNCTION("""COMPUTED_VALUE"""),45172)</f>
        <v>45172</v>
      </c>
      <c r="M63" s="24" t="str">
        <f ca="1">IFERROR(__xludf.DUMMYFUNCTION("""COMPUTED_VALUE"""),"International")</f>
        <v>International</v>
      </c>
      <c r="N63" s="24">
        <f ca="1">IFERROR(__xludf.DUMMYFUNCTION("""COMPUTED_VALUE"""),1)</f>
        <v>1</v>
      </c>
      <c r="O63" s="24">
        <f ca="1">IFERROR(__xludf.DUMMYFUNCTION("""COMPUTED_VALUE"""),2.752)</f>
        <v>2.7519999999999998</v>
      </c>
      <c r="P63" s="24" t="str">
        <f ca="1">IFERROR(__xludf.DUMMYFUNCTION("""COMPUTED_VALUE"""),"Yes")</f>
        <v>Yes</v>
      </c>
      <c r="Q63" s="24" t="str">
        <f ca="1">IFERROR(__xludf.DUMMYFUNCTION("""COMPUTED_VALUE"""),"Yes")</f>
        <v>Yes</v>
      </c>
      <c r="R63" s="24" t="str">
        <f ca="1">IFERROR(__xludf.DUMMYFUNCTION("""COMPUTED_VALUE"""),"ภาควิชาเวชศาสตร์คลินิกสัตว์เลี้ยง")</f>
        <v>ภาควิชาเวชศาสตร์คลินิกสัตว์เลี้ยง</v>
      </c>
      <c r="S63" s="24">
        <f ca="1">IFERROR(__xludf.DUMMYFUNCTION("""COMPUTED_VALUE"""),43)</f>
        <v>43</v>
      </c>
      <c r="T63" s="24" t="str">
        <f ca="1">IFERROR(__xludf.DUMMYFUNCTION("""COMPUTED_VALUE"""),"September")</f>
        <v>September</v>
      </c>
    </row>
    <row r="64" spans="1:20" ht="14.25" hidden="1">
      <c r="A64" s="24">
        <f ca="1">IFERROR(__xludf.DUMMYFUNCTION("""COMPUTED_VALUE"""),2023)</f>
        <v>2023</v>
      </c>
      <c r="B64" s="24">
        <f ca="1">IFERROR(__xludf.DUMMYFUNCTION("""COMPUTED_VALUE"""),619)</f>
        <v>619</v>
      </c>
      <c r="C64" s="24" t="str">
        <f ca="1">IFERROR(__xludf.DUMMYFUNCTION("""COMPUTED_VALUE"""),"Phacoemulsification in a chinchilla (Chinchilla lanigera)")</f>
        <v>Phacoemulsification in a chinchilla (Chinchilla lanigera)</v>
      </c>
      <c r="D64" s="24">
        <f ca="1">IFERROR(__xludf.DUMMYFUNCTION("""COMPUTED_VALUE"""),5)</f>
        <v>5</v>
      </c>
      <c r="E64" s="24" t="str">
        <f ca="1">IFERROR(__xludf.DUMMYFUNCTION("""COMPUTED_VALUE"""),"2023.619")</f>
        <v>2023.619</v>
      </c>
      <c r="F64" s="24" t="str">
        <f ca="1">IFERROR(__xludf.DUMMYFUNCTION("""COMPUTED_VALUE"""),"Exotic")</f>
        <v>Exotic</v>
      </c>
      <c r="G64" s="24" t="str">
        <f ca="1">IFERROR(__xludf.DUMMYFUNCTION("""COMPUTED_VALUE"""),"Open Veterinary Journal")</f>
        <v>Open Veterinary Journal</v>
      </c>
      <c r="H64" s="24" t="str">
        <f ca="1">IFERROR(__xludf.DUMMYFUNCTION("""COMPUTED_VALUE"""),"Taksaon Duangurai")</f>
        <v>Taksaon Duangurai</v>
      </c>
      <c r="I64" s="24" t="str">
        <f ca="1">IFERROR(__xludf.DUMMYFUNCTION("""COMPUTED_VALUE"""),"CorrespondingAuthor")</f>
        <v>CorrespondingAuthor</v>
      </c>
      <c r="J64" s="24" t="b">
        <f ca="1">IFERROR(__xludf.DUMMYFUNCTION("""COMPUTED_VALUE"""),FALSE)</f>
        <v>0</v>
      </c>
      <c r="K64" s="24" t="b">
        <f ca="1">IFERROR(__xludf.DUMMYFUNCTION("""COMPUTED_VALUE"""),FALSE)</f>
        <v>0</v>
      </c>
      <c r="L64" s="58">
        <f ca="1">IFERROR(__xludf.DUMMYFUNCTION("""COMPUTED_VALUE"""),45123)</f>
        <v>45123</v>
      </c>
      <c r="M64" s="24" t="str">
        <f ca="1">IFERROR(__xludf.DUMMYFUNCTION("""COMPUTED_VALUE"""),"International")</f>
        <v>International</v>
      </c>
      <c r="N64" s="24">
        <f ca="1">IFERROR(__xludf.DUMMYFUNCTION("""COMPUTED_VALUE"""),2)</f>
        <v>2</v>
      </c>
      <c r="O64" s="24">
        <f ca="1">IFERROR(__xludf.DUMMYFUNCTION("""COMPUTED_VALUE"""),1.46)</f>
        <v>1.46</v>
      </c>
      <c r="P64" s="24" t="str">
        <f ca="1">IFERROR(__xludf.DUMMYFUNCTION("""COMPUTED_VALUE"""),"Yes")</f>
        <v>Yes</v>
      </c>
      <c r="Q64" s="24" t="str">
        <f ca="1">IFERROR(__xludf.DUMMYFUNCTION("""COMPUTED_VALUE"""),"Yes")</f>
        <v>Yes</v>
      </c>
      <c r="R64" s="24" t="str">
        <f ca="1">IFERROR(__xludf.DUMMYFUNCTION("""COMPUTED_VALUE"""),"ภาควิชาเวชศาสตร์คลินิกสัตว์เลี้ยง")</f>
        <v>ภาควิชาเวชศาสตร์คลินิกสัตว์เลี้ยง</v>
      </c>
      <c r="S64" s="24">
        <f ca="1">IFERROR(__xludf.DUMMYFUNCTION("""COMPUTED_VALUE"""),43)</f>
        <v>43</v>
      </c>
      <c r="T64" s="24" t="str">
        <f ca="1">IFERROR(__xludf.DUMMYFUNCTION("""COMPUTED_VALUE"""),"July")</f>
        <v>July</v>
      </c>
    </row>
    <row r="65" spans="1:20" ht="14.25" hidden="1">
      <c r="A65" s="24">
        <f ca="1">IFERROR(__xludf.DUMMYFUNCTION("""COMPUTED_VALUE"""),2023)</f>
        <v>2023</v>
      </c>
      <c r="B65" s="24">
        <f ca="1">IFERROR(__xludf.DUMMYFUNCTION("""COMPUTED_VALUE"""),620)</f>
        <v>620</v>
      </c>
      <c r="C65" s="24" t="str">
        <f ca="1">IFERROR(__xludf.DUMMYFUNCTION("""COMPUTED_VALUE"""),"From the heart of the animal feed industry: a Southeast Asian perspective on insects for feed in Asia")</f>
        <v>From the heart of the animal feed industry: a Southeast Asian perspective on insects for feed in Asia</v>
      </c>
      <c r="D65" s="24">
        <f ca="1">IFERROR(__xludf.DUMMYFUNCTION("""COMPUTED_VALUE"""),2)</f>
        <v>2</v>
      </c>
      <c r="E65" s="24" t="str">
        <f ca="1">IFERROR(__xludf.DUMMYFUNCTION("""COMPUTED_VALUE"""),"2023.620")</f>
        <v>2023.620</v>
      </c>
      <c r="F65" s="24" t="str">
        <f ca="1">IFERROR(__xludf.DUMMYFUNCTION("""COMPUTED_VALUE"""),"Insect")</f>
        <v>Insect</v>
      </c>
      <c r="G65" s="24" t="str">
        <f ca="1">IFERROR(__xludf.DUMMYFUNCTION("""COMPUTED_VALUE"""),"Animal Frontiers")</f>
        <v>Animal Frontiers</v>
      </c>
      <c r="H65" s="24" t="str">
        <f ca="1">IFERROR(__xludf.DUMMYFUNCTION("""COMPUTED_VALUE"""),"Attawit Kovitvadhi")</f>
        <v>Attawit Kovitvadhi</v>
      </c>
      <c r="I65" s="24" t="str">
        <f ca="1">IFERROR(__xludf.DUMMYFUNCTION("""COMPUTED_VALUE"""),"CoAuthor")</f>
        <v>CoAuthor</v>
      </c>
      <c r="J65" s="24" t="b">
        <f ca="1">IFERROR(__xludf.DUMMYFUNCTION("""COMPUTED_VALUE"""),FALSE)</f>
        <v>0</v>
      </c>
      <c r="K65" s="24" t="b">
        <f ca="1">IFERROR(__xludf.DUMMYFUNCTION("""COMPUTED_VALUE"""),FALSE)</f>
        <v>0</v>
      </c>
      <c r="L65" s="58">
        <f ca="1">IFERROR(__xludf.DUMMYFUNCTION("""COMPUTED_VALUE"""),45152)</f>
        <v>45152</v>
      </c>
      <c r="M65" s="24" t="str">
        <f ca="1">IFERROR(__xludf.DUMMYFUNCTION("""COMPUTED_VALUE"""),"International")</f>
        <v>International</v>
      </c>
      <c r="N65" s="24">
        <f ca="1">IFERROR(__xludf.DUMMYFUNCTION("""COMPUTED_VALUE"""),1)</f>
        <v>1</v>
      </c>
      <c r="O65" s="24">
        <f ca="1">IFERROR(__xludf.DUMMYFUNCTION("""COMPUTED_VALUE"""),5.304)</f>
        <v>5.3040000000000003</v>
      </c>
      <c r="P65" s="24" t="str">
        <f ca="1">IFERROR(__xludf.DUMMYFUNCTION("""COMPUTED_VALUE"""),"Yes")</f>
        <v>Yes</v>
      </c>
      <c r="Q65" s="24" t="str">
        <f ca="1">IFERROR(__xludf.DUMMYFUNCTION("""COMPUTED_VALUE"""),"Yes")</f>
        <v>Yes</v>
      </c>
      <c r="R65" s="24" t="str">
        <f ca="1">IFERROR(__xludf.DUMMYFUNCTION("""COMPUTED_VALUE"""),"ภาควิชาสรีรวิทยา")</f>
        <v>ภาควิชาสรีรวิทยา</v>
      </c>
      <c r="S65" s="24">
        <f ca="1">IFERROR(__xludf.DUMMYFUNCTION("""COMPUTED_VALUE"""),37)</f>
        <v>37</v>
      </c>
      <c r="T65" s="24" t="str">
        <f ca="1">IFERROR(__xludf.DUMMYFUNCTION("""COMPUTED_VALUE"""),"August")</f>
        <v>August</v>
      </c>
    </row>
    <row r="66" spans="1:20" ht="14.25" hidden="1">
      <c r="A66" s="24">
        <f ca="1">IFERROR(__xludf.DUMMYFUNCTION("""COMPUTED_VALUE"""),2023)</f>
        <v>2023</v>
      </c>
      <c r="B66" s="24">
        <f ca="1">IFERROR(__xludf.DUMMYFUNCTION("""COMPUTED_VALUE"""),621)</f>
        <v>621</v>
      </c>
      <c r="C66" s="24" t="str">
        <f ca="1">IFERROR(__xludf.DUMMYFUNCTION("""COMPUTED_VALUE"""),"The Successful Medical Treatment of Localized Tetanus in a Cat")</f>
        <v>The Successful Medical Treatment of Localized Tetanus in a Cat</v>
      </c>
      <c r="D66" s="24">
        <f ca="1">IFERROR(__xludf.DUMMYFUNCTION("""COMPUTED_VALUE"""),5)</f>
        <v>5</v>
      </c>
      <c r="E66" s="24" t="str">
        <f ca="1">IFERROR(__xludf.DUMMYFUNCTION("""COMPUTED_VALUE"""),"2023.621")</f>
        <v>2023.621</v>
      </c>
      <c r="F66" s="24" t="str">
        <f ca="1">IFERROR(__xludf.DUMMYFUNCTION("""COMPUTED_VALUE"""),"Cat")</f>
        <v>Cat</v>
      </c>
      <c r="G66" s="24" t="str">
        <f ca="1">IFERROR(__xludf.DUMMYFUNCTION("""COMPUTED_VALUE"""),"International Journal of Veterinary Science")</f>
        <v>International Journal of Veterinary Science</v>
      </c>
      <c r="H66" s="24" t="str">
        <f ca="1">IFERROR(__xludf.DUMMYFUNCTION("""COMPUTED_VALUE"""),"Soontaree Petchdee")</f>
        <v>Soontaree Petchdee</v>
      </c>
      <c r="I66" s="24" t="str">
        <f ca="1">IFERROR(__xludf.DUMMYFUNCTION("""COMPUTED_VALUE"""),"CorrespondingAuthor")</f>
        <v>CorrespondingAuthor</v>
      </c>
      <c r="J66" s="24" t="b">
        <f ca="1">IFERROR(__xludf.DUMMYFUNCTION("""COMPUTED_VALUE"""),FALSE)</f>
        <v>0</v>
      </c>
      <c r="K66" s="24" t="b">
        <f ca="1">IFERROR(__xludf.DUMMYFUNCTION("""COMPUTED_VALUE"""),FALSE)</f>
        <v>0</v>
      </c>
      <c r="L66" s="58">
        <f ca="1">IFERROR(__xludf.DUMMYFUNCTION("""COMPUTED_VALUE"""),45153)</f>
        <v>45153</v>
      </c>
      <c r="M66" s="24" t="str">
        <f ca="1">IFERROR(__xludf.DUMMYFUNCTION("""COMPUTED_VALUE"""),"International")</f>
        <v>International</v>
      </c>
      <c r="N66" s="24">
        <f ca="1">IFERROR(__xludf.DUMMYFUNCTION("""COMPUTED_VALUE"""),3)</f>
        <v>3</v>
      </c>
      <c r="O66" s="24">
        <f ca="1">IFERROR(__xludf.DUMMYFUNCTION("""COMPUTED_VALUE"""),0.277)</f>
        <v>0.27700000000000002</v>
      </c>
      <c r="P66" s="24" t="str">
        <f ca="1">IFERROR(__xludf.DUMMYFUNCTION("""COMPUTED_VALUE"""),"No")</f>
        <v>No</v>
      </c>
      <c r="Q66" s="24" t="str">
        <f ca="1">IFERROR(__xludf.DUMMYFUNCTION("""COMPUTED_VALUE"""),"Yes")</f>
        <v>Yes</v>
      </c>
      <c r="R66" s="24" t="str">
        <f ca="1">IFERROR(__xludf.DUMMYFUNCTION("""COMPUTED_VALUE"""),"ภาควิชาเวชศาสตร์คลินิกสัตว์ใหญ่และสัตว์ป่า")</f>
        <v>ภาควิชาเวชศาสตร์คลินิกสัตว์ใหญ่และสัตว์ป่า</v>
      </c>
      <c r="S66" s="24">
        <f ca="1">IFERROR(__xludf.DUMMYFUNCTION("""COMPUTED_VALUE"""),51)</f>
        <v>51</v>
      </c>
      <c r="T66" s="24" t="str">
        <f ca="1">IFERROR(__xludf.DUMMYFUNCTION("""COMPUTED_VALUE"""),"August")</f>
        <v>August</v>
      </c>
    </row>
    <row r="67" spans="1:20" ht="14.25" hidden="1">
      <c r="A67" s="24">
        <f ca="1">IFERROR(__xludf.DUMMYFUNCTION("""COMPUTED_VALUE"""),2023)</f>
        <v>2023</v>
      </c>
      <c r="B67" s="24">
        <f ca="1">IFERROR(__xludf.DUMMYFUNCTION("""COMPUTED_VALUE"""),622)</f>
        <v>622</v>
      </c>
      <c r="C67" s="24" t="str">
        <f ca="1">IFERROR(__xludf.DUMMYFUNCTION("""COMPUTED_VALUE"""),"Tick-borne Pathogen Detection and Its Association with Alterations in Packed Cell Volume of Dairy Cattle in Thailand")</f>
        <v>Tick-borne Pathogen Detection and Its Association with Alterations in Packed Cell Volume of Dairy Cattle in Thailand</v>
      </c>
      <c r="D67" s="24">
        <f ca="1">IFERROR(__xludf.DUMMYFUNCTION("""COMPUTED_VALUE"""),2)</f>
        <v>2</v>
      </c>
      <c r="E67" s="24" t="str">
        <f ca="1">IFERROR(__xludf.DUMMYFUNCTION("""COMPUTED_VALUE"""),"2023.622")</f>
        <v>2023.622</v>
      </c>
      <c r="F67" s="24" t="str">
        <f ca="1">IFERROR(__xludf.DUMMYFUNCTION("""COMPUTED_VALUE"""),"Bovine")</f>
        <v>Bovine</v>
      </c>
      <c r="G67" s="24" t="str">
        <f ca="1">IFERROR(__xludf.DUMMYFUNCTION("""COMPUTED_VALUE"""),"Animals")</f>
        <v>Animals</v>
      </c>
      <c r="H67" s="24" t="str">
        <f ca="1">IFERROR(__xludf.DUMMYFUNCTION("""COMPUTED_VALUE"""),"Tawin Inpankaew")</f>
        <v>Tawin Inpankaew</v>
      </c>
      <c r="I67" s="24" t="str">
        <f ca="1">IFERROR(__xludf.DUMMYFUNCTION("""COMPUTED_VALUE"""),"CorrespondingAuthor")</f>
        <v>CorrespondingAuthor</v>
      </c>
      <c r="J67" s="24" t="b">
        <f ca="1">IFERROR(__xludf.DUMMYFUNCTION("""COMPUTED_VALUE"""),FALSE)</f>
        <v>0</v>
      </c>
      <c r="K67" s="24" t="b">
        <f ca="1">IFERROR(__xludf.DUMMYFUNCTION("""COMPUTED_VALUE"""),FALSE)</f>
        <v>0</v>
      </c>
      <c r="L67" s="58">
        <f ca="1">IFERROR(__xludf.DUMMYFUNCTION("""COMPUTED_VALUE"""),45173)</f>
        <v>45173</v>
      </c>
      <c r="M67" s="24" t="str">
        <f ca="1">IFERROR(__xludf.DUMMYFUNCTION("""COMPUTED_VALUE"""),"International")</f>
        <v>International</v>
      </c>
      <c r="N67" s="24">
        <f ca="1">IFERROR(__xludf.DUMMYFUNCTION("""COMPUTED_VALUE"""),1)</f>
        <v>1</v>
      </c>
      <c r="O67" s="24">
        <f ca="1">IFERROR(__xludf.DUMMYFUNCTION("""COMPUTED_VALUE"""),2.752)</f>
        <v>2.7519999999999998</v>
      </c>
      <c r="P67" s="24" t="str">
        <f ca="1">IFERROR(__xludf.DUMMYFUNCTION("""COMPUTED_VALUE"""),"Yes")</f>
        <v>Yes</v>
      </c>
      <c r="Q67" s="24" t="str">
        <f ca="1">IFERROR(__xludf.DUMMYFUNCTION("""COMPUTED_VALUE"""),"Yes")</f>
        <v>Yes</v>
      </c>
      <c r="R67" s="24" t="str">
        <f ca="1">IFERROR(__xludf.DUMMYFUNCTION("""COMPUTED_VALUE"""),"ภาควิชาปรสิตวิทยา")</f>
        <v>ภาควิชาปรสิตวิทยา</v>
      </c>
      <c r="S67" s="24">
        <f ca="1">IFERROR(__xludf.DUMMYFUNCTION("""COMPUTED_VALUE"""),47)</f>
        <v>47</v>
      </c>
      <c r="T67" s="24" t="str">
        <f ca="1">IFERROR(__xludf.DUMMYFUNCTION("""COMPUTED_VALUE"""),"September")</f>
        <v>September</v>
      </c>
    </row>
    <row r="68" spans="1:20" ht="14.25" hidden="1">
      <c r="A68" s="24">
        <f ca="1">IFERROR(__xludf.DUMMYFUNCTION("""COMPUTED_VALUE"""),2023)</f>
        <v>2023</v>
      </c>
      <c r="B68" s="24">
        <f ca="1">IFERROR(__xludf.DUMMYFUNCTION("""COMPUTED_VALUE"""),623)</f>
        <v>623</v>
      </c>
      <c r="C68" s="24" t="str">
        <f ca="1">IFERROR(__xludf.DUMMYFUNCTION("""COMPUTED_VALUE"""),"Hydrogel-based 3D human iPSC-derived neuronal culture for the study of rabies virus infection")</f>
        <v>Hydrogel-based 3D human iPSC-derived neuronal culture for the study of rabies virus infection</v>
      </c>
      <c r="D68" s="24">
        <f ca="1">IFERROR(__xludf.DUMMYFUNCTION("""COMPUTED_VALUE"""),2)</f>
        <v>2</v>
      </c>
      <c r="E68" s="24" t="str">
        <f ca="1">IFERROR(__xludf.DUMMYFUNCTION("""COMPUTED_VALUE"""),"2023.623")</f>
        <v>2023.623</v>
      </c>
      <c r="F68" s="24" t="str">
        <f ca="1">IFERROR(__xludf.DUMMYFUNCTION("""COMPUTED_VALUE"""),"Cell")</f>
        <v>Cell</v>
      </c>
      <c r="G68" s="24" t="str">
        <f ca="1">IFERROR(__xludf.DUMMYFUNCTION("""COMPUTED_VALUE"""),"Frontiers in Cellular and Infection Microbiology")</f>
        <v>Frontiers in Cellular and Infection Microbiology</v>
      </c>
      <c r="H68" s="24" t="str">
        <f ca="1">IFERROR(__xludf.DUMMYFUNCTION("""COMPUTED_VALUE"""),"Porntippa Lekcharoensuk")</f>
        <v>Porntippa Lekcharoensuk</v>
      </c>
      <c r="I68" s="24" t="str">
        <f ca="1">IFERROR(__xludf.DUMMYFUNCTION("""COMPUTED_VALUE"""),"CoAuthor")</f>
        <v>CoAuthor</v>
      </c>
      <c r="J68" s="24" t="b">
        <f ca="1">IFERROR(__xludf.DUMMYFUNCTION("""COMPUTED_VALUE"""),FALSE)</f>
        <v>0</v>
      </c>
      <c r="K68" s="24" t="b">
        <f ca="1">IFERROR(__xludf.DUMMYFUNCTION("""COMPUTED_VALUE"""),TRUE)</f>
        <v>1</v>
      </c>
      <c r="L68" s="58">
        <f ca="1">IFERROR(__xludf.DUMMYFUNCTION("""COMPUTED_VALUE"""),45146)</f>
        <v>45146</v>
      </c>
      <c r="M68" s="24" t="str">
        <f ca="1">IFERROR(__xludf.DUMMYFUNCTION("""COMPUTED_VALUE"""),"International")</f>
        <v>International</v>
      </c>
      <c r="N68" s="24">
        <f ca="1">IFERROR(__xludf.DUMMYFUNCTION("""COMPUTED_VALUE"""),1)</f>
        <v>1</v>
      </c>
      <c r="O68" s="24">
        <f ca="1">IFERROR(__xludf.DUMMYFUNCTION("""COMPUTED_VALUE"""),5.7)</f>
        <v>5.7</v>
      </c>
      <c r="P68" s="24" t="str">
        <f ca="1">IFERROR(__xludf.DUMMYFUNCTION("""COMPUTED_VALUE"""),"Yes")</f>
        <v>Yes</v>
      </c>
      <c r="Q68" s="24" t="str">
        <f ca="1">IFERROR(__xludf.DUMMYFUNCTION("""COMPUTED_VALUE"""),"Yes")</f>
        <v>Yes</v>
      </c>
      <c r="R68" s="24" t="str">
        <f ca="1">IFERROR(__xludf.DUMMYFUNCTION("""COMPUTED_VALUE"""),"ภาควิชาจุลชีววิทยาและวิทยาฯ")</f>
        <v>ภาควิชาจุลชีววิทยาและวิทยาฯ</v>
      </c>
      <c r="S68" s="24">
        <f ca="1">IFERROR(__xludf.DUMMYFUNCTION("""COMPUTED_VALUE"""),61)</f>
        <v>61</v>
      </c>
      <c r="T68" s="24" t="str">
        <f ca="1">IFERROR(__xludf.DUMMYFUNCTION("""COMPUTED_VALUE"""),"August")</f>
        <v>August</v>
      </c>
    </row>
    <row r="69" spans="1:20" ht="14.25" hidden="1">
      <c r="A69" s="24">
        <f ca="1">IFERROR(__xludf.DUMMYFUNCTION("""COMPUTED_VALUE"""),2023)</f>
        <v>2023</v>
      </c>
      <c r="B69" s="24">
        <f ca="1">IFERROR(__xludf.DUMMYFUNCTION("""COMPUTED_VALUE"""),624)</f>
        <v>624</v>
      </c>
      <c r="C69" s="24" t="str">
        <f ca="1">IFERROR(__xludf.DUMMYFUNCTION("""COMPUTED_VALUE"""),"A retrospective study of structural brain lesions identified by magnetic resonance imaging in 114 cats with neurological signs")</f>
        <v>A retrospective study of structural brain lesions identified by magnetic resonance imaging in 114 cats with neurological signs</v>
      </c>
      <c r="D69" s="24">
        <f ca="1">IFERROR(__xludf.DUMMYFUNCTION("""COMPUTED_VALUE"""),5)</f>
        <v>5</v>
      </c>
      <c r="E69" s="24" t="str">
        <f ca="1">IFERROR(__xludf.DUMMYFUNCTION("""COMPUTED_VALUE"""),"2023.624")</f>
        <v>2023.624</v>
      </c>
      <c r="F69" s="24" t="str">
        <f ca="1">IFERROR(__xludf.DUMMYFUNCTION("""COMPUTED_VALUE"""),"Cat")</f>
        <v>Cat</v>
      </c>
      <c r="G69" s="24" t="str">
        <f ca="1">IFERROR(__xludf.DUMMYFUNCTION("""COMPUTED_VALUE"""),"Veterinary World")</f>
        <v>Veterinary World</v>
      </c>
      <c r="H69" s="24" t="str">
        <f ca="1">IFERROR(__xludf.DUMMYFUNCTION("""COMPUTED_VALUE"""),"Panpicha Sattasathuchana")</f>
        <v>Panpicha Sattasathuchana</v>
      </c>
      <c r="I69" s="24" t="str">
        <f ca="1">IFERROR(__xludf.DUMMYFUNCTION("""COMPUTED_VALUE"""),"CorrespondingAuthor")</f>
        <v>CorrespondingAuthor</v>
      </c>
      <c r="J69" s="24" t="b">
        <f ca="1">IFERROR(__xludf.DUMMYFUNCTION("""COMPUTED_VALUE"""),FALSE)</f>
        <v>0</v>
      </c>
      <c r="K69" s="24" t="b">
        <f ca="1">IFERROR(__xludf.DUMMYFUNCTION("""COMPUTED_VALUE"""),FALSE)</f>
        <v>0</v>
      </c>
      <c r="L69" s="58">
        <f ca="1">IFERROR(__xludf.DUMMYFUNCTION("""COMPUTED_VALUE"""),45159)</f>
        <v>45159</v>
      </c>
      <c r="M69" s="24" t="str">
        <f ca="1">IFERROR(__xludf.DUMMYFUNCTION("""COMPUTED_VALUE"""),"International")</f>
        <v>International</v>
      </c>
      <c r="N69" s="24">
        <f ca="1">IFERROR(__xludf.DUMMYFUNCTION("""COMPUTED_VALUE"""),2)</f>
        <v>2</v>
      </c>
      <c r="O69" s="24">
        <f ca="1">IFERROR(__xludf.DUMMYFUNCTION("""COMPUTED_VALUE"""),2.11)</f>
        <v>2.11</v>
      </c>
      <c r="P69" s="24" t="str">
        <f ca="1">IFERROR(__xludf.DUMMYFUNCTION("""COMPUTED_VALUE"""),"No")</f>
        <v>No</v>
      </c>
      <c r="Q69" s="24" t="str">
        <f ca="1">IFERROR(__xludf.DUMMYFUNCTION("""COMPUTED_VALUE"""),"Yes")</f>
        <v>Yes</v>
      </c>
      <c r="R69" s="24" t="str">
        <f ca="1">IFERROR(__xludf.DUMMYFUNCTION("""COMPUTED_VALUE"""),"ภาควิชาเวชศาสตร์คลินิกสัตว์เลี้ยง")</f>
        <v>ภาควิชาเวชศาสตร์คลินิกสัตว์เลี้ยง</v>
      </c>
      <c r="S69" s="24">
        <f ca="1">IFERROR(__xludf.DUMMYFUNCTION("""COMPUTED_VALUE"""),43)</f>
        <v>43</v>
      </c>
      <c r="T69" s="24" t="str">
        <f ca="1">IFERROR(__xludf.DUMMYFUNCTION("""COMPUTED_VALUE"""),"August")</f>
        <v>August</v>
      </c>
    </row>
    <row r="70" spans="1:20" ht="14.25" hidden="1">
      <c r="A70" s="24">
        <f ca="1">IFERROR(__xludf.DUMMYFUNCTION("""COMPUTED_VALUE"""),2023)</f>
        <v>2023</v>
      </c>
      <c r="B70" s="24">
        <f ca="1">IFERROR(__xludf.DUMMYFUNCTION("""COMPUTED_VALUE"""),625)</f>
        <v>625</v>
      </c>
      <c r="C70" s="24" t="str">
        <f ca="1">IFERROR(__xludf.DUMMYFUNCTION("""COMPUTED_VALUE"""),"Antiviral mechanisms of sorafenib against foot-and-mouth disease virus via c-RAF and AKT/PI3K pathways")</f>
        <v>Antiviral mechanisms of sorafenib against foot-and-mouth disease virus via c-RAF and AKT/PI3K pathways</v>
      </c>
      <c r="D70" s="24">
        <f ca="1">IFERROR(__xludf.DUMMYFUNCTION("""COMPUTED_VALUE"""),2)</f>
        <v>2</v>
      </c>
      <c r="E70" s="24" t="str">
        <f ca="1">IFERROR(__xludf.DUMMYFUNCTION("""COMPUTED_VALUE"""),"2023.625")</f>
        <v>2023.625</v>
      </c>
      <c r="F70" s="24" t="str">
        <f ca="1">IFERROR(__xludf.DUMMYFUNCTION("""COMPUTED_VALUE"""),"Cell")</f>
        <v>Cell</v>
      </c>
      <c r="G70" s="24" t="str">
        <f ca="1">IFERROR(__xludf.DUMMYFUNCTION("""COMPUTED_VALUE"""),"Veterinary Research Communications")</f>
        <v>Veterinary Research Communications</v>
      </c>
      <c r="H70" s="24" t="str">
        <f ca="1">IFERROR(__xludf.DUMMYFUNCTION("""COMPUTED_VALUE"""),"Sirin Theerawatanasirikul")</f>
        <v>Sirin Theerawatanasirikul</v>
      </c>
      <c r="I70" s="24" t="str">
        <f ca="1">IFERROR(__xludf.DUMMYFUNCTION("""COMPUTED_VALUE"""),"FirstAuthor")</f>
        <v>FirstAuthor</v>
      </c>
      <c r="J70" s="24" t="b">
        <f ca="1">IFERROR(__xludf.DUMMYFUNCTION("""COMPUTED_VALUE"""),FALSE)</f>
        <v>0</v>
      </c>
      <c r="K70" s="24" t="b">
        <f ca="1">IFERROR(__xludf.DUMMYFUNCTION("""COMPUTED_VALUE"""),FALSE)</f>
        <v>0</v>
      </c>
      <c r="L70" s="58">
        <f ca="1">IFERROR(__xludf.DUMMYFUNCTION("""COMPUTED_VALUE"""),45241)</f>
        <v>45241</v>
      </c>
      <c r="M70" s="24" t="str">
        <f ca="1">IFERROR(__xludf.DUMMYFUNCTION("""COMPUTED_VALUE"""),"International")</f>
        <v>International</v>
      </c>
      <c r="N70" s="24">
        <f ca="1">IFERROR(__xludf.DUMMYFUNCTION("""COMPUTED_VALUE"""),1)</f>
        <v>1</v>
      </c>
      <c r="O70" s="24">
        <f ca="1">IFERROR(__xludf.DUMMYFUNCTION("""COMPUTED_VALUE"""),2.3)</f>
        <v>2.2999999999999998</v>
      </c>
      <c r="P70" s="24" t="str">
        <f ca="1">IFERROR(__xludf.DUMMYFUNCTION("""COMPUTED_VALUE"""),"Yes")</f>
        <v>Yes</v>
      </c>
      <c r="Q70" s="24" t="str">
        <f ca="1">IFERROR(__xludf.DUMMYFUNCTION("""COMPUTED_VALUE"""),"Yes")</f>
        <v>Yes</v>
      </c>
      <c r="R70" s="24" t="str">
        <f ca="1">IFERROR(__xludf.DUMMYFUNCTION("""COMPUTED_VALUE"""),"ภาควิชากายวิภาคศาสตร์")</f>
        <v>ภาควิชากายวิภาคศาสตร์</v>
      </c>
      <c r="S70" s="24">
        <f ca="1">IFERROR(__xludf.DUMMYFUNCTION("""COMPUTED_VALUE"""),43)</f>
        <v>43</v>
      </c>
      <c r="T70" s="24" t="str">
        <f ca="1">IFERROR(__xludf.DUMMYFUNCTION("""COMPUTED_VALUE"""),"November")</f>
        <v>November</v>
      </c>
    </row>
    <row r="71" spans="1:20" ht="14.25" hidden="1">
      <c r="A71" s="24">
        <f ca="1">IFERROR(__xludf.DUMMYFUNCTION("""COMPUTED_VALUE"""),2023)</f>
        <v>2023</v>
      </c>
      <c r="B71" s="24">
        <f ca="1">IFERROR(__xludf.DUMMYFUNCTION("""COMPUTED_VALUE"""),626)</f>
        <v>626</v>
      </c>
      <c r="C71" s="24" t="str">
        <f ca="1">IFERROR(__xludf.DUMMYFUNCTION("""COMPUTED_VALUE"""),"Effect of Exercise in a Vector-protected Arena for Preventing African Horse Sickness Transmission on Physiological, Biochemical, and Behavioural Variables of Horses")</f>
        <v>Effect of Exercise in a Vector-protected Arena for Preventing African Horse Sickness Transmission on Physiological, Biochemical, and Behavioural Variables of Horses</v>
      </c>
      <c r="D71" s="24">
        <f ca="1">IFERROR(__xludf.DUMMYFUNCTION("""COMPUTED_VALUE"""),5)</f>
        <v>5</v>
      </c>
      <c r="E71" s="24" t="str">
        <f ca="1">IFERROR(__xludf.DUMMYFUNCTION("""COMPUTED_VALUE"""),"2023.626")</f>
        <v>2023.626</v>
      </c>
      <c r="F71" s="24" t="str">
        <f ca="1">IFERROR(__xludf.DUMMYFUNCTION("""COMPUTED_VALUE"""),"Horse")</f>
        <v>Horse</v>
      </c>
      <c r="G71" s="24" t="str">
        <f ca="1">IFERROR(__xludf.DUMMYFUNCTION("""COMPUTED_VALUE"""),"Journal of Equine Veterinary Science")</f>
        <v>Journal of Equine Veterinary Science</v>
      </c>
      <c r="H71" s="24" t="str">
        <f ca="1">IFERROR(__xludf.DUMMYFUNCTION("""COMPUTED_VALUE"""),"Metha Chanda")</f>
        <v>Metha Chanda</v>
      </c>
      <c r="I71" s="24" t="str">
        <f ca="1">IFERROR(__xludf.DUMMYFUNCTION("""COMPUTED_VALUE"""),"CorrespondingAuthor")</f>
        <v>CorrespondingAuthor</v>
      </c>
      <c r="J71" s="24" t="b">
        <f ca="1">IFERROR(__xludf.DUMMYFUNCTION("""COMPUTED_VALUE"""),FALSE)</f>
        <v>0</v>
      </c>
      <c r="K71" s="24" t="b">
        <f ca="1">IFERROR(__xludf.DUMMYFUNCTION("""COMPUTED_VALUE"""),FALSE)</f>
        <v>0</v>
      </c>
      <c r="L71" s="58">
        <f ca="1">IFERROR(__xludf.DUMMYFUNCTION("""COMPUTED_VALUE"""),45253)</f>
        <v>45253</v>
      </c>
      <c r="M71" s="24" t="str">
        <f ca="1">IFERROR(__xludf.DUMMYFUNCTION("""COMPUTED_VALUE"""),"International")</f>
        <v>International</v>
      </c>
      <c r="N71" s="24">
        <f ca="1">IFERROR(__xludf.DUMMYFUNCTION("""COMPUTED_VALUE"""),3)</f>
        <v>3</v>
      </c>
      <c r="O71" s="24">
        <f ca="1">IFERROR(__xludf.DUMMYFUNCTION("""COMPUTED_VALUE"""),1.368)</f>
        <v>1.3680000000000001</v>
      </c>
      <c r="P71" s="24" t="str">
        <f ca="1">IFERROR(__xludf.DUMMYFUNCTION("""COMPUTED_VALUE"""),"Yes")</f>
        <v>Yes</v>
      </c>
      <c r="Q71" s="24" t="str">
        <f ca="1">IFERROR(__xludf.DUMMYFUNCTION("""COMPUTED_VALUE"""),"Yes")</f>
        <v>Yes</v>
      </c>
      <c r="R71" s="24" t="str">
        <f ca="1">IFERROR(__xludf.DUMMYFUNCTION("""COMPUTED_VALUE"""),"ภาควิชาเวชศาสตร์คลินิกสัตว์ใหญ่และสัตว์ป่า")</f>
        <v>ภาควิชาเวชศาสตร์คลินิกสัตว์ใหญ่และสัตว์ป่า</v>
      </c>
      <c r="S71" s="24">
        <f ca="1">IFERROR(__xludf.DUMMYFUNCTION("""COMPUTED_VALUE"""),47)</f>
        <v>47</v>
      </c>
      <c r="T71" s="24" t="str">
        <f ca="1">IFERROR(__xludf.DUMMYFUNCTION("""COMPUTED_VALUE"""),"November")</f>
        <v>November</v>
      </c>
    </row>
    <row r="72" spans="1:20" ht="14.25" hidden="1">
      <c r="A72" s="24">
        <f ca="1">IFERROR(__xludf.DUMMYFUNCTION("""COMPUTED_VALUE"""),2023)</f>
        <v>2023</v>
      </c>
      <c r="B72" s="24">
        <f ca="1">IFERROR(__xludf.DUMMYFUNCTION("""COMPUTED_VALUE"""),627)</f>
        <v>627</v>
      </c>
      <c r="C72" s="24" t="str">
        <f ca="1">IFERROR(__xludf.DUMMYFUNCTION("""COMPUTED_VALUE"""),"Bacterial DNA and osteoarthritis in dogs with patellar luxation and cranial cruciate ligament rupture")</f>
        <v>Bacterial DNA and osteoarthritis in dogs with patellar luxation and cranial cruciate ligament rupture</v>
      </c>
      <c r="D72" s="24">
        <f ca="1">IFERROR(__xludf.DUMMYFUNCTION("""COMPUTED_VALUE"""),5)</f>
        <v>5</v>
      </c>
      <c r="E72" s="24" t="str">
        <f ca="1">IFERROR(__xludf.DUMMYFUNCTION("""COMPUTED_VALUE"""),"2023.627")</f>
        <v>2023.627</v>
      </c>
      <c r="F72" s="24" t="str">
        <f ca="1">IFERROR(__xludf.DUMMYFUNCTION("""COMPUTED_VALUE"""),"Dog")</f>
        <v>Dog</v>
      </c>
      <c r="G72" s="24" t="str">
        <f ca="1">IFERROR(__xludf.DUMMYFUNCTION("""COMPUTED_VALUE"""),"Veterinary World")</f>
        <v>Veterinary World</v>
      </c>
      <c r="H72" s="24" t="str">
        <f ca="1">IFERROR(__xludf.DUMMYFUNCTION("""COMPUTED_VALUE"""),"Naris Thengchaisri")</f>
        <v>Naris Thengchaisri</v>
      </c>
      <c r="I72" s="24" t="str">
        <f ca="1">IFERROR(__xludf.DUMMYFUNCTION("""COMPUTED_VALUE"""),"CorrespondingAuthor")</f>
        <v>CorrespondingAuthor</v>
      </c>
      <c r="J72" s="24" t="b">
        <f ca="1">IFERROR(__xludf.DUMMYFUNCTION("""COMPUTED_VALUE"""),FALSE)</f>
        <v>0</v>
      </c>
      <c r="K72" s="24" t="b">
        <f ca="1">IFERROR(__xludf.DUMMYFUNCTION("""COMPUTED_VALUE"""),FALSE)</f>
        <v>0</v>
      </c>
      <c r="L72" s="58">
        <f ca="1">IFERROR(__xludf.DUMMYFUNCTION("""COMPUTED_VALUE"""),45206)</f>
        <v>45206</v>
      </c>
      <c r="M72" s="24" t="str">
        <f ca="1">IFERROR(__xludf.DUMMYFUNCTION("""COMPUTED_VALUE"""),"International")</f>
        <v>International</v>
      </c>
      <c r="N72" s="24">
        <f ca="1">IFERROR(__xludf.DUMMYFUNCTION("""COMPUTED_VALUE"""),2)</f>
        <v>2</v>
      </c>
      <c r="O72" s="24">
        <f ca="1">IFERROR(__xludf.DUMMYFUNCTION("""COMPUTED_VALUE"""),2.11)</f>
        <v>2.11</v>
      </c>
      <c r="P72" s="24" t="str">
        <f ca="1">IFERROR(__xludf.DUMMYFUNCTION("""COMPUTED_VALUE"""),"No")</f>
        <v>No</v>
      </c>
      <c r="Q72" s="24" t="str">
        <f ca="1">IFERROR(__xludf.DUMMYFUNCTION("""COMPUTED_VALUE"""),"Yes")</f>
        <v>Yes</v>
      </c>
      <c r="R72" s="24" t="str">
        <f ca="1">IFERROR(__xludf.DUMMYFUNCTION("""COMPUTED_VALUE"""),"ภาควิชาเวชศาสตร์คลินิกสัตว์เลี้ยง")</f>
        <v>ภาควิชาเวชศาสตร์คลินิกสัตว์เลี้ยง</v>
      </c>
      <c r="S72" s="24">
        <f ca="1">IFERROR(__xludf.DUMMYFUNCTION("""COMPUTED_VALUE"""),52)</f>
        <v>52</v>
      </c>
      <c r="T72" s="24" t="str">
        <f ca="1">IFERROR(__xludf.DUMMYFUNCTION("""COMPUTED_VALUE"""),"October")</f>
        <v>October</v>
      </c>
    </row>
    <row r="73" spans="1:20" ht="14.25" hidden="1">
      <c r="A73" s="24">
        <f ca="1">IFERROR(__xludf.DUMMYFUNCTION("""COMPUTED_VALUE"""),1899)</f>
        <v>1899</v>
      </c>
      <c r="B73" s="24"/>
      <c r="C73" s="24"/>
      <c r="D73" s="24"/>
      <c r="E73" s="24" t="str">
        <f ca="1">IFERROR(__xludf.DUMMYFUNCTION("""COMPUTED_VALUE"""),"1899.")</f>
        <v>1899.</v>
      </c>
      <c r="F73" s="24"/>
      <c r="G73" s="24"/>
      <c r="H73" s="24"/>
      <c r="I73" s="24"/>
      <c r="J73" s="24"/>
      <c r="K73" s="24"/>
      <c r="L73" s="24"/>
      <c r="M73" s="24"/>
      <c r="N73" s="24"/>
      <c r="O73" s="24"/>
      <c r="P73" s="24"/>
      <c r="Q73" s="24"/>
      <c r="R73" s="24"/>
      <c r="S73" s="24"/>
      <c r="T73" s="24"/>
    </row>
    <row r="74" spans="1:20" ht="14.25" hidden="1">
      <c r="A74" s="24">
        <f ca="1">IFERROR(__xludf.DUMMYFUNCTION("""COMPUTED_VALUE"""),2023)</f>
        <v>2023</v>
      </c>
      <c r="B74" s="24">
        <f ca="1">IFERROR(__xludf.DUMMYFUNCTION("""COMPUTED_VALUE"""),628)</f>
        <v>628</v>
      </c>
      <c r="C74" s="24" t="str">
        <f ca="1">IFERROR(__xludf.DUMMYFUNCTION("""COMPUTED_VALUE"""),"Small Molecules Targeting 3C Protease Inhibit FMDV Replication and Exhibit Virucidal Effect in Cell-Based Assays")</f>
        <v>Small Molecules Targeting 3C Protease Inhibit FMDV Replication and Exhibit Virucidal Effect in Cell-Based Assays</v>
      </c>
      <c r="D74" s="24">
        <f ca="1">IFERROR(__xludf.DUMMYFUNCTION("""COMPUTED_VALUE"""),2)</f>
        <v>2</v>
      </c>
      <c r="E74" s="24" t="str">
        <f ca="1">IFERROR(__xludf.DUMMYFUNCTION("""COMPUTED_VALUE"""),"2023.628")</f>
        <v>2023.628</v>
      </c>
      <c r="F74" s="24" t="str">
        <f ca="1">IFERROR(__xludf.DUMMYFUNCTION("""COMPUTED_VALUE"""),"Cell")</f>
        <v>Cell</v>
      </c>
      <c r="G74" s="24" t="str">
        <f ca="1">IFERROR(__xludf.DUMMYFUNCTION("""COMPUTED_VALUE"""),"Viruses")</f>
        <v>Viruses</v>
      </c>
      <c r="H74" s="24" t="str">
        <f ca="1">IFERROR(__xludf.DUMMYFUNCTION("""COMPUTED_VALUE"""),"Sirin Theerawatanasirikul")</f>
        <v>Sirin Theerawatanasirikul</v>
      </c>
      <c r="I74" s="24" t="str">
        <f ca="1">IFERROR(__xludf.DUMMYFUNCTION("""COMPUTED_VALUE"""),"FirstAuthor&amp;CorrespondingAuthor")</f>
        <v>FirstAuthor&amp;CorrespondingAuthor</v>
      </c>
      <c r="J74" s="24" t="b">
        <f ca="1">IFERROR(__xludf.DUMMYFUNCTION("""COMPUTED_VALUE"""),FALSE)</f>
        <v>0</v>
      </c>
      <c r="K74" s="24" t="b">
        <f ca="1">IFERROR(__xludf.DUMMYFUNCTION("""COMPUTED_VALUE"""),FALSE)</f>
        <v>0</v>
      </c>
      <c r="L74" s="58">
        <f ca="1">IFERROR(__xludf.DUMMYFUNCTION("""COMPUTED_VALUE"""),45175)</f>
        <v>45175</v>
      </c>
      <c r="M74" s="24" t="str">
        <f ca="1">IFERROR(__xludf.DUMMYFUNCTION("""COMPUTED_VALUE"""),"International")</f>
        <v>International</v>
      </c>
      <c r="N74" s="24">
        <f ca="1">IFERROR(__xludf.DUMMYFUNCTION("""COMPUTED_VALUE"""),1)</f>
        <v>1</v>
      </c>
      <c r="O74" s="24">
        <f ca="1">IFERROR(__xludf.DUMMYFUNCTION("""COMPUTED_VALUE"""),5.048)</f>
        <v>5.048</v>
      </c>
      <c r="P74" s="24" t="str">
        <f ca="1">IFERROR(__xludf.DUMMYFUNCTION("""COMPUTED_VALUE"""),"Yes")</f>
        <v>Yes</v>
      </c>
      <c r="Q74" s="24" t="str">
        <f ca="1">IFERROR(__xludf.DUMMYFUNCTION("""COMPUTED_VALUE"""),"Yes")</f>
        <v>Yes</v>
      </c>
      <c r="R74" s="24" t="str">
        <f ca="1">IFERROR(__xludf.DUMMYFUNCTION("""COMPUTED_VALUE"""),"ภาควิชากายวิภาคศาสตร์")</f>
        <v>ภาควิชากายวิภาคศาสตร์</v>
      </c>
      <c r="S74" s="24">
        <f ca="1">IFERROR(__xludf.DUMMYFUNCTION("""COMPUTED_VALUE"""),43)</f>
        <v>43</v>
      </c>
      <c r="T74" s="24" t="str">
        <f ca="1">IFERROR(__xludf.DUMMYFUNCTION("""COMPUTED_VALUE"""),"September")</f>
        <v>September</v>
      </c>
    </row>
    <row r="75" spans="1:20" ht="14.25" hidden="1">
      <c r="A75" s="24">
        <f ca="1">IFERROR(__xludf.DUMMYFUNCTION("""COMPUTED_VALUE"""),2023)</f>
        <v>2023</v>
      </c>
      <c r="B75" s="24">
        <f ca="1">IFERROR(__xludf.DUMMYFUNCTION("""COMPUTED_VALUE"""),629)</f>
        <v>629</v>
      </c>
      <c r="C75" s="24" t="str">
        <f ca="1">IFERROR(__xludf.DUMMYFUNCTION("""COMPUTED_VALUE"""),"Tilapia lake virus causes mitochondrial damage: a proposed mechanism that leads to extensive death in fish cells")</f>
        <v>Tilapia lake virus causes mitochondrial damage: a proposed mechanism that leads to extensive death in fish cells</v>
      </c>
      <c r="D75" s="24">
        <f ca="1">IFERROR(__xludf.DUMMYFUNCTION("""COMPUTED_VALUE"""),2)</f>
        <v>2</v>
      </c>
      <c r="E75" s="24" t="str">
        <f ca="1">IFERROR(__xludf.DUMMYFUNCTION("""COMPUTED_VALUE"""),"2023.629")</f>
        <v>2023.629</v>
      </c>
      <c r="F75" s="24" t="str">
        <f ca="1">IFERROR(__xludf.DUMMYFUNCTION("""COMPUTED_VALUE"""),"Fish")</f>
        <v>Fish</v>
      </c>
      <c r="G75" s="24" t="str">
        <f ca="1">IFERROR(__xludf.DUMMYFUNCTION("""COMPUTED_VALUE"""),"PeerJ")</f>
        <v>PeerJ</v>
      </c>
      <c r="H75" s="24" t="str">
        <f ca="1">IFERROR(__xludf.DUMMYFUNCTION("""COMPUTED_VALUE"""),"Win Surachetpong")</f>
        <v>Win Surachetpong</v>
      </c>
      <c r="I75" s="24" t="str">
        <f ca="1">IFERROR(__xludf.DUMMYFUNCTION("""COMPUTED_VALUE"""),"CorrespondingAuthor")</f>
        <v>CorrespondingAuthor</v>
      </c>
      <c r="J75" s="24" t="b">
        <f ca="1">IFERROR(__xludf.DUMMYFUNCTION("""COMPUTED_VALUE"""),FALSE)</f>
        <v>0</v>
      </c>
      <c r="K75" s="24" t="b">
        <f ca="1">IFERROR(__xludf.DUMMYFUNCTION("""COMPUTED_VALUE"""),FALSE)</f>
        <v>0</v>
      </c>
      <c r="L75" s="58">
        <f ca="1">IFERROR(__xludf.DUMMYFUNCTION("""COMPUTED_VALUE"""),45204)</f>
        <v>45204</v>
      </c>
      <c r="M75" s="24" t="str">
        <f ca="1">IFERROR(__xludf.DUMMYFUNCTION("""COMPUTED_VALUE"""),"International")</f>
        <v>International</v>
      </c>
      <c r="N75" s="24">
        <f ca="1">IFERROR(__xludf.DUMMYFUNCTION("""COMPUTED_VALUE"""),1)</f>
        <v>1</v>
      </c>
      <c r="O75" s="24">
        <f ca="1">IFERROR(__xludf.DUMMYFUNCTION("""COMPUTED_VALUE"""),2.98)</f>
        <v>2.98</v>
      </c>
      <c r="P75" s="24" t="str">
        <f ca="1">IFERROR(__xludf.DUMMYFUNCTION("""COMPUTED_VALUE"""),"Yes")</f>
        <v>Yes</v>
      </c>
      <c r="Q75" s="24" t="str">
        <f ca="1">IFERROR(__xludf.DUMMYFUNCTION("""COMPUTED_VALUE"""),"Yes")</f>
        <v>Yes</v>
      </c>
      <c r="R75" s="24" t="str">
        <f ca="1">IFERROR(__xludf.DUMMYFUNCTION("""COMPUTED_VALUE"""),"ภาควิชาจุลชีววิทยาและวิทยาฯ")</f>
        <v>ภาควิชาจุลชีววิทยาและวิทยาฯ</v>
      </c>
      <c r="S75" s="24">
        <f ca="1">IFERROR(__xludf.DUMMYFUNCTION("""COMPUTED_VALUE"""),48)</f>
        <v>48</v>
      </c>
      <c r="T75" s="24" t="str">
        <f ca="1">IFERROR(__xludf.DUMMYFUNCTION("""COMPUTED_VALUE"""),"October")</f>
        <v>October</v>
      </c>
    </row>
    <row r="76" spans="1:20" ht="14.25" hidden="1">
      <c r="A76" s="24">
        <f ca="1">IFERROR(__xludf.DUMMYFUNCTION("""COMPUTED_VALUE"""),2023)</f>
        <v>2023</v>
      </c>
      <c r="B76" s="24">
        <f ca="1">IFERROR(__xludf.DUMMYFUNCTION("""COMPUTED_VALUE"""),630)</f>
        <v>630</v>
      </c>
      <c r="C76" s="24" t="str">
        <f ca="1">IFERROR(__xludf.DUMMYFUNCTION("""COMPUTED_VALUE"""),"Characteristics of canine oral tumors: Insights into prevalence, types, and lesion distribution")</f>
        <v>Characteristics of canine oral tumors: Insights into prevalence, types, and lesion distribution</v>
      </c>
      <c r="D76" s="24">
        <f ca="1">IFERROR(__xludf.DUMMYFUNCTION("""COMPUTED_VALUE"""),5)</f>
        <v>5</v>
      </c>
      <c r="E76" s="24" t="str">
        <f ca="1">IFERROR(__xludf.DUMMYFUNCTION("""COMPUTED_VALUE"""),"2023.630")</f>
        <v>2023.630</v>
      </c>
      <c r="F76" s="24" t="str">
        <f ca="1">IFERROR(__xludf.DUMMYFUNCTION("""COMPUTED_VALUE"""),"Dog")</f>
        <v>Dog</v>
      </c>
      <c r="G76" s="24" t="str">
        <f ca="1">IFERROR(__xludf.DUMMYFUNCTION("""COMPUTED_VALUE"""),"Journal of Advanced Veterinary and Animal Research")</f>
        <v>Journal of Advanced Veterinary and Animal Research</v>
      </c>
      <c r="H76" s="24" t="str">
        <f ca="1">IFERROR(__xludf.DUMMYFUNCTION("""COMPUTED_VALUE"""),"Chakkarin Satthathum")</f>
        <v>Chakkarin Satthathum</v>
      </c>
      <c r="I76" s="24" t="str">
        <f ca="1">IFERROR(__xludf.DUMMYFUNCTION("""COMPUTED_VALUE"""),"FirstAuthor")</f>
        <v>FirstAuthor</v>
      </c>
      <c r="J76" s="24" t="b">
        <f ca="1">IFERROR(__xludf.DUMMYFUNCTION("""COMPUTED_VALUE"""),FALSE)</f>
        <v>0</v>
      </c>
      <c r="K76" s="24" t="b">
        <f ca="1">IFERROR(__xludf.DUMMYFUNCTION("""COMPUTED_VALUE"""),FALSE)</f>
        <v>0</v>
      </c>
      <c r="L76" s="58">
        <f ca="1">IFERROR(__xludf.DUMMYFUNCTION("""COMPUTED_VALUE"""),45199)</f>
        <v>45199</v>
      </c>
      <c r="M76" s="24" t="str">
        <f ca="1">IFERROR(__xludf.DUMMYFUNCTION("""COMPUTED_VALUE"""),"International")</f>
        <v>International</v>
      </c>
      <c r="N76" s="24">
        <f ca="1">IFERROR(__xludf.DUMMYFUNCTION("""COMPUTED_VALUE"""),3)</f>
        <v>3</v>
      </c>
      <c r="O76" s="24">
        <f ca="1">IFERROR(__xludf.DUMMYFUNCTION("""COMPUTED_VALUE"""),1.35)</f>
        <v>1.35</v>
      </c>
      <c r="P76" s="24" t="str">
        <f ca="1">IFERROR(__xludf.DUMMYFUNCTION("""COMPUTED_VALUE"""),"Yes")</f>
        <v>Yes</v>
      </c>
      <c r="Q76" s="24" t="str">
        <f ca="1">IFERROR(__xludf.DUMMYFUNCTION("""COMPUTED_VALUE"""),"Yes")</f>
        <v>Yes</v>
      </c>
      <c r="R76" s="24" t="str">
        <f ca="1">IFERROR(__xludf.DUMMYFUNCTION("""COMPUTED_VALUE"""),"โรงพยาบาลสัตว์ มก. บางเขน")</f>
        <v>โรงพยาบาลสัตว์ มก. บางเขน</v>
      </c>
      <c r="S76" s="24">
        <f ca="1">IFERROR(__xludf.DUMMYFUNCTION("""COMPUTED_VALUE"""),44)</f>
        <v>44</v>
      </c>
      <c r="T76" s="24" t="str">
        <f ca="1">IFERROR(__xludf.DUMMYFUNCTION("""COMPUTED_VALUE"""),"September")</f>
        <v>September</v>
      </c>
    </row>
    <row r="77" spans="1:20" ht="14.25" hidden="1">
      <c r="A77" s="24">
        <f ca="1">IFERROR(__xludf.DUMMYFUNCTION("""COMPUTED_VALUE"""),2023)</f>
        <v>2023</v>
      </c>
      <c r="B77" s="24">
        <f ca="1">IFERROR(__xludf.DUMMYFUNCTION("""COMPUTED_VALUE"""),631)</f>
        <v>631</v>
      </c>
      <c r="C77" s="24" t="str">
        <f ca="1">IFERROR(__xludf.DUMMYFUNCTION("""COMPUTED_VALUE"""),"Elution profiles of metronidazole from calcium sulfate beads")</f>
        <v>Elution profiles of metronidazole from calcium sulfate beads</v>
      </c>
      <c r="D77" s="24">
        <f ca="1">IFERROR(__xludf.DUMMYFUNCTION("""COMPUTED_VALUE"""),2)</f>
        <v>2</v>
      </c>
      <c r="E77" s="24" t="str">
        <f ca="1">IFERROR(__xludf.DUMMYFUNCTION("""COMPUTED_VALUE"""),"2023.631")</f>
        <v>2023.631</v>
      </c>
      <c r="F77" s="24" t="str">
        <f ca="1">IFERROR(__xludf.DUMMYFUNCTION("""COMPUTED_VALUE"""),"Lab")</f>
        <v>Lab</v>
      </c>
      <c r="G77" s="24" t="str">
        <f ca="1">IFERROR(__xludf.DUMMYFUNCTION("""COMPUTED_VALUE"""),"Journal of Veterinary Science")</f>
        <v>Journal of Veterinary Science</v>
      </c>
      <c r="H77" s="24" t="str">
        <f ca="1">IFERROR(__xludf.DUMMYFUNCTION("""COMPUTED_VALUE"""),"Pareeya Udomkusonsri")</f>
        <v>Pareeya Udomkusonsri</v>
      </c>
      <c r="I77" s="24" t="str">
        <f ca="1">IFERROR(__xludf.DUMMYFUNCTION("""COMPUTED_VALUE"""),"CorrespondingAuthor")</f>
        <v>CorrespondingAuthor</v>
      </c>
      <c r="J77" s="24" t="b">
        <f ca="1">IFERROR(__xludf.DUMMYFUNCTION("""COMPUTED_VALUE"""),FALSE)</f>
        <v>0</v>
      </c>
      <c r="K77" s="24" t="b">
        <f ca="1">IFERROR(__xludf.DUMMYFUNCTION("""COMPUTED_VALUE"""),FALSE)</f>
        <v>0</v>
      </c>
      <c r="L77" s="58">
        <f ca="1">IFERROR(__xludf.DUMMYFUNCTION("""COMPUTED_VALUE"""),45187)</f>
        <v>45187</v>
      </c>
      <c r="M77" s="24" t="str">
        <f ca="1">IFERROR(__xludf.DUMMYFUNCTION("""COMPUTED_VALUE"""),"International")</f>
        <v>International</v>
      </c>
      <c r="N77" s="24">
        <f ca="1">IFERROR(__xludf.DUMMYFUNCTION("""COMPUTED_VALUE"""),2)</f>
        <v>2</v>
      </c>
      <c r="O77" s="24">
        <f ca="1">IFERROR(__xludf.DUMMYFUNCTION("""COMPUTED_VALUE"""),1.672)</f>
        <v>1.6719999999999999</v>
      </c>
      <c r="P77" s="24" t="str">
        <f ca="1">IFERROR(__xludf.DUMMYFUNCTION("""COMPUTED_VALUE"""),"Yes")</f>
        <v>Yes</v>
      </c>
      <c r="Q77" s="24" t="str">
        <f ca="1">IFERROR(__xludf.DUMMYFUNCTION("""COMPUTED_VALUE"""),"Yes")</f>
        <v>Yes</v>
      </c>
      <c r="R77" s="24" t="str">
        <f ca="1">IFERROR(__xludf.DUMMYFUNCTION("""COMPUTED_VALUE"""),"ภาควิชาเภสัชวิทยา")</f>
        <v>ภาควิชาเภสัชวิทยา</v>
      </c>
      <c r="S77" s="24">
        <f ca="1">IFERROR(__xludf.DUMMYFUNCTION("""COMPUTED_VALUE"""),57)</f>
        <v>57</v>
      </c>
      <c r="T77" s="24" t="str">
        <f ca="1">IFERROR(__xludf.DUMMYFUNCTION("""COMPUTED_VALUE"""),"September")</f>
        <v>September</v>
      </c>
    </row>
    <row r="78" spans="1:20" ht="14.25" hidden="1">
      <c r="A78" s="24">
        <f ca="1">IFERROR(__xludf.DUMMYFUNCTION("""COMPUTED_VALUE"""),2023)</f>
        <v>2023</v>
      </c>
      <c r="B78" s="24">
        <f ca="1">IFERROR(__xludf.DUMMYFUNCTION("""COMPUTED_VALUE"""),632)</f>
        <v>632</v>
      </c>
      <c r="C78" s="24" t="str">
        <f ca="1">IFERROR(__xludf.DUMMYFUNCTION("""COMPUTED_VALUE"""),"Exploration of the novel fluoroquinolones with high inhibitory effect against quinolone-resistant DNA gyrase of Salmonella Typhimurium")</f>
        <v>Exploration of the novel fluoroquinolones with high inhibitory effect against quinolone-resistant DNA gyrase of Salmonella Typhimurium</v>
      </c>
      <c r="D78" s="24">
        <f ca="1">IFERROR(__xludf.DUMMYFUNCTION("""COMPUTED_VALUE"""),2)</f>
        <v>2</v>
      </c>
      <c r="E78" s="24" t="str">
        <f ca="1">IFERROR(__xludf.DUMMYFUNCTION("""COMPUTED_VALUE"""),"2023.632")</f>
        <v>2023.632</v>
      </c>
      <c r="F78" s="24" t="str">
        <f ca="1">IFERROR(__xludf.DUMMYFUNCTION("""COMPUTED_VALUE"""),"Bacteria")</f>
        <v>Bacteria</v>
      </c>
      <c r="G78" s="24" t="str">
        <f ca="1">IFERROR(__xludf.DUMMYFUNCTION("""COMPUTED_VALUE"""),"Microbiology Spectrum")</f>
        <v>Microbiology Spectrum</v>
      </c>
      <c r="H78" s="24" t="str">
        <f ca="1">IFERROR(__xludf.DUMMYFUNCTION("""COMPUTED_VALUE"""),"Siriporn Kongsoi")</f>
        <v>Siriporn Kongsoi</v>
      </c>
      <c r="I78" s="24" t="str">
        <f ca="1">IFERROR(__xludf.DUMMYFUNCTION("""COMPUTED_VALUE"""),"CoAuthor")</f>
        <v>CoAuthor</v>
      </c>
      <c r="J78" s="24" t="b">
        <f ca="1">IFERROR(__xludf.DUMMYFUNCTION("""COMPUTED_VALUE"""),FALSE)</f>
        <v>0</v>
      </c>
      <c r="K78" s="24" t="b">
        <f ca="1">IFERROR(__xludf.DUMMYFUNCTION("""COMPUTED_VALUE"""),FALSE)</f>
        <v>0</v>
      </c>
      <c r="L78" s="58">
        <f ca="1">IFERROR(__xludf.DUMMYFUNCTION("""COMPUTED_VALUE"""),45204)</f>
        <v>45204</v>
      </c>
      <c r="M78" s="24" t="str">
        <f ca="1">IFERROR(__xludf.DUMMYFUNCTION("""COMPUTED_VALUE"""),"International")</f>
        <v>International</v>
      </c>
      <c r="N78" s="24">
        <f ca="1">IFERROR(__xludf.DUMMYFUNCTION("""COMPUTED_VALUE"""),1)</f>
        <v>1</v>
      </c>
      <c r="O78" s="24">
        <f ca="1">IFERROR(__xludf.DUMMYFUNCTION("""COMPUTED_VALUE"""),9.043)</f>
        <v>9.0429999999999993</v>
      </c>
      <c r="P78" s="24" t="str">
        <f ca="1">IFERROR(__xludf.DUMMYFUNCTION("""COMPUTED_VALUE"""),"Yes")</f>
        <v>Yes</v>
      </c>
      <c r="Q78" s="24" t="str">
        <f ca="1">IFERROR(__xludf.DUMMYFUNCTION("""COMPUTED_VALUE"""),"Yes")</f>
        <v>Yes</v>
      </c>
      <c r="R78" s="24" t="str">
        <f ca="1">IFERROR(__xludf.DUMMYFUNCTION("""COMPUTED_VALUE"""),"ภาควิชาสัตวแพทยสาธารณสุขศาสตร์")</f>
        <v>ภาควิชาสัตวแพทยสาธารณสุขศาสตร์</v>
      </c>
      <c r="S78" s="24">
        <f ca="1">IFERROR(__xludf.DUMMYFUNCTION("""COMPUTED_VALUE"""),47)</f>
        <v>47</v>
      </c>
      <c r="T78" s="24" t="str">
        <f ca="1">IFERROR(__xludf.DUMMYFUNCTION("""COMPUTED_VALUE"""),"October")</f>
        <v>October</v>
      </c>
    </row>
    <row r="79" spans="1:20" ht="14.25" hidden="1">
      <c r="A79" s="24">
        <f ca="1">IFERROR(__xludf.DUMMYFUNCTION("""COMPUTED_VALUE"""),2023)</f>
        <v>2023</v>
      </c>
      <c r="B79" s="24">
        <f ca="1">IFERROR(__xludf.DUMMYFUNCTION("""COMPUTED_VALUE"""),633)</f>
        <v>633</v>
      </c>
      <c r="C79" s="24" t="str">
        <f ca="1">IFERROR(__xludf.DUMMYFUNCTION("""COMPUTED_VALUE"""),"Serum Bile Acids Concentrations and Liver Enzyme Activities after Low-Dose Trilostane in Dogs with Hyperadrenocorticism")</f>
        <v>Serum Bile Acids Concentrations and Liver Enzyme Activities after Low-Dose Trilostane in Dogs with Hyperadrenocorticism</v>
      </c>
      <c r="D79" s="24">
        <f ca="1">IFERROR(__xludf.DUMMYFUNCTION("""COMPUTED_VALUE"""),5)</f>
        <v>5</v>
      </c>
      <c r="E79" s="24" t="str">
        <f ca="1">IFERROR(__xludf.DUMMYFUNCTION("""COMPUTED_VALUE"""),"2023.633")</f>
        <v>2023.633</v>
      </c>
      <c r="F79" s="24" t="str">
        <f ca="1">IFERROR(__xludf.DUMMYFUNCTION("""COMPUTED_VALUE"""),"Dog")</f>
        <v>Dog</v>
      </c>
      <c r="G79" s="24" t="str">
        <f ca="1">IFERROR(__xludf.DUMMYFUNCTION("""COMPUTED_VALUE"""),"Animals")</f>
        <v>Animals</v>
      </c>
      <c r="H79" s="24" t="str">
        <f ca="1">IFERROR(__xludf.DUMMYFUNCTION("""COMPUTED_VALUE"""),"Sathidpak Assawarachan")</f>
        <v>Sathidpak Assawarachan</v>
      </c>
      <c r="I79" s="24" t="str">
        <f ca="1">IFERROR(__xludf.DUMMYFUNCTION("""COMPUTED_VALUE"""),"CorrespondingAuthor")</f>
        <v>CorrespondingAuthor</v>
      </c>
      <c r="J79" s="24" t="b">
        <f ca="1">IFERROR(__xludf.DUMMYFUNCTION("""COMPUTED_VALUE"""),FALSE)</f>
        <v>0</v>
      </c>
      <c r="K79" s="24" t="b">
        <f ca="1">IFERROR(__xludf.DUMMYFUNCTION("""COMPUTED_VALUE"""),FALSE)</f>
        <v>0</v>
      </c>
      <c r="L79" s="58">
        <f ca="1">IFERROR(__xludf.DUMMYFUNCTION("""COMPUTED_VALUE"""),45217)</f>
        <v>45217</v>
      </c>
      <c r="M79" s="24" t="str">
        <f ca="1">IFERROR(__xludf.DUMMYFUNCTION("""COMPUTED_VALUE"""),"International")</f>
        <v>International</v>
      </c>
      <c r="N79" s="24">
        <f ca="1">IFERROR(__xludf.DUMMYFUNCTION("""COMPUTED_VALUE"""),1)</f>
        <v>1</v>
      </c>
      <c r="O79" s="24">
        <f ca="1">IFERROR(__xludf.DUMMYFUNCTION("""COMPUTED_VALUE"""),2.752)</f>
        <v>2.7519999999999998</v>
      </c>
      <c r="P79" s="24" t="str">
        <f ca="1">IFERROR(__xludf.DUMMYFUNCTION("""COMPUTED_VALUE"""),"Yes")</f>
        <v>Yes</v>
      </c>
      <c r="Q79" s="24" t="str">
        <f ca="1">IFERROR(__xludf.DUMMYFUNCTION("""COMPUTED_VALUE"""),"Yes")</f>
        <v>Yes</v>
      </c>
      <c r="R79" s="24" t="str">
        <f ca="1">IFERROR(__xludf.DUMMYFUNCTION("""COMPUTED_VALUE"""),"ภาควิชาเวชศาสตร์คลินิกสัตว์เลี้ยง")</f>
        <v>ภาควิชาเวชศาสตร์คลินิกสัตว์เลี้ยง</v>
      </c>
      <c r="S79" s="24">
        <f ca="1">IFERROR(__xludf.DUMMYFUNCTION("""COMPUTED_VALUE"""),42)</f>
        <v>42</v>
      </c>
      <c r="T79" s="24" t="str">
        <f ca="1">IFERROR(__xludf.DUMMYFUNCTION("""COMPUTED_VALUE"""),"October")</f>
        <v>October</v>
      </c>
    </row>
    <row r="80" spans="1:20" ht="14.25" hidden="1">
      <c r="A80" s="24">
        <f ca="1">IFERROR(__xludf.DUMMYFUNCTION("""COMPUTED_VALUE"""),2023)</f>
        <v>2023</v>
      </c>
      <c r="B80" s="24">
        <f ca="1">IFERROR(__xludf.DUMMYFUNCTION("""COMPUTED_VALUE"""),634)</f>
        <v>634</v>
      </c>
      <c r="C80" s="24" t="str">
        <f ca="1">IFERROR(__xludf.DUMMYFUNCTION("""COMPUTED_VALUE"""),"Non-targeted proteomic analysis of Asian elephant (Elephas maximus) seminal plasma using an in-solution digestion technique and liquid chromatography tandem-mass spectrometry")</f>
        <v>Non-targeted proteomic analysis of Asian elephant (Elephas maximus) seminal plasma using an in-solution digestion technique and liquid chromatography tandem-mass spectrometry</v>
      </c>
      <c r="D80" s="24">
        <f ca="1">IFERROR(__xludf.DUMMYFUNCTION("""COMPUTED_VALUE"""),2)</f>
        <v>2</v>
      </c>
      <c r="E80" s="24" t="str">
        <f ca="1">IFERROR(__xludf.DUMMYFUNCTION("""COMPUTED_VALUE"""),"2023.634")</f>
        <v>2023.634</v>
      </c>
      <c r="F80" s="24" t="str">
        <f ca="1">IFERROR(__xludf.DUMMYFUNCTION("""COMPUTED_VALUE"""),"Elephant")</f>
        <v>Elephant</v>
      </c>
      <c r="G80" s="24" t="str">
        <f ca="1">IFERROR(__xludf.DUMMYFUNCTION("""COMPUTED_VALUE"""),"Frontiers in Veterinary Science")</f>
        <v>Frontiers in Veterinary Science</v>
      </c>
      <c r="H80" s="24" t="str">
        <f ca="1">IFERROR(__xludf.DUMMYFUNCTION("""COMPUTED_VALUE"""),"Podjana Wattananit")</f>
        <v>Podjana Wattananit</v>
      </c>
      <c r="I80" s="24" t="str">
        <f ca="1">IFERROR(__xludf.DUMMYFUNCTION("""COMPUTED_VALUE"""),"FirstAuthor&amp;CorrespondingAuthor")</f>
        <v>FirstAuthor&amp;CorrespondingAuthor</v>
      </c>
      <c r="J80" s="24" t="b">
        <f ca="1">IFERROR(__xludf.DUMMYFUNCTION("""COMPUTED_VALUE"""),FALSE)</f>
        <v>0</v>
      </c>
      <c r="K80" s="24" t="b">
        <f ca="1">IFERROR(__xludf.DUMMYFUNCTION("""COMPUTED_VALUE"""),FALSE)</f>
        <v>0</v>
      </c>
      <c r="L80" s="58">
        <f ca="1">IFERROR(__xludf.DUMMYFUNCTION("""COMPUTED_VALUE"""),45218)</f>
        <v>45218</v>
      </c>
      <c r="M80" s="24" t="str">
        <f ca="1">IFERROR(__xludf.DUMMYFUNCTION("""COMPUTED_VALUE"""),"International")</f>
        <v>International</v>
      </c>
      <c r="N80" s="24">
        <f ca="1">IFERROR(__xludf.DUMMYFUNCTION("""COMPUTED_VALUE"""),1)</f>
        <v>1</v>
      </c>
      <c r="O80" s="24">
        <f ca="1">IFERROR(__xludf.DUMMYFUNCTION("""COMPUTED_VALUE"""),3.12)</f>
        <v>3.12</v>
      </c>
      <c r="P80" s="24" t="str">
        <f ca="1">IFERROR(__xludf.DUMMYFUNCTION("""COMPUTED_VALUE"""),"No")</f>
        <v>No</v>
      </c>
      <c r="Q80" s="24" t="str">
        <f ca="1">IFERROR(__xludf.DUMMYFUNCTION("""COMPUTED_VALUE"""),"Yes")</f>
        <v>Yes</v>
      </c>
      <c r="R80" s="24" t="str">
        <f ca="1">IFERROR(__xludf.DUMMYFUNCTION("""COMPUTED_VALUE"""),"ภาควิชากายวิภาคศาสตร์")</f>
        <v>ภาควิชากายวิภาคศาสตร์</v>
      </c>
      <c r="S80" s="24" t="str">
        <f ca="1">IFERROR(__xludf.DUMMYFUNCTION("""COMPUTED_VALUE"""),"Retire")</f>
        <v>Retire</v>
      </c>
      <c r="T80" s="24" t="str">
        <f ca="1">IFERROR(__xludf.DUMMYFUNCTION("""COMPUTED_VALUE"""),"October")</f>
        <v>October</v>
      </c>
    </row>
    <row r="81" spans="1:20" ht="14.25" hidden="1">
      <c r="A81" s="24">
        <f ca="1">IFERROR(__xludf.DUMMYFUNCTION("""COMPUTED_VALUE"""),2023)</f>
        <v>2023</v>
      </c>
      <c r="B81" s="24">
        <f ca="1">IFERROR(__xludf.DUMMYFUNCTION("""COMPUTED_VALUE"""),635)</f>
        <v>635</v>
      </c>
      <c r="C81" s="24" t="str">
        <f ca="1">IFERROR(__xludf.DUMMYFUNCTION("""COMPUTED_VALUE"""),"From Protected Habitat to Agricultural Land: Dogs and Small Mammals Link Habitats in Northern Thailand")</f>
        <v>From Protected Habitat to Agricultural Land: Dogs and Small Mammals Link Habitats in Northern Thailand</v>
      </c>
      <c r="D81" s="24">
        <f ca="1">IFERROR(__xludf.DUMMYFUNCTION("""COMPUTED_VALUE"""),2)</f>
        <v>2</v>
      </c>
      <c r="E81" s="24" t="str">
        <f ca="1">IFERROR(__xludf.DUMMYFUNCTION("""COMPUTED_VALUE"""),"2023.635")</f>
        <v>2023.635</v>
      </c>
      <c r="F81" s="24" t="str">
        <f ca="1">IFERROR(__xludf.DUMMYFUNCTION("""COMPUTED_VALUE"""),"Dog")</f>
        <v>Dog</v>
      </c>
      <c r="G81" s="24" t="str">
        <f ca="1">IFERROR(__xludf.DUMMYFUNCTION("""COMPUTED_VALUE"""),"Ecologies")</f>
        <v>Ecologies</v>
      </c>
      <c r="H81" s="24" t="str">
        <f ca="1">IFERROR(__xludf.DUMMYFUNCTION("""COMPUTED_VALUE"""),"Waraphon Phimpraphai")</f>
        <v>Waraphon Phimpraphai</v>
      </c>
      <c r="I81" s="24" t="str">
        <f ca="1">IFERROR(__xludf.DUMMYFUNCTION("""COMPUTED_VALUE"""),"CoAuthor")</f>
        <v>CoAuthor</v>
      </c>
      <c r="J81" s="24" t="b">
        <f ca="1">IFERROR(__xludf.DUMMYFUNCTION("""COMPUTED_VALUE"""),FALSE)</f>
        <v>0</v>
      </c>
      <c r="K81" s="24" t="b">
        <f ca="1">IFERROR(__xludf.DUMMYFUNCTION("""COMPUTED_VALUE"""),FALSE)</f>
        <v>0</v>
      </c>
      <c r="L81" s="58">
        <f ca="1">IFERROR(__xludf.DUMMYFUNCTION("""COMPUTED_VALUE"""),45214)</f>
        <v>45214</v>
      </c>
      <c r="M81" s="24" t="str">
        <f ca="1">IFERROR(__xludf.DUMMYFUNCTION("""COMPUTED_VALUE"""),"International")</f>
        <v>International</v>
      </c>
      <c r="N81" s="24">
        <f ca="1">IFERROR(__xludf.DUMMYFUNCTION("""COMPUTED_VALUE"""),0)</f>
        <v>0</v>
      </c>
      <c r="O81" s="24">
        <f ca="1">IFERROR(__xludf.DUMMYFUNCTION("""COMPUTED_VALUE"""),0)</f>
        <v>0</v>
      </c>
      <c r="P81" s="24" t="str">
        <f ca="1">IFERROR(__xludf.DUMMYFUNCTION("""COMPUTED_VALUE"""),"No")</f>
        <v>No</v>
      </c>
      <c r="Q81" s="24" t="str">
        <f ca="1">IFERROR(__xludf.DUMMYFUNCTION("""COMPUTED_VALUE"""),"Yes")</f>
        <v>Yes</v>
      </c>
      <c r="R81" s="24" t="str">
        <f ca="1">IFERROR(__xludf.DUMMYFUNCTION("""COMPUTED_VALUE"""),"ภาควิชาสัตวแพทยสาธารณสุขศาสตร์")</f>
        <v>ภาควิชาสัตวแพทยสาธารณสุขศาสตร์</v>
      </c>
      <c r="S81" s="24">
        <f ca="1">IFERROR(__xludf.DUMMYFUNCTION("""COMPUTED_VALUE"""),50)</f>
        <v>50</v>
      </c>
      <c r="T81" s="24" t="str">
        <f ca="1">IFERROR(__xludf.DUMMYFUNCTION("""COMPUTED_VALUE"""),"October")</f>
        <v>October</v>
      </c>
    </row>
    <row r="82" spans="1:20" ht="14.25" hidden="1">
      <c r="A82" s="24">
        <f ca="1">IFERROR(__xludf.DUMMYFUNCTION("""COMPUTED_VALUE"""),2023)</f>
        <v>2023</v>
      </c>
      <c r="B82" s="24">
        <f ca="1">IFERROR(__xludf.DUMMYFUNCTION("""COMPUTED_VALUE"""),636)</f>
        <v>636</v>
      </c>
      <c r="C82" s="24" t="str">
        <f ca="1">IFERROR(__xludf.DUMMYFUNCTION("""COMPUTED_VALUE"""),"Corneal stromal abscess in a captive Asian elephant: diagnosis and treatment regimes")</f>
        <v>Corneal stromal abscess in a captive Asian elephant: diagnosis and treatment regimes</v>
      </c>
      <c r="D82" s="24">
        <f ca="1">IFERROR(__xludf.DUMMYFUNCTION("""COMPUTED_VALUE"""),5)</f>
        <v>5</v>
      </c>
      <c r="E82" s="24" t="str">
        <f ca="1">IFERROR(__xludf.DUMMYFUNCTION("""COMPUTED_VALUE"""),"2023.636")</f>
        <v>2023.636</v>
      </c>
      <c r="F82" s="24" t="str">
        <f ca="1">IFERROR(__xludf.DUMMYFUNCTION("""COMPUTED_VALUE"""),"Elephant")</f>
        <v>Elephant</v>
      </c>
      <c r="G82" s="24" t="str">
        <f ca="1">IFERROR(__xludf.DUMMYFUNCTION("""COMPUTED_VALUE"""),"Veterinary Integrative Sciences")</f>
        <v>Veterinary Integrative Sciences</v>
      </c>
      <c r="H82" s="24" t="str">
        <f ca="1">IFERROR(__xludf.DUMMYFUNCTION("""COMPUTED_VALUE"""),"Supaphen Sripiboon")</f>
        <v>Supaphen Sripiboon</v>
      </c>
      <c r="I82" s="24" t="str">
        <f ca="1">IFERROR(__xludf.DUMMYFUNCTION("""COMPUTED_VALUE"""),"FirstAuthor")</f>
        <v>FirstAuthor</v>
      </c>
      <c r="J82" s="24" t="b">
        <f ca="1">IFERROR(__xludf.DUMMYFUNCTION("""COMPUTED_VALUE"""),FALSE)</f>
        <v>0</v>
      </c>
      <c r="K82" s="24" t="b">
        <f ca="1">IFERROR(__xludf.DUMMYFUNCTION("""COMPUTED_VALUE"""),FALSE)</f>
        <v>0</v>
      </c>
      <c r="L82" s="58">
        <f ca="1">IFERROR(__xludf.DUMMYFUNCTION("""COMPUTED_VALUE"""),45066)</f>
        <v>45066</v>
      </c>
      <c r="M82" s="24" t="str">
        <f ca="1">IFERROR(__xludf.DUMMYFUNCTION("""COMPUTED_VALUE"""),"International")</f>
        <v>International</v>
      </c>
      <c r="N82" s="24">
        <f ca="1">IFERROR(__xludf.DUMMYFUNCTION("""COMPUTED_VALUE"""),4)</f>
        <v>4</v>
      </c>
      <c r="O82" s="24">
        <f ca="1">IFERROR(__xludf.DUMMYFUNCTION("""COMPUTED_VALUE"""),0)</f>
        <v>0</v>
      </c>
      <c r="P82" s="24" t="str">
        <f ca="1">IFERROR(__xludf.DUMMYFUNCTION("""COMPUTED_VALUE"""),"No")</f>
        <v>No</v>
      </c>
      <c r="Q82" s="24" t="str">
        <f ca="1">IFERROR(__xludf.DUMMYFUNCTION("""COMPUTED_VALUE"""),"Yes")</f>
        <v>Yes</v>
      </c>
      <c r="R82" s="24" t="str">
        <f ca="1">IFERROR(__xludf.DUMMYFUNCTION("""COMPUTED_VALUE"""),"ภาควิชาเวชศาสตร์คลินิกสัตว์ใหญ่และสัตว์ป่า")</f>
        <v>ภาควิชาเวชศาสตร์คลินิกสัตว์ใหญ่และสัตว์ป่า</v>
      </c>
      <c r="S82" s="24">
        <f ca="1">IFERROR(__xludf.DUMMYFUNCTION("""COMPUTED_VALUE"""),41)</f>
        <v>41</v>
      </c>
      <c r="T82" s="24" t="str">
        <f ca="1">IFERROR(__xludf.DUMMYFUNCTION("""COMPUTED_VALUE"""),"May")</f>
        <v>May</v>
      </c>
    </row>
    <row r="83" spans="1:20" ht="14.25" hidden="1">
      <c r="A83" s="24">
        <f ca="1">IFERROR(__xludf.DUMMYFUNCTION("""COMPUTED_VALUE"""),2023)</f>
        <v>2023</v>
      </c>
      <c r="B83" s="24">
        <f ca="1">IFERROR(__xludf.DUMMYFUNCTION("""COMPUTED_VALUE"""),637)</f>
        <v>637</v>
      </c>
      <c r="C83" s="24" t="str">
        <f ca="1">IFERROR(__xludf.DUMMYFUNCTION("""COMPUTED_VALUE"""),"Effectiveness of gilt acclimatization – improvement procedures in a farm with recurrent outbreaks of porcine epidemic diarrhea")</f>
        <v>Effectiveness of gilt acclimatization – improvement procedures in a farm with recurrent outbreaks of porcine epidemic diarrhea</v>
      </c>
      <c r="D83" s="24">
        <f ca="1">IFERROR(__xludf.DUMMYFUNCTION("""COMPUTED_VALUE"""),2)</f>
        <v>2</v>
      </c>
      <c r="E83" s="24" t="str">
        <f ca="1">IFERROR(__xludf.DUMMYFUNCTION("""COMPUTED_VALUE"""),"2023.637")</f>
        <v>2023.637</v>
      </c>
      <c r="F83" s="24" t="str">
        <f ca="1">IFERROR(__xludf.DUMMYFUNCTION("""COMPUTED_VALUE"""),"Porcine ")</f>
        <v xml:space="preserve">Porcine </v>
      </c>
      <c r="G83" s="24" t="str">
        <f ca="1">IFERROR(__xludf.DUMMYFUNCTION("""COMPUTED_VALUE"""),"Veterinary World")</f>
        <v>Veterinary World</v>
      </c>
      <c r="H83" s="24" t="str">
        <f ca="1">IFERROR(__xludf.DUMMYFUNCTION("""COMPUTED_VALUE"""),"Yonlayong Woonwong")</f>
        <v>Yonlayong Woonwong</v>
      </c>
      <c r="I83" s="24" t="str">
        <f ca="1">IFERROR(__xludf.DUMMYFUNCTION("""COMPUTED_VALUE"""),"CorrespondingAuthor")</f>
        <v>CorrespondingAuthor</v>
      </c>
      <c r="J83" s="24" t="b">
        <f ca="1">IFERROR(__xludf.DUMMYFUNCTION("""COMPUTED_VALUE"""),FALSE)</f>
        <v>0</v>
      </c>
      <c r="K83" s="24" t="b">
        <f ca="1">IFERROR(__xludf.DUMMYFUNCTION("""COMPUTED_VALUE"""),TRUE)</f>
        <v>1</v>
      </c>
      <c r="L83" s="58">
        <f ca="1">IFERROR(__xludf.DUMMYFUNCTION("""COMPUTED_VALUE"""),45162)</f>
        <v>45162</v>
      </c>
      <c r="M83" s="24" t="str">
        <f ca="1">IFERROR(__xludf.DUMMYFUNCTION("""COMPUTED_VALUE"""),"International")</f>
        <v>International</v>
      </c>
      <c r="N83" s="24">
        <f ca="1">IFERROR(__xludf.DUMMYFUNCTION("""COMPUTED_VALUE"""),2)</f>
        <v>2</v>
      </c>
      <c r="O83" s="24">
        <f ca="1">IFERROR(__xludf.DUMMYFUNCTION("""COMPUTED_VALUE"""),2.11)</f>
        <v>2.11</v>
      </c>
      <c r="P83" s="24" t="str">
        <f ca="1">IFERROR(__xludf.DUMMYFUNCTION("""COMPUTED_VALUE"""),"No")</f>
        <v>No</v>
      </c>
      <c r="Q83" s="24" t="str">
        <f ca="1">IFERROR(__xludf.DUMMYFUNCTION("""COMPUTED_VALUE"""),"Yes")</f>
        <v>Yes</v>
      </c>
      <c r="R83" s="24" t="str">
        <f ca="1">IFERROR(__xludf.DUMMYFUNCTION("""COMPUTED_VALUE"""),"ภาควิชาเวชศาสตร์และทรัพยากรการผลิตสัตว์")</f>
        <v>ภาควิชาเวชศาสตร์และทรัพยากรการผลิตสัตว์</v>
      </c>
      <c r="S83" s="24">
        <f ca="1">IFERROR(__xludf.DUMMYFUNCTION("""COMPUTED_VALUE"""),40)</f>
        <v>40</v>
      </c>
      <c r="T83" s="24" t="str">
        <f ca="1">IFERROR(__xludf.DUMMYFUNCTION("""COMPUTED_VALUE"""),"August")</f>
        <v>August</v>
      </c>
    </row>
    <row r="84" spans="1:20" ht="14.25" hidden="1">
      <c r="A84" s="24">
        <f ca="1">IFERROR(__xludf.DUMMYFUNCTION("""COMPUTED_VALUE"""),2023)</f>
        <v>2023</v>
      </c>
      <c r="B84" s="24">
        <f ca="1">IFERROR(__xludf.DUMMYFUNCTION("""COMPUTED_VALUE"""),638)</f>
        <v>638</v>
      </c>
      <c r="C84" s="24" t="str">
        <f ca="1">IFERROR(__xludf.DUMMYFUNCTION("""COMPUTED_VALUE"""),"ICTV Virus Taxonomy Profile: Amnoonviridae 2023")</f>
        <v>ICTV Virus Taxonomy Profile: Amnoonviridae 2023</v>
      </c>
      <c r="D84" s="24">
        <f ca="1">IFERROR(__xludf.DUMMYFUNCTION("""COMPUTED_VALUE"""),2)</f>
        <v>2</v>
      </c>
      <c r="E84" s="24" t="str">
        <f ca="1">IFERROR(__xludf.DUMMYFUNCTION("""COMPUTED_VALUE"""),"2023.638")</f>
        <v>2023.638</v>
      </c>
      <c r="F84" s="24" t="str">
        <f ca="1">IFERROR(__xludf.DUMMYFUNCTION("""COMPUTED_VALUE"""),"Fish")</f>
        <v>Fish</v>
      </c>
      <c r="G84" s="24" t="str">
        <f ca="1">IFERROR(__xludf.DUMMYFUNCTION("""COMPUTED_VALUE"""),"Journal of General Virology")</f>
        <v>Journal of General Virology</v>
      </c>
      <c r="H84" s="24" t="str">
        <f ca="1">IFERROR(__xludf.DUMMYFUNCTION("""COMPUTED_VALUE"""),"Win Surachetpong")</f>
        <v>Win Surachetpong</v>
      </c>
      <c r="I84" s="24" t="str">
        <f ca="1">IFERROR(__xludf.DUMMYFUNCTION("""COMPUTED_VALUE"""),"CoAuthor")</f>
        <v>CoAuthor</v>
      </c>
      <c r="J84" s="24" t="b">
        <f ca="1">IFERROR(__xludf.DUMMYFUNCTION("""COMPUTED_VALUE"""),FALSE)</f>
        <v>0</v>
      </c>
      <c r="K84" s="24" t="b">
        <f ca="1">IFERROR(__xludf.DUMMYFUNCTION("""COMPUTED_VALUE"""),FALSE)</f>
        <v>0</v>
      </c>
      <c r="L84" s="58">
        <f ca="1">IFERROR(__xludf.DUMMYFUNCTION("""COMPUTED_VALUE"""),45223)</f>
        <v>45223</v>
      </c>
      <c r="M84" s="24" t="str">
        <f ca="1">IFERROR(__xludf.DUMMYFUNCTION("""COMPUTED_VALUE"""),"International")</f>
        <v>International</v>
      </c>
      <c r="N84" s="24">
        <f ca="1">IFERROR(__xludf.DUMMYFUNCTION("""COMPUTED_VALUE"""),2)</f>
        <v>2</v>
      </c>
      <c r="O84" s="24">
        <f ca="1">IFERROR(__xludf.DUMMYFUNCTION("""COMPUTED_VALUE"""),2.7)</f>
        <v>2.7</v>
      </c>
      <c r="P84" s="24" t="str">
        <f ca="1">IFERROR(__xludf.DUMMYFUNCTION("""COMPUTED_VALUE"""),"Yes")</f>
        <v>Yes</v>
      </c>
      <c r="Q84" s="24" t="str">
        <f ca="1">IFERROR(__xludf.DUMMYFUNCTION("""COMPUTED_VALUE"""),"Yes")</f>
        <v>Yes</v>
      </c>
      <c r="R84" s="24" t="str">
        <f ca="1">IFERROR(__xludf.DUMMYFUNCTION("""COMPUTED_VALUE"""),"ภาควิชาจุลชีววิทยาและวิทยาฯ")</f>
        <v>ภาควิชาจุลชีววิทยาและวิทยาฯ</v>
      </c>
      <c r="S84" s="24">
        <f ca="1">IFERROR(__xludf.DUMMYFUNCTION("""COMPUTED_VALUE"""),48)</f>
        <v>48</v>
      </c>
      <c r="T84" s="24" t="str">
        <f ca="1">IFERROR(__xludf.DUMMYFUNCTION("""COMPUTED_VALUE"""),"October")</f>
        <v>October</v>
      </c>
    </row>
    <row r="85" spans="1:20" ht="14.25" hidden="1">
      <c r="A85" s="24">
        <f ca="1">IFERROR(__xludf.DUMMYFUNCTION("""COMPUTED_VALUE"""),2023)</f>
        <v>2023</v>
      </c>
      <c r="B85" s="24">
        <f ca="1">IFERROR(__xludf.DUMMYFUNCTION("""COMPUTED_VALUE"""),639)</f>
        <v>639</v>
      </c>
      <c r="C85" s="24" t="str">
        <f ca="1">IFERROR(__xludf.DUMMYFUNCTION("""COMPUTED_VALUE"""),"Avian influenza vaccine supply chain in Quang Ninh province, Vietnam, 2021")</f>
        <v>Avian influenza vaccine supply chain in Quang Ninh province, Vietnam, 2021</v>
      </c>
      <c r="D85" s="24">
        <f ca="1">IFERROR(__xludf.DUMMYFUNCTION("""COMPUTED_VALUE"""),4)</f>
        <v>4</v>
      </c>
      <c r="E85" s="24" t="str">
        <f ca="1">IFERROR(__xludf.DUMMYFUNCTION("""COMPUTED_VALUE"""),"2023.639")</f>
        <v>2023.639</v>
      </c>
      <c r="F85" s="24" t="str">
        <f ca="1">IFERROR(__xludf.DUMMYFUNCTION("""COMPUTED_VALUE"""),"Avian")</f>
        <v>Avian</v>
      </c>
      <c r="G85" s="24" t="str">
        <f ca="1">IFERROR(__xludf.DUMMYFUNCTION("""COMPUTED_VALUE"""),"Veterinary Integrative Sciences")</f>
        <v>Veterinary Integrative Sciences</v>
      </c>
      <c r="H85" s="24" t="str">
        <f ca="1">IFERROR(__xludf.DUMMYFUNCTION("""COMPUTED_VALUE"""),"Manakorn Sukmak")</f>
        <v>Manakorn Sukmak</v>
      </c>
      <c r="I85" s="24" t="str">
        <f ca="1">IFERROR(__xludf.DUMMYFUNCTION("""COMPUTED_VALUE"""),"CoAuthor")</f>
        <v>CoAuthor</v>
      </c>
      <c r="J85" s="24" t="b">
        <f ca="1">IFERROR(__xludf.DUMMYFUNCTION("""COMPUTED_VALUE"""),FALSE)</f>
        <v>0</v>
      </c>
      <c r="K85" s="24" t="b">
        <f ca="1">IFERROR(__xludf.DUMMYFUNCTION("""COMPUTED_VALUE"""),FALSE)</f>
        <v>0</v>
      </c>
      <c r="L85" s="58">
        <f ca="1">IFERROR(__xludf.DUMMYFUNCTION("""COMPUTED_VALUE"""),45124)</f>
        <v>45124</v>
      </c>
      <c r="M85" s="24" t="str">
        <f ca="1">IFERROR(__xludf.DUMMYFUNCTION("""COMPUTED_VALUE"""),"International")</f>
        <v>International</v>
      </c>
      <c r="N85" s="24">
        <f ca="1">IFERROR(__xludf.DUMMYFUNCTION("""COMPUTED_VALUE"""),4)</f>
        <v>4</v>
      </c>
      <c r="O85" s="24">
        <f ca="1">IFERROR(__xludf.DUMMYFUNCTION("""COMPUTED_VALUE"""),0)</f>
        <v>0</v>
      </c>
      <c r="P85" s="24" t="str">
        <f ca="1">IFERROR(__xludf.DUMMYFUNCTION("""COMPUTED_VALUE"""),"No")</f>
        <v>No</v>
      </c>
      <c r="Q85" s="24" t="str">
        <f ca="1">IFERROR(__xludf.DUMMYFUNCTION("""COMPUTED_VALUE"""),"Yes")</f>
        <v>Yes</v>
      </c>
      <c r="R85" s="24" t="str">
        <f ca="1">IFERROR(__xludf.DUMMYFUNCTION("""COMPUTED_VALUE"""),"ภาควิชาเวชศาสตร์และทรัพยากรการผลิตสัตว์")</f>
        <v>ภาควิชาเวชศาสตร์และทรัพยากรการผลิตสัตว์</v>
      </c>
      <c r="S85" s="24">
        <f ca="1">IFERROR(__xludf.DUMMYFUNCTION("""COMPUTED_VALUE"""),42)</f>
        <v>42</v>
      </c>
      <c r="T85" s="24" t="str">
        <f ca="1">IFERROR(__xludf.DUMMYFUNCTION("""COMPUTED_VALUE"""),"July")</f>
        <v>July</v>
      </c>
    </row>
    <row r="86" spans="1:20" ht="14.25" hidden="1">
      <c r="A86" s="24">
        <f ca="1">IFERROR(__xludf.DUMMYFUNCTION("""COMPUTED_VALUE"""),2023)</f>
        <v>2023</v>
      </c>
      <c r="B86" s="24">
        <f ca="1">IFERROR(__xludf.DUMMYFUNCTION("""COMPUTED_VALUE"""),640)</f>
        <v>640</v>
      </c>
      <c r="C86" s="24" t="str">
        <f ca="1">IFERROR(__xludf.DUMMYFUNCTION("""COMPUTED_VALUE"""),"The Impact of Substitutions at Positions 1 and 8 of Fluoroquinolones on the Activity Against Mutant DNA Gyrases of Salmonella Typhimurium")</f>
        <v>The Impact of Substitutions at Positions 1 and 8 of Fluoroquinolones on the Activity Against Mutant DNA Gyrases of Salmonella Typhimurium</v>
      </c>
      <c r="D86" s="24">
        <f ca="1">IFERROR(__xludf.DUMMYFUNCTION("""COMPUTED_VALUE"""),2)</f>
        <v>2</v>
      </c>
      <c r="E86" s="24" t="str">
        <f ca="1">IFERROR(__xludf.DUMMYFUNCTION("""COMPUTED_VALUE"""),"2023.640")</f>
        <v>2023.640</v>
      </c>
      <c r="F86" s="24" t="str">
        <f ca="1">IFERROR(__xludf.DUMMYFUNCTION("""COMPUTED_VALUE"""),"Bacteria")</f>
        <v>Bacteria</v>
      </c>
      <c r="G86" s="24" t="str">
        <f ca="1">IFERROR(__xludf.DUMMYFUNCTION("""COMPUTED_VALUE"""),"Microbial Drug Resistance")</f>
        <v>Microbial Drug Resistance</v>
      </c>
      <c r="H86" s="24" t="str">
        <f ca="1">IFERROR(__xludf.DUMMYFUNCTION("""COMPUTED_VALUE"""),"Siriporn Kongsoi")</f>
        <v>Siriporn Kongsoi</v>
      </c>
      <c r="I86" s="24" t="str">
        <f ca="1">IFERROR(__xludf.DUMMYFUNCTION("""COMPUTED_VALUE"""),"CoAuthor")</f>
        <v>CoAuthor</v>
      </c>
      <c r="J86" s="24" t="b">
        <f ca="1">IFERROR(__xludf.DUMMYFUNCTION("""COMPUTED_VALUE"""),FALSE)</f>
        <v>0</v>
      </c>
      <c r="K86" s="24" t="b">
        <f ca="1">IFERROR(__xludf.DUMMYFUNCTION("""COMPUTED_VALUE"""),FALSE)</f>
        <v>0</v>
      </c>
      <c r="L86" s="58">
        <f ca="1">IFERROR(__xludf.DUMMYFUNCTION("""COMPUTED_VALUE"""),45268)</f>
        <v>45268</v>
      </c>
      <c r="M86" s="24" t="str">
        <f ca="1">IFERROR(__xludf.DUMMYFUNCTION("""COMPUTED_VALUE"""),"International")</f>
        <v>International</v>
      </c>
      <c r="N86" s="24">
        <f ca="1">IFERROR(__xludf.DUMMYFUNCTION("""COMPUTED_VALUE"""),2)</f>
        <v>2</v>
      </c>
      <c r="O86" s="24">
        <f ca="1">IFERROR(__xludf.DUMMYFUNCTION("""COMPUTED_VALUE"""),3.431)</f>
        <v>3.431</v>
      </c>
      <c r="P86" s="24" t="str">
        <f ca="1">IFERROR(__xludf.DUMMYFUNCTION("""COMPUTED_VALUE"""),"Yes")</f>
        <v>Yes</v>
      </c>
      <c r="Q86" s="24" t="str">
        <f ca="1">IFERROR(__xludf.DUMMYFUNCTION("""COMPUTED_VALUE"""),"Yes")</f>
        <v>Yes</v>
      </c>
      <c r="R86" s="24" t="str">
        <f ca="1">IFERROR(__xludf.DUMMYFUNCTION("""COMPUTED_VALUE"""),"ภาควิชาสัตวแพทยสาธารณสุขศาสตร์")</f>
        <v>ภาควิชาสัตวแพทยสาธารณสุขศาสตร์</v>
      </c>
      <c r="S86" s="24">
        <f ca="1">IFERROR(__xludf.DUMMYFUNCTION("""COMPUTED_VALUE"""),47)</f>
        <v>47</v>
      </c>
      <c r="T86" s="24" t="str">
        <f ca="1">IFERROR(__xludf.DUMMYFUNCTION("""COMPUTED_VALUE"""),"December")</f>
        <v>December</v>
      </c>
    </row>
    <row r="87" spans="1:20" ht="14.25" hidden="1">
      <c r="A87" s="24">
        <f ca="1">IFERROR(__xludf.DUMMYFUNCTION("""COMPUTED_VALUE"""),2023)</f>
        <v>2023</v>
      </c>
      <c r="B87" s="24">
        <f ca="1">IFERROR(__xludf.DUMMYFUNCTION("""COMPUTED_VALUE"""),641)</f>
        <v>641</v>
      </c>
      <c r="C87" s="24" t="str">
        <f ca="1">IFERROR(__xludf.DUMMYFUNCTION("""COMPUTED_VALUE"""),"Pharmacokinetics and antibacterial activity of tiamulin after single and multiple oral administrations in geese")</f>
        <v>Pharmacokinetics and antibacterial activity of tiamulin after single and multiple oral administrations in geese</v>
      </c>
      <c r="D87" s="24">
        <f ca="1">IFERROR(__xludf.DUMMYFUNCTION("""COMPUTED_VALUE"""),2)</f>
        <v>2</v>
      </c>
      <c r="E87" s="24" t="str">
        <f ca="1">IFERROR(__xludf.DUMMYFUNCTION("""COMPUTED_VALUE"""),"2023.641")</f>
        <v>2023.641</v>
      </c>
      <c r="F87" s="24" t="str">
        <f ca="1">IFERROR(__xludf.DUMMYFUNCTION("""COMPUTED_VALUE"""),"Geese")</f>
        <v>Geese</v>
      </c>
      <c r="G87" s="24" t="str">
        <f ca="1">IFERROR(__xludf.DUMMYFUNCTION("""COMPUTED_VALUE"""),"Veterinary and Animal Science")</f>
        <v>Veterinary and Animal Science</v>
      </c>
      <c r="H87" s="24" t="str">
        <f ca="1">IFERROR(__xludf.DUMMYFUNCTION("""COMPUTED_VALUE"""),"Amnart Poapolathep")</f>
        <v>Amnart Poapolathep</v>
      </c>
      <c r="I87" s="24" t="str">
        <f ca="1">IFERROR(__xludf.DUMMYFUNCTION("""COMPUTED_VALUE"""),"CoAuthor")</f>
        <v>CoAuthor</v>
      </c>
      <c r="J87" s="24" t="b">
        <f ca="1">IFERROR(__xludf.DUMMYFUNCTION("""COMPUTED_VALUE"""),FALSE)</f>
        <v>0</v>
      </c>
      <c r="K87" s="24" t="b">
        <f ca="1">IFERROR(__xludf.DUMMYFUNCTION("""COMPUTED_VALUE"""),FALSE)</f>
        <v>0</v>
      </c>
      <c r="L87" s="58">
        <f ca="1">IFERROR(__xludf.DUMMYFUNCTION("""COMPUTED_VALUE"""),45220)</f>
        <v>45220</v>
      </c>
      <c r="M87" s="24" t="str">
        <f ca="1">IFERROR(__xludf.DUMMYFUNCTION("""COMPUTED_VALUE"""),"International")</f>
        <v>International</v>
      </c>
      <c r="N87" s="24">
        <f ca="1">IFERROR(__xludf.DUMMYFUNCTION("""COMPUTED_VALUE"""),2)</f>
        <v>2</v>
      </c>
      <c r="O87" s="24">
        <f ca="1">IFERROR(__xludf.DUMMYFUNCTION("""COMPUTED_VALUE"""),1.82)</f>
        <v>1.82</v>
      </c>
      <c r="P87" s="24" t="str">
        <f ca="1">IFERROR(__xludf.DUMMYFUNCTION("""COMPUTED_VALUE"""),"Yes")</f>
        <v>Yes</v>
      </c>
      <c r="Q87" s="24" t="str">
        <f ca="1">IFERROR(__xludf.DUMMYFUNCTION("""COMPUTED_VALUE"""),"Yes")</f>
        <v>Yes</v>
      </c>
      <c r="R87" s="24" t="str">
        <f ca="1">IFERROR(__xludf.DUMMYFUNCTION("""COMPUTED_VALUE"""),"ภาควิชาเภสัชวิทยา")</f>
        <v>ภาควิชาเภสัชวิทยา</v>
      </c>
      <c r="S87" s="24">
        <f ca="1">IFERROR(__xludf.DUMMYFUNCTION("""COMPUTED_VALUE"""),54)</f>
        <v>54</v>
      </c>
      <c r="T87" s="24" t="str">
        <f ca="1">IFERROR(__xludf.DUMMYFUNCTION("""COMPUTED_VALUE"""),"October")</f>
        <v>October</v>
      </c>
    </row>
    <row r="88" spans="1:20" ht="14.25" hidden="1">
      <c r="A88" s="24">
        <f ca="1">IFERROR(__xludf.DUMMYFUNCTION("""COMPUTED_VALUE"""),2023)</f>
        <v>2023</v>
      </c>
      <c r="B88" s="24">
        <f ca="1">IFERROR(__xludf.DUMMYFUNCTION("""COMPUTED_VALUE"""),642)</f>
        <v>642</v>
      </c>
      <c r="C88" s="24" t="str">
        <f ca="1">IFERROR(__xludf.DUMMYFUNCTION("""COMPUTED_VALUE"""),"Spatiotemporal patterns of rabid dogs and cats and the opinions of personnel responsible for disease control in Thailand")</f>
        <v>Spatiotemporal patterns of rabid dogs and cats and the opinions of personnel responsible for disease control in Thailand</v>
      </c>
      <c r="D88" s="24">
        <f ca="1">IFERROR(__xludf.DUMMYFUNCTION("""COMPUTED_VALUE"""),2)</f>
        <v>2</v>
      </c>
      <c r="E88" s="24" t="str">
        <f ca="1">IFERROR(__xludf.DUMMYFUNCTION("""COMPUTED_VALUE"""),"2023.642")</f>
        <v>2023.642</v>
      </c>
      <c r="F88" s="24" t="str">
        <f ca="1">IFERROR(__xludf.DUMMYFUNCTION("""COMPUTED_VALUE"""),"Dog Cat")</f>
        <v>Dog Cat</v>
      </c>
      <c r="G88" s="24" t="str">
        <f ca="1">IFERROR(__xludf.DUMMYFUNCTION("""COMPUTED_VALUE"""),"Heliyon")</f>
        <v>Heliyon</v>
      </c>
      <c r="H88" s="24" t="str">
        <f ca="1">IFERROR(__xludf.DUMMYFUNCTION("""COMPUTED_VALUE"""),"Chaithep Poolkhet")</f>
        <v>Chaithep Poolkhet</v>
      </c>
      <c r="I88" s="24" t="str">
        <f ca="1">IFERROR(__xludf.DUMMYFUNCTION("""COMPUTED_VALUE"""),"CorrespondingAuthor")</f>
        <v>CorrespondingAuthor</v>
      </c>
      <c r="J88" s="24" t="b">
        <f ca="1">IFERROR(__xludf.DUMMYFUNCTION("""COMPUTED_VALUE"""),FALSE)</f>
        <v>0</v>
      </c>
      <c r="K88" s="24" t="b">
        <f ca="1">IFERROR(__xludf.DUMMYFUNCTION("""COMPUTED_VALUE"""),FALSE)</f>
        <v>0</v>
      </c>
      <c r="L88" s="58">
        <f ca="1">IFERROR(__xludf.DUMMYFUNCTION("""COMPUTED_VALUE"""),45221)</f>
        <v>45221</v>
      </c>
      <c r="M88" s="24" t="str">
        <f ca="1">IFERROR(__xludf.DUMMYFUNCTION("""COMPUTED_VALUE"""),"International")</f>
        <v>International</v>
      </c>
      <c r="N88" s="24">
        <f ca="1">IFERROR(__xludf.DUMMYFUNCTION("""COMPUTED_VALUE"""),1)</f>
        <v>1</v>
      </c>
      <c r="O88" s="24">
        <f ca="1">IFERROR(__xludf.DUMMYFUNCTION("""COMPUTED_VALUE"""),2.85)</f>
        <v>2.85</v>
      </c>
      <c r="P88" s="24" t="str">
        <f ca="1">IFERROR(__xludf.DUMMYFUNCTION("""COMPUTED_VALUE"""),"Yes")</f>
        <v>Yes</v>
      </c>
      <c r="Q88" s="24" t="str">
        <f ca="1">IFERROR(__xludf.DUMMYFUNCTION("""COMPUTED_VALUE"""),"Yes")</f>
        <v>Yes</v>
      </c>
      <c r="R88" s="24" t="str">
        <f ca="1">IFERROR(__xludf.DUMMYFUNCTION("""COMPUTED_VALUE"""),"ภาควิชาสัตวแพทยสาธารณสุขศาสตร์")</f>
        <v>ภาควิชาสัตวแพทยสาธารณสุขศาสตร์</v>
      </c>
      <c r="S88" s="24">
        <f ca="1">IFERROR(__xludf.DUMMYFUNCTION("""COMPUTED_VALUE"""),51)</f>
        <v>51</v>
      </c>
      <c r="T88" s="24" t="str">
        <f ca="1">IFERROR(__xludf.DUMMYFUNCTION("""COMPUTED_VALUE"""),"October")</f>
        <v>October</v>
      </c>
    </row>
    <row r="89" spans="1:20" ht="14.25" hidden="1">
      <c r="A89" s="24">
        <f ca="1">IFERROR(__xludf.DUMMYFUNCTION("""COMPUTED_VALUE"""),2023)</f>
        <v>2023</v>
      </c>
      <c r="B89" s="24">
        <f ca="1">IFERROR(__xludf.DUMMYFUNCTION("""COMPUTED_VALUE"""),643)</f>
        <v>643</v>
      </c>
      <c r="C89" s="24" t="str">
        <f ca="1">IFERROR(__xludf.DUMMYFUNCTION("""COMPUTED_VALUE"""),"High-resolution melting analysis for simultaneous detection and discrimination between wild-type and vaccine strains of feline calicivirus")</f>
        <v>High-resolution melting analysis for simultaneous detection and discrimination between wild-type and vaccine strains of feline calicivirus</v>
      </c>
      <c r="D89" s="24">
        <f ca="1">IFERROR(__xludf.DUMMYFUNCTION("""COMPUTED_VALUE"""),4)</f>
        <v>4</v>
      </c>
      <c r="E89" s="24" t="str">
        <f ca="1">IFERROR(__xludf.DUMMYFUNCTION("""COMPUTED_VALUE"""),"2023.643")</f>
        <v>2023.643</v>
      </c>
      <c r="F89" s="24" t="str">
        <f ca="1">IFERROR(__xludf.DUMMYFUNCTION("""COMPUTED_VALUE"""),"Cat")</f>
        <v>Cat</v>
      </c>
      <c r="G89" s="24" t="str">
        <f ca="1">IFERROR(__xludf.DUMMYFUNCTION("""COMPUTED_VALUE"""),"Veterinary Quarterly")</f>
        <v>Veterinary Quarterly</v>
      </c>
      <c r="H89" s="24" t="str">
        <f ca="1">IFERROR(__xludf.DUMMYFUNCTION("""COMPUTED_VALUE"""),"Jatuporn Rattanasrisomporn")</f>
        <v>Jatuporn Rattanasrisomporn</v>
      </c>
      <c r="I89" s="24" t="str">
        <f ca="1">IFERROR(__xludf.DUMMYFUNCTION("""COMPUTED_VALUE"""),"CoAuthor")</f>
        <v>CoAuthor</v>
      </c>
      <c r="J89" s="24" t="b">
        <f ca="1">IFERROR(__xludf.DUMMYFUNCTION("""COMPUTED_VALUE"""),FALSE)</f>
        <v>0</v>
      </c>
      <c r="K89" s="24" t="b">
        <f ca="1">IFERROR(__xludf.DUMMYFUNCTION("""COMPUTED_VALUE"""),FALSE)</f>
        <v>0</v>
      </c>
      <c r="L89" s="58">
        <f ca="1">IFERROR(__xludf.DUMMYFUNCTION("""COMPUTED_VALUE"""),45212)</f>
        <v>45212</v>
      </c>
      <c r="M89" s="24" t="str">
        <f ca="1">IFERROR(__xludf.DUMMYFUNCTION("""COMPUTED_VALUE"""),"International")</f>
        <v>International</v>
      </c>
      <c r="N89" s="24">
        <f ca="1">IFERROR(__xludf.DUMMYFUNCTION("""COMPUTED_VALUE"""),1)</f>
        <v>1</v>
      </c>
      <c r="O89" s="24">
        <f ca="1">IFERROR(__xludf.DUMMYFUNCTION("""COMPUTED_VALUE"""),6.4)</f>
        <v>6.4</v>
      </c>
      <c r="P89" s="24" t="str">
        <f ca="1">IFERROR(__xludf.DUMMYFUNCTION("""COMPUTED_VALUE"""),"Yes")</f>
        <v>Yes</v>
      </c>
      <c r="Q89" s="24" t="str">
        <f ca="1">IFERROR(__xludf.DUMMYFUNCTION("""COMPUTED_VALUE"""),"Yes")</f>
        <v>Yes</v>
      </c>
      <c r="R89" s="24" t="str">
        <f ca="1">IFERROR(__xludf.DUMMYFUNCTION("""COMPUTED_VALUE"""),"ภาควิชาเวชศาสตร์คลินิกสัตว์เลี้ยง")</f>
        <v>ภาควิชาเวชศาสตร์คลินิกสัตว์เลี้ยง</v>
      </c>
      <c r="S89" s="24">
        <f ca="1">IFERROR(__xludf.DUMMYFUNCTION("""COMPUTED_VALUE"""),52)</f>
        <v>52</v>
      </c>
      <c r="T89" s="24" t="str">
        <f ca="1">IFERROR(__xludf.DUMMYFUNCTION("""COMPUTED_VALUE"""),"October")</f>
        <v>October</v>
      </c>
    </row>
    <row r="90" spans="1:20" ht="14.25" hidden="1">
      <c r="A90" s="24">
        <f ca="1">IFERROR(__xludf.DUMMYFUNCTION("""COMPUTED_VALUE"""),2023)</f>
        <v>2023</v>
      </c>
      <c r="B90" s="24">
        <f ca="1">IFERROR(__xludf.DUMMYFUNCTION("""COMPUTED_VALUE"""),644)</f>
        <v>644</v>
      </c>
      <c r="C90" s="24" t="str">
        <f ca="1">IFERROR(__xludf.DUMMYFUNCTION("""COMPUTED_VALUE"""),"Fortification of dietary fiber in cassava pulp by conversion of the remaining starch to resistant starch")</f>
        <v>Fortification of dietary fiber in cassava pulp by conversion of the remaining starch to resistant starch</v>
      </c>
      <c r="D90" s="24">
        <f ca="1">IFERROR(__xludf.DUMMYFUNCTION("""COMPUTED_VALUE"""),2)</f>
        <v>2</v>
      </c>
      <c r="E90" s="24" t="str">
        <f ca="1">IFERROR(__xludf.DUMMYFUNCTION("""COMPUTED_VALUE"""),"2023.644")</f>
        <v>2023.644</v>
      </c>
      <c r="F90" s="24" t="str">
        <f ca="1">IFERROR(__xludf.DUMMYFUNCTION("""COMPUTED_VALUE"""),"Lab")</f>
        <v>Lab</v>
      </c>
      <c r="G90" s="24" t="str">
        <f ca="1">IFERROR(__xludf.DUMMYFUNCTION("""COMPUTED_VALUE"""),"Future Foods")</f>
        <v>Future Foods</v>
      </c>
      <c r="H90" s="24" t="str">
        <f ca="1">IFERROR(__xludf.DUMMYFUNCTION("""COMPUTED_VALUE"""),"Montri Pattarapanawan")</f>
        <v>Montri Pattarapanawan</v>
      </c>
      <c r="I90" s="24" t="str">
        <f ca="1">IFERROR(__xludf.DUMMYFUNCTION("""COMPUTED_VALUE"""),"CoAuthor")</f>
        <v>CoAuthor</v>
      </c>
      <c r="J90" s="24" t="b">
        <f ca="1">IFERROR(__xludf.DUMMYFUNCTION("""COMPUTED_VALUE"""),FALSE)</f>
        <v>0</v>
      </c>
      <c r="K90" s="24" t="b">
        <f ca="1">IFERROR(__xludf.DUMMYFUNCTION("""COMPUTED_VALUE"""),FALSE)</f>
        <v>0</v>
      </c>
      <c r="L90" s="58">
        <f ca="1">IFERROR(__xludf.DUMMYFUNCTION("""COMPUTED_VALUE"""),45229)</f>
        <v>45229</v>
      </c>
      <c r="M90" s="24" t="str">
        <f ca="1">IFERROR(__xludf.DUMMYFUNCTION("""COMPUTED_VALUE"""),"International")</f>
        <v>International</v>
      </c>
      <c r="N90" s="24">
        <f ca="1">IFERROR(__xludf.DUMMYFUNCTION("""COMPUTED_VALUE"""),1)</f>
        <v>1</v>
      </c>
      <c r="O90" s="24">
        <f ca="1">IFERROR(__xludf.DUMMYFUNCTION("""COMPUTED_VALUE"""),5.7)</f>
        <v>5.7</v>
      </c>
      <c r="P90" s="24" t="str">
        <f ca="1">IFERROR(__xludf.DUMMYFUNCTION("""COMPUTED_VALUE"""),"No")</f>
        <v>No</v>
      </c>
      <c r="Q90" s="24" t="str">
        <f ca="1">IFERROR(__xludf.DUMMYFUNCTION("""COMPUTED_VALUE"""),"Yes")</f>
        <v>Yes</v>
      </c>
      <c r="R90" s="24" t="str">
        <f ca="1">IFERROR(__xludf.DUMMYFUNCTION("""COMPUTED_VALUE"""),"ภาควิชากายวิภาคศาสตร์")</f>
        <v>ภาควิชากายวิภาคศาสตร์</v>
      </c>
      <c r="S90" s="24">
        <f ca="1">IFERROR(__xludf.DUMMYFUNCTION("""COMPUTED_VALUE"""),40)</f>
        <v>40</v>
      </c>
      <c r="T90" s="24" t="str">
        <f ca="1">IFERROR(__xludf.DUMMYFUNCTION("""COMPUTED_VALUE"""),"October")</f>
        <v>October</v>
      </c>
    </row>
    <row r="91" spans="1:20" ht="14.25" hidden="1">
      <c r="A91" s="24">
        <f ca="1">IFERROR(__xludf.DUMMYFUNCTION("""COMPUTED_VALUE"""),2023)</f>
        <v>2023</v>
      </c>
      <c r="B91" s="24">
        <f ca="1">IFERROR(__xludf.DUMMYFUNCTION("""COMPUTED_VALUE"""),645)</f>
        <v>645</v>
      </c>
      <c r="C91" s="24" t="str">
        <f ca="1">IFERROR(__xludf.DUMMYFUNCTION("""COMPUTED_VALUE"""),"Disclosing the hidden nucleotide sequences: a journey into DNA barcoding of raptor species in public repositories")</f>
        <v>Disclosing the hidden nucleotide sequences: a journey into DNA barcoding of raptor species in public repositories</v>
      </c>
      <c r="D91" s="24">
        <f ca="1">IFERROR(__xludf.DUMMYFUNCTION("""COMPUTED_VALUE"""),2)</f>
        <v>2</v>
      </c>
      <c r="E91" s="24" t="str">
        <f ca="1">IFERROR(__xludf.DUMMYFUNCTION("""COMPUTED_VALUE"""),"2023.645")</f>
        <v>2023.645</v>
      </c>
      <c r="F91" s="24" t="str">
        <f ca="1">IFERROR(__xludf.DUMMYFUNCTION("""COMPUTED_VALUE"""),"Raptor")</f>
        <v>Raptor</v>
      </c>
      <c r="G91" s="24" t="str">
        <f ca="1">IFERROR(__xludf.DUMMYFUNCTION("""COMPUTED_VALUE"""),"Genes and Genomics")</f>
        <v>Genes and Genomics</v>
      </c>
      <c r="H91" s="24" t="str">
        <f ca="1">IFERROR(__xludf.DUMMYFUNCTION("""COMPUTED_VALUE"""),"Chaiyan Kasorndorkbua")</f>
        <v>Chaiyan Kasorndorkbua</v>
      </c>
      <c r="I91" s="24" t="str">
        <f ca="1">IFERROR(__xludf.DUMMYFUNCTION("""COMPUTED_VALUE"""),"CoAuthor")</f>
        <v>CoAuthor</v>
      </c>
      <c r="J91" s="24" t="b">
        <f ca="1">IFERROR(__xludf.DUMMYFUNCTION("""COMPUTED_VALUE"""),FALSE)</f>
        <v>0</v>
      </c>
      <c r="K91" s="24" t="b">
        <f ca="1">IFERROR(__xludf.DUMMYFUNCTION("""COMPUTED_VALUE"""),FALSE)</f>
        <v>0</v>
      </c>
      <c r="L91" s="58">
        <f ca="1">IFERROR(__xludf.DUMMYFUNCTION("""COMPUTED_VALUE"""),45200)</f>
        <v>45200</v>
      </c>
      <c r="M91" s="24" t="str">
        <f ca="1">IFERROR(__xludf.DUMMYFUNCTION("""COMPUTED_VALUE"""),"International")</f>
        <v>International</v>
      </c>
      <c r="N91" s="24">
        <f ca="1">IFERROR(__xludf.DUMMYFUNCTION("""COMPUTED_VALUE"""),3)</f>
        <v>3</v>
      </c>
      <c r="O91" s="24">
        <f ca="1">IFERROR(__xludf.DUMMYFUNCTION("""COMPUTED_VALUE"""),2.1)</f>
        <v>2.1</v>
      </c>
      <c r="P91" s="24" t="str">
        <f ca="1">IFERROR(__xludf.DUMMYFUNCTION("""COMPUTED_VALUE"""),"Yes")</f>
        <v>Yes</v>
      </c>
      <c r="Q91" s="24" t="str">
        <f ca="1">IFERROR(__xludf.DUMMYFUNCTION("""COMPUTED_VALUE"""),"Yes")</f>
        <v>Yes</v>
      </c>
      <c r="R91" s="24" t="str">
        <f ca="1">IFERROR(__xludf.DUMMYFUNCTION("""COMPUTED_VALUE"""),"ภาควิชาพยาธิวิทยา")</f>
        <v>ภาควิชาพยาธิวิทยา</v>
      </c>
      <c r="S91" s="24">
        <f ca="1">IFERROR(__xludf.DUMMYFUNCTION("""COMPUTED_VALUE"""),56)</f>
        <v>56</v>
      </c>
      <c r="T91" s="24" t="str">
        <f ca="1">IFERROR(__xludf.DUMMYFUNCTION("""COMPUTED_VALUE"""),"October")</f>
        <v>October</v>
      </c>
    </row>
    <row r="92" spans="1:20" ht="14.25" hidden="1">
      <c r="A92" s="24">
        <f ca="1">IFERROR(__xludf.DUMMYFUNCTION("""COMPUTED_VALUE"""),2023)</f>
        <v>2023</v>
      </c>
      <c r="B92" s="24">
        <f ca="1">IFERROR(__xludf.DUMMYFUNCTION("""COMPUTED_VALUE"""),646)</f>
        <v>646</v>
      </c>
      <c r="C92" s="24" t="str">
        <f ca="1">IFERROR(__xludf.DUMMYFUNCTION("""COMPUTED_VALUE"""),"Type VI Secretion System Accessory Protein TagAB-5 Promotes Burkholderia pseudomallei Pathogenicity in Human Microglia")</f>
        <v>Type VI Secretion System Accessory Protein TagAB-5 Promotes Burkholderia pseudomallei Pathogenicity in Human Microglia</v>
      </c>
      <c r="D92" s="24">
        <f ca="1">IFERROR(__xludf.DUMMYFUNCTION("""COMPUTED_VALUE"""),2)</f>
        <v>2</v>
      </c>
      <c r="E92" s="24" t="str">
        <f ca="1">IFERROR(__xludf.DUMMYFUNCTION("""COMPUTED_VALUE"""),"2023.646")</f>
        <v>2023.646</v>
      </c>
      <c r="F92" s="24" t="str">
        <f ca="1">IFERROR(__xludf.DUMMYFUNCTION("""COMPUTED_VALUE"""),"Bacteria")</f>
        <v>Bacteria</v>
      </c>
      <c r="G92" s="24" t="str">
        <f ca="1">IFERROR(__xludf.DUMMYFUNCTION("""COMPUTED_VALUE"""),"Biomedicines")</f>
        <v>Biomedicines</v>
      </c>
      <c r="H92" s="24" t="str">
        <f ca="1">IFERROR(__xludf.DUMMYFUNCTION("""COMPUTED_VALUE"""),"Taksaon Duangurai")</f>
        <v>Taksaon Duangurai</v>
      </c>
      <c r="I92" s="24" t="str">
        <f ca="1">IFERROR(__xludf.DUMMYFUNCTION("""COMPUTED_VALUE"""),"CoAuthor")</f>
        <v>CoAuthor</v>
      </c>
      <c r="J92" s="24" t="b">
        <f ca="1">IFERROR(__xludf.DUMMYFUNCTION("""COMPUTED_VALUE"""),FALSE)</f>
        <v>0</v>
      </c>
      <c r="K92" s="24" t="b">
        <f ca="1">IFERROR(__xludf.DUMMYFUNCTION("""COMPUTED_VALUE"""),FALSE)</f>
        <v>0</v>
      </c>
      <c r="L92" s="58">
        <f ca="1">IFERROR(__xludf.DUMMYFUNCTION("""COMPUTED_VALUE"""),45229)</f>
        <v>45229</v>
      </c>
      <c r="M92" s="24" t="str">
        <f ca="1">IFERROR(__xludf.DUMMYFUNCTION("""COMPUTED_VALUE"""),"International")</f>
        <v>International</v>
      </c>
      <c r="N92" s="24">
        <f ca="1">IFERROR(__xludf.DUMMYFUNCTION("""COMPUTED_VALUE"""),1)</f>
        <v>1</v>
      </c>
      <c r="O92" s="24">
        <f ca="1">IFERROR(__xludf.DUMMYFUNCTION("""COMPUTED_VALUE"""),4.7)</f>
        <v>4.7</v>
      </c>
      <c r="P92" s="24" t="str">
        <f ca="1">IFERROR(__xludf.DUMMYFUNCTION("""COMPUTED_VALUE"""),"Yes")</f>
        <v>Yes</v>
      </c>
      <c r="Q92" s="24" t="str">
        <f ca="1">IFERROR(__xludf.DUMMYFUNCTION("""COMPUTED_VALUE"""),"Yes")</f>
        <v>Yes</v>
      </c>
      <c r="R92" s="24" t="str">
        <f ca="1">IFERROR(__xludf.DUMMYFUNCTION("""COMPUTED_VALUE"""),"ภาควิชาเวชศาสตร์คลินิกสัตว์เลี้ยง")</f>
        <v>ภาควิชาเวชศาสตร์คลินิกสัตว์เลี้ยง</v>
      </c>
      <c r="S92" s="24">
        <f ca="1">IFERROR(__xludf.DUMMYFUNCTION("""COMPUTED_VALUE"""),43)</f>
        <v>43</v>
      </c>
      <c r="T92" s="24" t="str">
        <f ca="1">IFERROR(__xludf.DUMMYFUNCTION("""COMPUTED_VALUE"""),"October")</f>
        <v>October</v>
      </c>
    </row>
    <row r="93" spans="1:20" ht="14.25" hidden="1">
      <c r="A93" s="24">
        <f ca="1">IFERROR(__xludf.DUMMYFUNCTION("""COMPUTED_VALUE"""),2023)</f>
        <v>2023</v>
      </c>
      <c r="B93" s="24">
        <f ca="1">IFERROR(__xludf.DUMMYFUNCTION("""COMPUTED_VALUE"""),647)</f>
        <v>647</v>
      </c>
      <c r="C93" s="24" t="str">
        <f ca="1">IFERROR(__xludf.DUMMYFUNCTION("""COMPUTED_VALUE"""),"Human BST2 inhibits rabies virus release independently of cysteine-linked dimerization and asparagine-linked glycosylation")</f>
        <v>Human BST2 inhibits rabies virus release independently of cysteine-linked dimerization and asparagine-linked glycosylation</v>
      </c>
      <c r="D93" s="24">
        <f ca="1">IFERROR(__xludf.DUMMYFUNCTION("""COMPUTED_VALUE"""),2)</f>
        <v>2</v>
      </c>
      <c r="E93" s="24" t="str">
        <f ca="1">IFERROR(__xludf.DUMMYFUNCTION("""COMPUTED_VALUE"""),"2023.647")</f>
        <v>2023.647</v>
      </c>
      <c r="F93" s="24" t="str">
        <f ca="1">IFERROR(__xludf.DUMMYFUNCTION("""COMPUTED_VALUE"""),"Dog")</f>
        <v>Dog</v>
      </c>
      <c r="G93" s="24" t="str">
        <f ca="1">IFERROR(__xludf.DUMMYFUNCTION("""COMPUTED_VALUE"""),"PLoS ONE")</f>
        <v>PLoS ONE</v>
      </c>
      <c r="H93" s="24" t="str">
        <f ca="1">IFERROR(__xludf.DUMMYFUNCTION("""COMPUTED_VALUE"""),"Porntippa Lekcharoensuk")</f>
        <v>Porntippa Lekcharoensuk</v>
      </c>
      <c r="I93" s="24" t="str">
        <f ca="1">IFERROR(__xludf.DUMMYFUNCTION("""COMPUTED_VALUE"""),"CoAuthor")</f>
        <v>CoAuthor</v>
      </c>
      <c r="J93" s="24" t="b">
        <f ca="1">IFERROR(__xludf.DUMMYFUNCTION("""COMPUTED_VALUE"""),FALSE)</f>
        <v>0</v>
      </c>
      <c r="K93" s="24" t="b">
        <f ca="1">IFERROR(__xludf.DUMMYFUNCTION("""COMPUTED_VALUE"""),FALSE)</f>
        <v>0</v>
      </c>
      <c r="L93" s="58">
        <f ca="1">IFERROR(__xludf.DUMMYFUNCTION("""COMPUTED_VALUE"""),45233)</f>
        <v>45233</v>
      </c>
      <c r="M93" s="24" t="str">
        <f ca="1">IFERROR(__xludf.DUMMYFUNCTION("""COMPUTED_VALUE"""),"International")</f>
        <v>International</v>
      </c>
      <c r="N93" s="24">
        <f ca="1">IFERROR(__xludf.DUMMYFUNCTION("""COMPUTED_VALUE"""),1)</f>
        <v>1</v>
      </c>
      <c r="O93" s="24">
        <f ca="1">IFERROR(__xludf.DUMMYFUNCTION("""COMPUTED_VALUE"""),3.24)</f>
        <v>3.24</v>
      </c>
      <c r="P93" s="24" t="str">
        <f ca="1">IFERROR(__xludf.DUMMYFUNCTION("""COMPUTED_VALUE"""),"Yes")</f>
        <v>Yes</v>
      </c>
      <c r="Q93" s="24" t="str">
        <f ca="1">IFERROR(__xludf.DUMMYFUNCTION("""COMPUTED_VALUE"""),"Yes")</f>
        <v>Yes</v>
      </c>
      <c r="R93" s="24" t="str">
        <f ca="1">IFERROR(__xludf.DUMMYFUNCTION("""COMPUTED_VALUE"""),"ภาควิชาจุลชีววิทยาและวิทยาฯ")</f>
        <v>ภาควิชาจุลชีววิทยาและวิทยาฯ</v>
      </c>
      <c r="S93" s="24">
        <f ca="1">IFERROR(__xludf.DUMMYFUNCTION("""COMPUTED_VALUE"""),61)</f>
        <v>61</v>
      </c>
      <c r="T93" s="24" t="str">
        <f ca="1">IFERROR(__xludf.DUMMYFUNCTION("""COMPUTED_VALUE"""),"November")</f>
        <v>November</v>
      </c>
    </row>
    <row r="94" spans="1:20" ht="14.25" hidden="1">
      <c r="A94" s="24">
        <f ca="1">IFERROR(__xludf.DUMMYFUNCTION("""COMPUTED_VALUE"""),2023)</f>
        <v>2023</v>
      </c>
      <c r="B94" s="24">
        <f ca="1">IFERROR(__xludf.DUMMYFUNCTION("""COMPUTED_VALUE"""),648)</f>
        <v>648</v>
      </c>
      <c r="C94" s="24" t="str">
        <f ca="1">IFERROR(__xludf.DUMMYFUNCTION("""COMPUTED_VALUE"""),"Antimicrobial Resistance in Poultry Farming: A Look Back at Environmental Escherichia coli Isolated from Poultry Farms during the Growing and Resting Periods")</f>
        <v>Antimicrobial Resistance in Poultry Farming: A Look Back at Environmental Escherichia coli Isolated from Poultry Farms during the Growing and Resting Periods</v>
      </c>
      <c r="D94" s="24">
        <f ca="1">IFERROR(__xludf.DUMMYFUNCTION("""COMPUTED_VALUE"""),2)</f>
        <v>2</v>
      </c>
      <c r="E94" s="24" t="str">
        <f ca="1">IFERROR(__xludf.DUMMYFUNCTION("""COMPUTED_VALUE"""),"2023.648")</f>
        <v>2023.648</v>
      </c>
      <c r="F94" s="24" t="str">
        <f ca="1">IFERROR(__xludf.DUMMYFUNCTION("""COMPUTED_VALUE"""),"Poultry")</f>
        <v>Poultry</v>
      </c>
      <c r="G94" s="24" t="str">
        <f ca="1">IFERROR(__xludf.DUMMYFUNCTION("""COMPUTED_VALUE"""),"Veterinary Medicine International")</f>
        <v>Veterinary Medicine International</v>
      </c>
      <c r="H94" s="24" t="str">
        <f ca="1">IFERROR(__xludf.DUMMYFUNCTION("""COMPUTED_VALUE"""),"Sukanya Thongratsakul")</f>
        <v>Sukanya Thongratsakul</v>
      </c>
      <c r="I94" s="24" t="str">
        <f ca="1">IFERROR(__xludf.DUMMYFUNCTION("""COMPUTED_VALUE"""),"FirstAuthor&amp;CorrespondingAuthor")</f>
        <v>FirstAuthor&amp;CorrespondingAuthor</v>
      </c>
      <c r="J94" s="24" t="b">
        <f ca="1">IFERROR(__xludf.DUMMYFUNCTION("""COMPUTED_VALUE"""),FALSE)</f>
        <v>0</v>
      </c>
      <c r="K94" s="24" t="b">
        <f ca="1">IFERROR(__xludf.DUMMYFUNCTION("""COMPUTED_VALUE"""),FALSE)</f>
        <v>0</v>
      </c>
      <c r="L94" s="58">
        <f ca="1">IFERROR(__xludf.DUMMYFUNCTION("""COMPUTED_VALUE"""),45258)</f>
        <v>45258</v>
      </c>
      <c r="M94" s="24" t="str">
        <f ca="1">IFERROR(__xludf.DUMMYFUNCTION("""COMPUTED_VALUE"""),"International")</f>
        <v>International</v>
      </c>
      <c r="N94" s="24">
        <f ca="1">IFERROR(__xludf.DUMMYFUNCTION("""COMPUTED_VALUE"""),1)</f>
        <v>1</v>
      </c>
      <c r="O94" s="24">
        <f ca="1">IFERROR(__xludf.DUMMYFUNCTION("""COMPUTED_VALUE"""),2.6)</f>
        <v>2.6</v>
      </c>
      <c r="P94" s="24" t="str">
        <f ca="1">IFERROR(__xludf.DUMMYFUNCTION("""COMPUTED_VALUE"""),"No")</f>
        <v>No</v>
      </c>
      <c r="Q94" s="24" t="str">
        <f ca="1">IFERROR(__xludf.DUMMYFUNCTION("""COMPUTED_VALUE"""),"Yes")</f>
        <v>Yes</v>
      </c>
      <c r="R94" s="24" t="str">
        <f ca="1">IFERROR(__xludf.DUMMYFUNCTION("""COMPUTED_VALUE"""),"ภาควิชาสัตวแพทยสาธารณสุขศาสตร์")</f>
        <v>ภาควิชาสัตวแพทยสาธารณสุขศาสตร์</v>
      </c>
      <c r="S94" s="24">
        <f ca="1">IFERROR(__xludf.DUMMYFUNCTION("""COMPUTED_VALUE"""),49)</f>
        <v>49</v>
      </c>
      <c r="T94" s="24" t="str">
        <f ca="1">IFERROR(__xludf.DUMMYFUNCTION("""COMPUTED_VALUE"""),"November")</f>
        <v>November</v>
      </c>
    </row>
    <row r="95" spans="1:20" ht="14.25" hidden="1">
      <c r="A95" s="24">
        <f ca="1">IFERROR(__xludf.DUMMYFUNCTION("""COMPUTED_VALUE"""),2023)</f>
        <v>2023</v>
      </c>
      <c r="B95" s="24">
        <f ca="1">IFERROR(__xludf.DUMMYFUNCTION("""COMPUTED_VALUE"""),649)</f>
        <v>649</v>
      </c>
      <c r="C95" s="24" t="str">
        <f ca="1">IFERROR(__xludf.DUMMYFUNCTION("""COMPUTED_VALUE"""),"Uncovering nutrients and energy related gene functions of black soldier fly Hermetia illucens strain KUP")</f>
        <v>Uncovering nutrients and energy related gene functions of black soldier fly Hermetia illucens strain KUP</v>
      </c>
      <c r="D95" s="24">
        <f ca="1">IFERROR(__xludf.DUMMYFUNCTION("""COMPUTED_VALUE"""),2)</f>
        <v>2</v>
      </c>
      <c r="E95" s="24" t="str">
        <f ca="1">IFERROR(__xludf.DUMMYFUNCTION("""COMPUTED_VALUE"""),"2023.649")</f>
        <v>2023.649</v>
      </c>
      <c r="F95" s="24" t="str">
        <f ca="1">IFERROR(__xludf.DUMMYFUNCTION("""COMPUTED_VALUE"""),"Black soldier fly")</f>
        <v>Black soldier fly</v>
      </c>
      <c r="G95" s="24" t="str">
        <f ca="1">IFERROR(__xludf.DUMMYFUNCTION("""COMPUTED_VALUE"""),"Gene")</f>
        <v>Gene</v>
      </c>
      <c r="H95" s="24" t="str">
        <f ca="1">IFERROR(__xludf.DUMMYFUNCTION("""COMPUTED_VALUE"""),"Attawit Kovitvadhi")</f>
        <v>Attawit Kovitvadhi</v>
      </c>
      <c r="I95" s="24" t="str">
        <f ca="1">IFERROR(__xludf.DUMMYFUNCTION("""COMPUTED_VALUE"""),"CorrespondingAuthor")</f>
        <v>CorrespondingAuthor</v>
      </c>
      <c r="J95" s="24" t="b">
        <f ca="1">IFERROR(__xludf.DUMMYFUNCTION("""COMPUTED_VALUE"""),FALSE)</f>
        <v>0</v>
      </c>
      <c r="K95" s="24" t="b">
        <f ca="1">IFERROR(__xludf.DUMMYFUNCTION("""COMPUTED_VALUE"""),TRUE)</f>
        <v>1</v>
      </c>
      <c r="L95" s="58">
        <f ca="1">IFERROR(__xludf.DUMMYFUNCTION("""COMPUTED_VALUE"""),45258)</f>
        <v>45258</v>
      </c>
      <c r="M95" s="24" t="str">
        <f ca="1">IFERROR(__xludf.DUMMYFUNCTION("""COMPUTED_VALUE"""),"International")</f>
        <v>International</v>
      </c>
      <c r="N95" s="24">
        <f ca="1">IFERROR(__xludf.DUMMYFUNCTION("""COMPUTED_VALUE"""),2)</f>
        <v>2</v>
      </c>
      <c r="O95" s="24">
        <f ca="1">IFERROR(__xludf.DUMMYFUNCTION("""COMPUTED_VALUE"""),3.5)</f>
        <v>3.5</v>
      </c>
      <c r="P95" s="24" t="str">
        <f ca="1">IFERROR(__xludf.DUMMYFUNCTION("""COMPUTED_VALUE"""),"Yes")</f>
        <v>Yes</v>
      </c>
      <c r="Q95" s="24" t="str">
        <f ca="1">IFERROR(__xludf.DUMMYFUNCTION("""COMPUTED_VALUE"""),"Yes")</f>
        <v>Yes</v>
      </c>
      <c r="R95" s="24" t="str">
        <f ca="1">IFERROR(__xludf.DUMMYFUNCTION("""COMPUTED_VALUE"""),"ภาควิชาสรีรวิทยา")</f>
        <v>ภาควิชาสรีรวิทยา</v>
      </c>
      <c r="S95" s="24">
        <f ca="1">IFERROR(__xludf.DUMMYFUNCTION("""COMPUTED_VALUE"""),37)</f>
        <v>37</v>
      </c>
      <c r="T95" s="24" t="str">
        <f ca="1">IFERROR(__xludf.DUMMYFUNCTION("""COMPUTED_VALUE"""),"November")</f>
        <v>November</v>
      </c>
    </row>
    <row r="96" spans="1:20" ht="14.25" hidden="1">
      <c r="A96" s="24">
        <f ca="1">IFERROR(__xludf.DUMMYFUNCTION("""COMPUTED_VALUE"""),2023)</f>
        <v>2023</v>
      </c>
      <c r="B96" s="24">
        <f ca="1">IFERROR(__xludf.DUMMYFUNCTION("""COMPUTED_VALUE"""),650)</f>
        <v>650</v>
      </c>
      <c r="C96" s="24" t="str">
        <f ca="1">IFERROR(__xludf.DUMMYFUNCTION("""COMPUTED_VALUE"""),"Long-term immunity induced by SPBN GASGAS in orally vaccinated dogs is non-inferior to inactivated rabies vaccines")</f>
        <v>Long-term immunity induced by SPBN GASGAS in orally vaccinated dogs is non-inferior to inactivated rabies vaccines</v>
      </c>
      <c r="D96" s="24">
        <f ca="1">IFERROR(__xludf.DUMMYFUNCTION("""COMPUTED_VALUE"""),4)</f>
        <v>4</v>
      </c>
      <c r="E96" s="24" t="str">
        <f ca="1">IFERROR(__xludf.DUMMYFUNCTION("""COMPUTED_VALUE"""),"2023.650")</f>
        <v>2023.650</v>
      </c>
      <c r="F96" s="24" t="str">
        <f ca="1">IFERROR(__xludf.DUMMYFUNCTION("""COMPUTED_VALUE"""),"Dog")</f>
        <v>Dog</v>
      </c>
      <c r="G96" s="24" t="str">
        <f ca="1">IFERROR(__xludf.DUMMYFUNCTION("""COMPUTED_VALUE"""),"Vaccine: X")</f>
        <v>Vaccine: X</v>
      </c>
      <c r="H96" s="24" t="str">
        <f ca="1">IFERROR(__xludf.DUMMYFUNCTION("""COMPUTED_VALUE"""),"Suwicha Kasemsuwan")</f>
        <v>Suwicha Kasemsuwan</v>
      </c>
      <c r="I96" s="24" t="str">
        <f ca="1">IFERROR(__xludf.DUMMYFUNCTION("""COMPUTED_VALUE"""),"CorrespondingAuthor")</f>
        <v>CorrespondingAuthor</v>
      </c>
      <c r="J96" s="24" t="b">
        <f ca="1">IFERROR(__xludf.DUMMYFUNCTION("""COMPUTED_VALUE"""),FALSE)</f>
        <v>0</v>
      </c>
      <c r="K96" s="24" t="b">
        <f ca="1">IFERROR(__xludf.DUMMYFUNCTION("""COMPUTED_VALUE"""),FALSE)</f>
        <v>0</v>
      </c>
      <c r="L96" s="58">
        <f ca="1">IFERROR(__xludf.DUMMYFUNCTION("""COMPUTED_VALUE"""),45246)</f>
        <v>45246</v>
      </c>
      <c r="M96" s="24" t="str">
        <f ca="1">IFERROR(__xludf.DUMMYFUNCTION("""COMPUTED_VALUE"""),"International")</f>
        <v>International</v>
      </c>
      <c r="N96" s="24">
        <f ca="1">IFERROR(__xludf.DUMMYFUNCTION("""COMPUTED_VALUE"""),1)</f>
        <v>1</v>
      </c>
      <c r="O96" s="24">
        <f ca="1">IFERROR(__xludf.DUMMYFUNCTION("""COMPUTED_VALUE"""),3.8)</f>
        <v>3.8</v>
      </c>
      <c r="P96" s="24" t="str">
        <f ca="1">IFERROR(__xludf.DUMMYFUNCTION("""COMPUTED_VALUE"""),"Yes")</f>
        <v>Yes</v>
      </c>
      <c r="Q96" s="24" t="str">
        <f ca="1">IFERROR(__xludf.DUMMYFUNCTION("""COMPUTED_VALUE"""),"Yes")</f>
        <v>Yes</v>
      </c>
      <c r="R96" s="24" t="str">
        <f ca="1">IFERROR(__xludf.DUMMYFUNCTION("""COMPUTED_VALUE"""),"ภาควิชาสัตวแพทยสาธารณสุขศาสตร์")</f>
        <v>ภาควิชาสัตวแพทยสาธารณสุขศาสตร์</v>
      </c>
      <c r="S96" s="24">
        <f ca="1">IFERROR(__xludf.DUMMYFUNCTION("""COMPUTED_VALUE"""),61)</f>
        <v>61</v>
      </c>
      <c r="T96" s="24" t="str">
        <f ca="1">IFERROR(__xludf.DUMMYFUNCTION("""COMPUTED_VALUE"""),"November")</f>
        <v>November</v>
      </c>
    </row>
    <row r="97" spans="1:20" ht="14.25" hidden="1">
      <c r="A97" s="24">
        <f ca="1">IFERROR(__xludf.DUMMYFUNCTION("""COMPUTED_VALUE"""),2023)</f>
        <v>2023</v>
      </c>
      <c r="B97" s="24">
        <f ca="1">IFERROR(__xludf.DUMMYFUNCTION("""COMPUTED_VALUE"""),651)</f>
        <v>651</v>
      </c>
      <c r="C97" s="24" t="str">
        <f ca="1">IFERROR(__xludf.DUMMYFUNCTION("""COMPUTED_VALUE"""),"Radiotherapy in combination with exenteration and partial orbitectomy for orbital multilobular tumor of bone in a Cocker Spaniel")</f>
        <v>Radiotherapy in combination with exenteration and partial orbitectomy for orbital multilobular tumor of bone in a Cocker Spaniel</v>
      </c>
      <c r="D97" s="24">
        <f ca="1">IFERROR(__xludf.DUMMYFUNCTION("""COMPUTED_VALUE"""),5)</f>
        <v>5</v>
      </c>
      <c r="E97" s="24" t="str">
        <f ca="1">IFERROR(__xludf.DUMMYFUNCTION("""COMPUTED_VALUE"""),"2023.651")</f>
        <v>2023.651</v>
      </c>
      <c r="F97" s="24" t="str">
        <f ca="1">IFERROR(__xludf.DUMMYFUNCTION("""COMPUTED_VALUE"""),"Dog")</f>
        <v>Dog</v>
      </c>
      <c r="G97" s="24" t="str">
        <f ca="1">IFERROR(__xludf.DUMMYFUNCTION("""COMPUTED_VALUE"""),"Open Veterinary Journal")</f>
        <v>Open Veterinary Journal</v>
      </c>
      <c r="H97" s="24" t="str">
        <f ca="1">IFERROR(__xludf.DUMMYFUNCTION("""COMPUTED_VALUE"""),"Aree Thayananuphat")</f>
        <v>Aree Thayananuphat</v>
      </c>
      <c r="I97" s="24" t="str">
        <f ca="1">IFERROR(__xludf.DUMMYFUNCTION("""COMPUTED_VALUE"""),"CorrespondingAuthor")</f>
        <v>CorrespondingAuthor</v>
      </c>
      <c r="J97" s="24" t="b">
        <f ca="1">IFERROR(__xludf.DUMMYFUNCTION("""COMPUTED_VALUE"""),FALSE)</f>
        <v>0</v>
      </c>
      <c r="K97" s="24" t="b">
        <f ca="1">IFERROR(__xludf.DUMMYFUNCTION("""COMPUTED_VALUE"""),FALSE)</f>
        <v>0</v>
      </c>
      <c r="L97" s="58">
        <f ca="1">IFERROR(__xludf.DUMMYFUNCTION("""COMPUTED_VALUE"""),45260)</f>
        <v>45260</v>
      </c>
      <c r="M97" s="24" t="str">
        <f ca="1">IFERROR(__xludf.DUMMYFUNCTION("""COMPUTED_VALUE"""),"International")</f>
        <v>International</v>
      </c>
      <c r="N97" s="24">
        <f ca="1">IFERROR(__xludf.DUMMYFUNCTION("""COMPUTED_VALUE"""),2)</f>
        <v>2</v>
      </c>
      <c r="O97" s="24">
        <f ca="1">IFERROR(__xludf.DUMMYFUNCTION("""COMPUTED_VALUE"""),1.46)</f>
        <v>1.46</v>
      </c>
      <c r="P97" s="24" t="str">
        <f ca="1">IFERROR(__xludf.DUMMYFUNCTION("""COMPUTED_VALUE"""),"Yes")</f>
        <v>Yes</v>
      </c>
      <c r="Q97" s="24" t="str">
        <f ca="1">IFERROR(__xludf.DUMMYFUNCTION("""COMPUTED_VALUE"""),"Yes")</f>
        <v>Yes</v>
      </c>
      <c r="R97" s="24" t="str">
        <f ca="1">IFERROR(__xludf.DUMMYFUNCTION("""COMPUTED_VALUE"""),"ภาควิชาเวชศาสตร์คลินิกสัตว์เลี้ยง")</f>
        <v>ภาควิชาเวชศาสตร์คลินิกสัตว์เลี้ยง</v>
      </c>
      <c r="S97" s="24" t="str">
        <f ca="1">IFERROR(__xludf.DUMMYFUNCTION("""COMPUTED_VALUE"""),"Retire")</f>
        <v>Retire</v>
      </c>
      <c r="T97" s="24" t="str">
        <f ca="1">IFERROR(__xludf.DUMMYFUNCTION("""COMPUTED_VALUE"""),"November")</f>
        <v>November</v>
      </c>
    </row>
    <row r="98" spans="1:20" ht="14.25" hidden="1">
      <c r="A98" s="24">
        <f ca="1">IFERROR(__xludf.DUMMYFUNCTION("""COMPUTED_VALUE"""),2023)</f>
        <v>2023</v>
      </c>
      <c r="B98" s="24">
        <f ca="1">IFERROR(__xludf.DUMMYFUNCTION("""COMPUTED_VALUE"""),652)</f>
        <v>652</v>
      </c>
      <c r="C98" s="24" t="str">
        <f ca="1">IFERROR(__xludf.DUMMYFUNCTION("""COMPUTED_VALUE"""),"First study on repeatable culture of primordial germ cells from various embryonic regions with giant feeder cells in Japanese quail (Coturnix japonica)")</f>
        <v>First study on repeatable culture of primordial germ cells from various embryonic regions with giant feeder cells in Japanese quail (Coturnix japonica)</v>
      </c>
      <c r="D98" s="24">
        <f ca="1">IFERROR(__xludf.DUMMYFUNCTION("""COMPUTED_VALUE"""),1)</f>
        <v>1</v>
      </c>
      <c r="E98" s="24" t="str">
        <f ca="1">IFERROR(__xludf.DUMMYFUNCTION("""COMPUTED_VALUE"""),"2023.652")</f>
        <v>2023.652</v>
      </c>
      <c r="F98" s="24" t="str">
        <f ca="1">IFERROR(__xludf.DUMMYFUNCTION("""COMPUTED_VALUE"""),"Cell")</f>
        <v>Cell</v>
      </c>
      <c r="G98" s="24" t="str">
        <f ca="1">IFERROR(__xludf.DUMMYFUNCTION("""COMPUTED_VALUE"""),"Theriogenology")</f>
        <v>Theriogenology</v>
      </c>
      <c r="H98" s="24" t="str">
        <f ca="1">IFERROR(__xludf.DUMMYFUNCTION("""COMPUTED_VALUE"""),"Kannika Siripattarapravat")</f>
        <v>Kannika Siripattarapravat</v>
      </c>
      <c r="I98" s="24" t="str">
        <f ca="1">IFERROR(__xludf.DUMMYFUNCTION("""COMPUTED_VALUE"""),"CorrespondingAuthor")</f>
        <v>CorrespondingAuthor</v>
      </c>
      <c r="J98" s="24" t="b">
        <f ca="1">IFERROR(__xludf.DUMMYFUNCTION("""COMPUTED_VALUE"""),FALSE)</f>
        <v>0</v>
      </c>
      <c r="K98" s="24" t="b">
        <f ca="1">IFERROR(__xludf.DUMMYFUNCTION("""COMPUTED_VALUE"""),FALSE)</f>
        <v>0</v>
      </c>
      <c r="L98" s="58">
        <f ca="1">IFERROR(__xludf.DUMMYFUNCTION("""COMPUTED_VALUE"""),45193)</f>
        <v>45193</v>
      </c>
      <c r="M98" s="24" t="str">
        <f ca="1">IFERROR(__xludf.DUMMYFUNCTION("""COMPUTED_VALUE"""),"International")</f>
        <v>International</v>
      </c>
      <c r="N98" s="24">
        <f ca="1">IFERROR(__xludf.DUMMYFUNCTION("""COMPUTED_VALUE"""),1)</f>
        <v>1</v>
      </c>
      <c r="O98" s="24">
        <f ca="1">IFERROR(__xludf.DUMMYFUNCTION("""COMPUTED_VALUE"""),2.7)</f>
        <v>2.7</v>
      </c>
      <c r="P98" s="24" t="str">
        <f ca="1">IFERROR(__xludf.DUMMYFUNCTION("""COMPUTED_VALUE"""),"Yes")</f>
        <v>Yes</v>
      </c>
      <c r="Q98" s="24" t="str">
        <f ca="1">IFERROR(__xludf.DUMMYFUNCTION("""COMPUTED_VALUE"""),"Yes")</f>
        <v>Yes</v>
      </c>
      <c r="R98" s="24" t="str">
        <f ca="1">IFERROR(__xludf.DUMMYFUNCTION("""COMPUTED_VALUE"""),"ภาควิชาพยาธิวิทยา")</f>
        <v>ภาควิชาพยาธิวิทยา</v>
      </c>
      <c r="S98" s="24">
        <f ca="1">IFERROR(__xludf.DUMMYFUNCTION("""COMPUTED_VALUE"""),48)</f>
        <v>48</v>
      </c>
      <c r="T98" s="24" t="str">
        <f ca="1">IFERROR(__xludf.DUMMYFUNCTION("""COMPUTED_VALUE"""),"September")</f>
        <v>September</v>
      </c>
    </row>
    <row r="99" spans="1:20" ht="14.25" hidden="1">
      <c r="A99" s="24">
        <f ca="1">IFERROR(__xludf.DUMMYFUNCTION("""COMPUTED_VALUE"""),2023)</f>
        <v>2023</v>
      </c>
      <c r="B99" s="24">
        <f ca="1">IFERROR(__xludf.DUMMYFUNCTION("""COMPUTED_VALUE"""),653)</f>
        <v>653</v>
      </c>
      <c r="C99" s="24" t="str">
        <f ca="1">IFERROR(__xludf.DUMMYFUNCTION("""COMPUTED_VALUE"""),"First report of natural Cyprinid herpesvirus-2 infection associated with fatal outbreaks of goldfish (Carassius auratus) farms in Thailand")</f>
        <v>First report of natural Cyprinid herpesvirus-2 infection associated with fatal outbreaks of goldfish (Carassius auratus) farms in Thailand</v>
      </c>
      <c r="D99" s="24">
        <f ca="1">IFERROR(__xludf.DUMMYFUNCTION("""COMPUTED_VALUE"""),2)</f>
        <v>2</v>
      </c>
      <c r="E99" s="24" t="str">
        <f ca="1">IFERROR(__xludf.DUMMYFUNCTION("""COMPUTED_VALUE"""),"2023.653")</f>
        <v>2023.653</v>
      </c>
      <c r="F99" s="24" t="str">
        <f ca="1">IFERROR(__xludf.DUMMYFUNCTION("""COMPUTED_VALUE"""),"Fish")</f>
        <v>Fish</v>
      </c>
      <c r="G99" s="24" t="str">
        <f ca="1">IFERROR(__xludf.DUMMYFUNCTION("""COMPUTED_VALUE"""),"Aquaculture")</f>
        <v>Aquaculture</v>
      </c>
      <c r="H99" s="24" t="str">
        <f ca="1">IFERROR(__xludf.DUMMYFUNCTION("""COMPUTED_VALUE"""),"Win Surachetpong")</f>
        <v>Win Surachetpong</v>
      </c>
      <c r="I99" s="24" t="str">
        <f ca="1">IFERROR(__xludf.DUMMYFUNCTION("""COMPUTED_VALUE"""),"CoAuthor")</f>
        <v>CoAuthor</v>
      </c>
      <c r="J99" s="24" t="b">
        <f ca="1">IFERROR(__xludf.DUMMYFUNCTION("""COMPUTED_VALUE"""),FALSE)</f>
        <v>0</v>
      </c>
      <c r="K99" s="24" t="b">
        <f ca="1">IFERROR(__xludf.DUMMYFUNCTION("""COMPUTED_VALUE"""),FALSE)</f>
        <v>0</v>
      </c>
      <c r="L99" s="58">
        <f ca="1">IFERROR(__xludf.DUMMYFUNCTION("""COMPUTED_VALUE"""),45271)</f>
        <v>45271</v>
      </c>
      <c r="M99" s="24" t="str">
        <f ca="1">IFERROR(__xludf.DUMMYFUNCTION("""COMPUTED_VALUE"""),"International")</f>
        <v>International</v>
      </c>
      <c r="N99" s="24">
        <f ca="1">IFERROR(__xludf.DUMMYFUNCTION("""COMPUTED_VALUE"""),1)</f>
        <v>1</v>
      </c>
      <c r="O99" s="24">
        <f ca="1">IFERROR(__xludf.DUMMYFUNCTION("""COMPUTED_VALUE"""),4.242)</f>
        <v>4.242</v>
      </c>
      <c r="P99" s="24" t="str">
        <f ca="1">IFERROR(__xludf.DUMMYFUNCTION("""COMPUTED_VALUE"""),"Yes")</f>
        <v>Yes</v>
      </c>
      <c r="Q99" s="24" t="str">
        <f ca="1">IFERROR(__xludf.DUMMYFUNCTION("""COMPUTED_VALUE"""),"Yes")</f>
        <v>Yes</v>
      </c>
      <c r="R99" s="24" t="str">
        <f ca="1">IFERROR(__xludf.DUMMYFUNCTION("""COMPUTED_VALUE"""),"ภาควิชาจุลชีววิทยาและวิทยาฯ")</f>
        <v>ภาควิชาจุลชีววิทยาและวิทยาฯ</v>
      </c>
      <c r="S99" s="24">
        <f ca="1">IFERROR(__xludf.DUMMYFUNCTION("""COMPUTED_VALUE"""),48)</f>
        <v>48</v>
      </c>
      <c r="T99" s="24" t="str">
        <f ca="1">IFERROR(__xludf.DUMMYFUNCTION("""COMPUTED_VALUE"""),"December")</f>
        <v>December</v>
      </c>
    </row>
    <row r="100" spans="1:20" ht="14.25" hidden="1">
      <c r="A100" s="24">
        <f ca="1">IFERROR(__xludf.DUMMYFUNCTION("""COMPUTED_VALUE"""),2023)</f>
        <v>2023</v>
      </c>
      <c r="B100" s="24">
        <f ca="1">IFERROR(__xludf.DUMMYFUNCTION("""COMPUTED_VALUE"""),654)</f>
        <v>654</v>
      </c>
      <c r="C100" s="24" t="str">
        <f ca="1">IFERROR(__xludf.DUMMYFUNCTION("""COMPUTED_VALUE"""),"Double Cholecystectomy of Duplex Gallbladder Associated with Chronic Cholecystitis in a Cat")</f>
        <v>Double Cholecystectomy of Duplex Gallbladder Associated with Chronic Cholecystitis in a Cat</v>
      </c>
      <c r="D100" s="24">
        <f ca="1">IFERROR(__xludf.DUMMYFUNCTION("""COMPUTED_VALUE"""),5)</f>
        <v>5</v>
      </c>
      <c r="E100" s="24" t="str">
        <f ca="1">IFERROR(__xludf.DUMMYFUNCTION("""COMPUTED_VALUE"""),"2023.654")</f>
        <v>2023.654</v>
      </c>
      <c r="F100" s="24" t="str">
        <f ca="1">IFERROR(__xludf.DUMMYFUNCTION("""COMPUTED_VALUE"""),"Cat")</f>
        <v>Cat</v>
      </c>
      <c r="G100" s="24" t="str">
        <f ca="1">IFERROR(__xludf.DUMMYFUNCTION("""COMPUTED_VALUE"""),"Veterinary Medicine and Science")</f>
        <v>Veterinary Medicine and Science</v>
      </c>
      <c r="H100" s="24" t="str">
        <f ca="1">IFERROR(__xludf.DUMMYFUNCTION("""COMPUTED_VALUE"""),"Sathidpak Assawarachan")</f>
        <v>Sathidpak Assawarachan</v>
      </c>
      <c r="I100" s="24" t="str">
        <f ca="1">IFERROR(__xludf.DUMMYFUNCTION("""COMPUTED_VALUE"""),"CorrespondingAuthor")</f>
        <v>CorrespondingAuthor</v>
      </c>
      <c r="J100" s="24" t="b">
        <f ca="1">IFERROR(__xludf.DUMMYFUNCTION("""COMPUTED_VALUE"""),FALSE)</f>
        <v>0</v>
      </c>
      <c r="K100" s="24" t="b">
        <f ca="1">IFERROR(__xludf.DUMMYFUNCTION("""COMPUTED_VALUE"""),FALSE)</f>
        <v>0</v>
      </c>
      <c r="L100" s="58">
        <f ca="1">IFERROR(__xludf.DUMMYFUNCTION("""COMPUTED_VALUE"""),45280)</f>
        <v>45280</v>
      </c>
      <c r="M100" s="24" t="str">
        <f ca="1">IFERROR(__xludf.DUMMYFUNCTION("""COMPUTED_VALUE"""),"International")</f>
        <v>International</v>
      </c>
      <c r="N100" s="24">
        <f ca="1">IFERROR(__xludf.DUMMYFUNCTION("""COMPUTED_VALUE"""),2)</f>
        <v>2</v>
      </c>
      <c r="O100" s="24">
        <f ca="1">IFERROR(__xludf.DUMMYFUNCTION("""COMPUTED_VALUE"""),1.95)</f>
        <v>1.95</v>
      </c>
      <c r="P100" s="24" t="str">
        <f ca="1">IFERROR(__xludf.DUMMYFUNCTION("""COMPUTED_VALUE"""),"Yes")</f>
        <v>Yes</v>
      </c>
      <c r="Q100" s="24" t="str">
        <f ca="1">IFERROR(__xludf.DUMMYFUNCTION("""COMPUTED_VALUE"""),"No")</f>
        <v>No</v>
      </c>
      <c r="R100" s="24" t="str">
        <f ca="1">IFERROR(__xludf.DUMMYFUNCTION("""COMPUTED_VALUE"""),"ภาควิชาเวชศาสตร์คลินิกสัตว์เลี้ยง")</f>
        <v>ภาควิชาเวชศาสตร์คลินิกสัตว์เลี้ยง</v>
      </c>
      <c r="S100" s="24">
        <f ca="1">IFERROR(__xludf.DUMMYFUNCTION("""COMPUTED_VALUE"""),42)</f>
        <v>42</v>
      </c>
      <c r="T100" s="24" t="str">
        <f ca="1">IFERROR(__xludf.DUMMYFUNCTION("""COMPUTED_VALUE"""),"December")</f>
        <v>December</v>
      </c>
    </row>
    <row r="101" spans="1:20" ht="14.25" hidden="1">
      <c r="A101" s="24">
        <f ca="1">IFERROR(__xludf.DUMMYFUNCTION("""COMPUTED_VALUE"""),2024)</f>
        <v>2024</v>
      </c>
      <c r="B101" s="24">
        <f ca="1">IFERROR(__xludf.DUMMYFUNCTION("""COMPUTED_VALUE"""),655)</f>
        <v>655</v>
      </c>
      <c r="C101" s="24" t="str">
        <f ca="1">IFERROR(__xludf.DUMMYFUNCTION("""COMPUTED_VALUE"""),"The effects of anesthetic drug choice on heart rate variability and echocardiography parameters in cats")</f>
        <v>The effects of anesthetic drug choice on heart rate variability and echocardiography parameters in cats</v>
      </c>
      <c r="D101" s="24">
        <f ca="1">IFERROR(__xludf.DUMMYFUNCTION("""COMPUTED_VALUE"""),5)</f>
        <v>5</v>
      </c>
      <c r="E101" s="24" t="str">
        <f ca="1">IFERROR(__xludf.DUMMYFUNCTION("""COMPUTED_VALUE"""),"2024.655")</f>
        <v>2024.655</v>
      </c>
      <c r="F101" s="24" t="str">
        <f ca="1">IFERROR(__xludf.DUMMYFUNCTION("""COMPUTED_VALUE"""),"Cat")</f>
        <v>Cat</v>
      </c>
      <c r="G101" s="24" t="str">
        <f ca="1">IFERROR(__xludf.DUMMYFUNCTION("""COMPUTED_VALUE"""),"Scientific Reports")</f>
        <v>Scientific Reports</v>
      </c>
      <c r="H101" s="24" t="str">
        <f ca="1">IFERROR(__xludf.DUMMYFUNCTION("""COMPUTED_VALUE"""),"Soontaree Petchdee")</f>
        <v>Soontaree Petchdee</v>
      </c>
      <c r="I101" s="24" t="str">
        <f ca="1">IFERROR(__xludf.DUMMYFUNCTION("""COMPUTED_VALUE"""),"CorrespondingAuthor")</f>
        <v>CorrespondingAuthor</v>
      </c>
      <c r="J101" s="24" t="b">
        <f ca="1">IFERROR(__xludf.DUMMYFUNCTION("""COMPUTED_VALUE"""),FALSE)</f>
        <v>0</v>
      </c>
      <c r="K101" s="24" t="b">
        <f ca="1">IFERROR(__xludf.DUMMYFUNCTION("""COMPUTED_VALUE"""),FALSE)</f>
        <v>0</v>
      </c>
      <c r="L101" s="58">
        <f ca="1">IFERROR(__xludf.DUMMYFUNCTION("""COMPUTED_VALUE"""),45294)</f>
        <v>45294</v>
      </c>
      <c r="M101" s="24" t="str">
        <f ca="1">IFERROR(__xludf.DUMMYFUNCTION("""COMPUTED_VALUE"""),"International")</f>
        <v>International</v>
      </c>
      <c r="N101" s="24">
        <f ca="1">IFERROR(__xludf.DUMMYFUNCTION("""COMPUTED_VALUE"""),1)</f>
        <v>1</v>
      </c>
      <c r="O101" s="24">
        <f ca="1">IFERROR(__xludf.DUMMYFUNCTION("""COMPUTED_VALUE"""),4.379)</f>
        <v>4.3789999999999996</v>
      </c>
      <c r="P101" s="24" t="str">
        <f ca="1">IFERROR(__xludf.DUMMYFUNCTION("""COMPUTED_VALUE"""),"Yes")</f>
        <v>Yes</v>
      </c>
      <c r="Q101" s="24" t="str">
        <f ca="1">IFERROR(__xludf.DUMMYFUNCTION("""COMPUTED_VALUE"""),"Yes")</f>
        <v>Yes</v>
      </c>
      <c r="R101" s="24" t="str">
        <f ca="1">IFERROR(__xludf.DUMMYFUNCTION("""COMPUTED_VALUE"""),"ภาควิชาเวชศาสตร์คลินิกสัตว์ใหญ่และสัตว์ป่า")</f>
        <v>ภาควิชาเวชศาสตร์คลินิกสัตว์ใหญ่และสัตว์ป่า</v>
      </c>
      <c r="S101" s="24">
        <f ca="1">IFERROR(__xludf.DUMMYFUNCTION("""COMPUTED_VALUE"""),51)</f>
        <v>51</v>
      </c>
      <c r="T101" s="24" t="str">
        <f ca="1">IFERROR(__xludf.DUMMYFUNCTION("""COMPUTED_VALUE"""),"January")</f>
        <v>January</v>
      </c>
    </row>
    <row r="102" spans="1:20" ht="14.25" hidden="1">
      <c r="A102" s="24">
        <f ca="1">IFERROR(__xludf.DUMMYFUNCTION("""COMPUTED_VALUE"""),2023)</f>
        <v>2023</v>
      </c>
      <c r="B102" s="24">
        <f ca="1">IFERROR(__xludf.DUMMYFUNCTION("""COMPUTED_VALUE"""),656)</f>
        <v>656</v>
      </c>
      <c r="C102" s="24" t="str">
        <f ca="1">IFERROR(__xludf.DUMMYFUNCTION("""COMPUTED_VALUE"""),"A Flow Cytometry Study of the Binding and Stimulation Potentialof Inactivated Trypanosoma evansi toward DromedaryCamel Leukocytes")</f>
        <v>A Flow Cytometry Study of the Binding and Stimulation Potentialof Inactivated Trypanosoma evansi toward DromedaryCamel Leukocytes</v>
      </c>
      <c r="D102" s="24">
        <f ca="1">IFERROR(__xludf.DUMMYFUNCTION("""COMPUTED_VALUE"""),2)</f>
        <v>2</v>
      </c>
      <c r="E102" s="24" t="str">
        <f ca="1">IFERROR(__xludf.DUMMYFUNCTION("""COMPUTED_VALUE"""),"2023.656")</f>
        <v>2023.656</v>
      </c>
      <c r="F102" s="24" t="str">
        <f ca="1">IFERROR(__xludf.DUMMYFUNCTION("""COMPUTED_VALUE"""),"Camel")</f>
        <v>Camel</v>
      </c>
      <c r="G102" s="24" t="str">
        <f ca="1">IFERROR(__xludf.DUMMYFUNCTION("""COMPUTED_VALUE"""),"pathogens")</f>
        <v>pathogens</v>
      </c>
      <c r="H102" s="24" t="str">
        <f ca="1">IFERROR(__xludf.DUMMYFUNCTION("""COMPUTED_VALUE"""),"Ketsarin Kamyingkird")</f>
        <v>Ketsarin Kamyingkird</v>
      </c>
      <c r="I102" s="24" t="str">
        <f ca="1">IFERROR(__xludf.DUMMYFUNCTION("""COMPUTED_VALUE"""),"CoAuthor")</f>
        <v>CoAuthor</v>
      </c>
      <c r="J102" s="24" t="b">
        <f ca="1">IFERROR(__xludf.DUMMYFUNCTION("""COMPUTED_VALUE"""),FALSE)</f>
        <v>0</v>
      </c>
      <c r="K102" s="24" t="b">
        <f ca="1">IFERROR(__xludf.DUMMYFUNCTION("""COMPUTED_VALUE"""),FALSE)</f>
        <v>0</v>
      </c>
      <c r="L102" s="58">
        <f ca="1">IFERROR(__xludf.DUMMYFUNCTION("""COMPUTED_VALUE"""),45285)</f>
        <v>45285</v>
      </c>
      <c r="M102" s="24" t="str">
        <f ca="1">IFERROR(__xludf.DUMMYFUNCTION("""COMPUTED_VALUE"""),"International")</f>
        <v>International</v>
      </c>
      <c r="N102" s="24">
        <f ca="1">IFERROR(__xludf.DUMMYFUNCTION("""COMPUTED_VALUE"""),2)</f>
        <v>2</v>
      </c>
      <c r="O102" s="24">
        <f ca="1">IFERROR(__xludf.DUMMYFUNCTION("""COMPUTED_VALUE"""),3.405)</f>
        <v>3.4049999999999998</v>
      </c>
      <c r="P102" s="24" t="str">
        <f ca="1">IFERROR(__xludf.DUMMYFUNCTION("""COMPUTED_VALUE"""),"Yes")</f>
        <v>Yes</v>
      </c>
      <c r="Q102" s="24" t="str">
        <f ca="1">IFERROR(__xludf.DUMMYFUNCTION("""COMPUTED_VALUE"""),"Yes")</f>
        <v>Yes</v>
      </c>
      <c r="R102" s="24" t="str">
        <f ca="1">IFERROR(__xludf.DUMMYFUNCTION("""COMPUTED_VALUE"""),"ภาควิชาปรสิตวิทยา")</f>
        <v>ภาควิชาปรสิตวิทยา</v>
      </c>
      <c r="S102" s="24">
        <f ca="1">IFERROR(__xludf.DUMMYFUNCTION("""COMPUTED_VALUE"""),42)</f>
        <v>42</v>
      </c>
      <c r="T102" s="24" t="str">
        <f ca="1">IFERROR(__xludf.DUMMYFUNCTION("""COMPUTED_VALUE"""),"December")</f>
        <v>December</v>
      </c>
    </row>
    <row r="103" spans="1:20" ht="14.25" hidden="1">
      <c r="A103" s="24">
        <f ca="1">IFERROR(__xludf.DUMMYFUNCTION("""COMPUTED_VALUE"""),2024)</f>
        <v>2024</v>
      </c>
      <c r="B103" s="24">
        <f ca="1">IFERROR(__xludf.DUMMYFUNCTION("""COMPUTED_VALUE"""),657)</f>
        <v>657</v>
      </c>
      <c r="C103" s="24" t="str">
        <f ca="1">IFERROR(__xludf.DUMMYFUNCTION("""COMPUTED_VALUE"""),"Detection of feline immunodeficiency virus by neutral red-based loop-mediated isothermal amplification assay")</f>
        <v>Detection of feline immunodeficiency virus by neutral red-based loop-mediated isothermal amplification assay</v>
      </c>
      <c r="D103" s="24">
        <f ca="1">IFERROR(__xludf.DUMMYFUNCTION("""COMPUTED_VALUE"""),2)</f>
        <v>2</v>
      </c>
      <c r="E103" s="24" t="str">
        <f ca="1">IFERROR(__xludf.DUMMYFUNCTION("""COMPUTED_VALUE"""),"2024.657")</f>
        <v>2024.657</v>
      </c>
      <c r="F103" s="24" t="str">
        <f ca="1">IFERROR(__xludf.DUMMYFUNCTION("""COMPUTED_VALUE"""),"Cat")</f>
        <v>Cat</v>
      </c>
      <c r="G103" s="24" t="str">
        <f ca="1">IFERROR(__xludf.DUMMYFUNCTION("""COMPUTED_VALUE"""),"Veterinary World")</f>
        <v>Veterinary World</v>
      </c>
      <c r="H103" s="24" t="str">
        <f ca="1">IFERROR(__xludf.DUMMYFUNCTION("""COMPUTED_VALUE"""),"Jatuporn Rattanasrisomporn")</f>
        <v>Jatuporn Rattanasrisomporn</v>
      </c>
      <c r="I103" s="24" t="str">
        <f ca="1">IFERROR(__xludf.DUMMYFUNCTION("""COMPUTED_VALUE"""),"CorrespondingAuthor")</f>
        <v>CorrespondingAuthor</v>
      </c>
      <c r="J103" s="24" t="b">
        <f ca="1">IFERROR(__xludf.DUMMYFUNCTION("""COMPUTED_VALUE"""),FALSE)</f>
        <v>0</v>
      </c>
      <c r="K103" s="24" t="b">
        <f ca="1">IFERROR(__xludf.DUMMYFUNCTION("""COMPUTED_VALUE"""),TRUE)</f>
        <v>1</v>
      </c>
      <c r="L103" s="58">
        <f ca="1">IFERROR(__xludf.DUMMYFUNCTION("""COMPUTED_VALUE"""),45299)</f>
        <v>45299</v>
      </c>
      <c r="M103" s="24" t="str">
        <f ca="1">IFERROR(__xludf.DUMMYFUNCTION("""COMPUTED_VALUE"""),"International")</f>
        <v>International</v>
      </c>
      <c r="N103" s="24">
        <f ca="1">IFERROR(__xludf.DUMMYFUNCTION("""COMPUTED_VALUE"""),2)</f>
        <v>2</v>
      </c>
      <c r="O103" s="24">
        <f ca="1">IFERROR(__xludf.DUMMYFUNCTION("""COMPUTED_VALUE"""),2.11)</f>
        <v>2.11</v>
      </c>
      <c r="P103" s="24" t="str">
        <f ca="1">IFERROR(__xludf.DUMMYFUNCTION("""COMPUTED_VALUE"""),"No")</f>
        <v>No</v>
      </c>
      <c r="Q103" s="24" t="str">
        <f ca="1">IFERROR(__xludf.DUMMYFUNCTION("""COMPUTED_VALUE"""),"Yes")</f>
        <v>Yes</v>
      </c>
      <c r="R103" s="24" t="str">
        <f ca="1">IFERROR(__xludf.DUMMYFUNCTION("""COMPUTED_VALUE"""),"ภาควิชาเวชศาสตร์คลินิกสัตว์เลี้ยง")</f>
        <v>ภาควิชาเวชศาสตร์คลินิกสัตว์เลี้ยง</v>
      </c>
      <c r="S103" s="24">
        <f ca="1">IFERROR(__xludf.DUMMYFUNCTION("""COMPUTED_VALUE"""),52)</f>
        <v>52</v>
      </c>
      <c r="T103" s="24" t="str">
        <f ca="1">IFERROR(__xludf.DUMMYFUNCTION("""COMPUTED_VALUE"""),"January")</f>
        <v>January</v>
      </c>
    </row>
    <row r="104" spans="1:20" ht="14.25" hidden="1">
      <c r="A104" s="24">
        <f ca="1">IFERROR(__xludf.DUMMYFUNCTION("""COMPUTED_VALUE"""),2024)</f>
        <v>2024</v>
      </c>
      <c r="B104" s="24">
        <f ca="1">IFERROR(__xludf.DUMMYFUNCTION("""COMPUTED_VALUE"""),658)</f>
        <v>658</v>
      </c>
      <c r="C104" s="24" t="str">
        <f ca="1">IFERROR(__xludf.DUMMYFUNCTION("""COMPUTED_VALUE"""),"A protocol and a data-based prediction to investigate virus spillover at the wildlife interface in human-dominated and protected habitats in Thailand: The Spillover Interface project")</f>
        <v>A protocol and a data-based prediction to investigate virus spillover at the wildlife interface in human-dominated and protected habitats in Thailand: The Spillover Interface project</v>
      </c>
      <c r="D104" s="24">
        <f ca="1">IFERROR(__xludf.DUMMYFUNCTION("""COMPUTED_VALUE"""),2)</f>
        <v>2</v>
      </c>
      <c r="E104" s="24" t="str">
        <f ca="1">IFERROR(__xludf.DUMMYFUNCTION("""COMPUTED_VALUE"""),"2024.658")</f>
        <v>2024.658</v>
      </c>
      <c r="F104" s="24" t="str">
        <f ca="1">IFERROR(__xludf.DUMMYFUNCTION("""COMPUTED_VALUE"""),"Wildlife")</f>
        <v>Wildlife</v>
      </c>
      <c r="G104" s="24" t="str">
        <f ca="1">IFERROR(__xludf.DUMMYFUNCTION("""COMPUTED_VALUE"""),"PLoS ONE")</f>
        <v>PLoS ONE</v>
      </c>
      <c r="H104" s="24" t="str">
        <f ca="1">IFERROR(__xludf.DUMMYFUNCTION("""COMPUTED_VALUE"""),"Chuanphot Thinphovong")</f>
        <v>Chuanphot Thinphovong</v>
      </c>
      <c r="I104" s="24" t="str">
        <f ca="1">IFERROR(__xludf.DUMMYFUNCTION("""COMPUTED_VALUE"""),"FirstAuthor&amp;CorrespondingAuthor")</f>
        <v>FirstAuthor&amp;CorrespondingAuthor</v>
      </c>
      <c r="J104" s="24" t="b">
        <f ca="1">IFERROR(__xludf.DUMMYFUNCTION("""COMPUTED_VALUE"""),FALSE)</f>
        <v>0</v>
      </c>
      <c r="K104" s="24" t="b">
        <f ca="1">IFERROR(__xludf.DUMMYFUNCTION("""COMPUTED_VALUE"""),FALSE)</f>
        <v>0</v>
      </c>
      <c r="L104" s="58">
        <f ca="1">IFERROR(__xludf.DUMMYFUNCTION("""COMPUTED_VALUE"""),45293)</f>
        <v>45293</v>
      </c>
      <c r="M104" s="24" t="str">
        <f ca="1">IFERROR(__xludf.DUMMYFUNCTION("""COMPUTED_VALUE"""),"International")</f>
        <v>International</v>
      </c>
      <c r="N104" s="24">
        <f ca="1">IFERROR(__xludf.DUMMYFUNCTION("""COMPUTED_VALUE"""),1)</f>
        <v>1</v>
      </c>
      <c r="O104" s="24">
        <f ca="1">IFERROR(__xludf.DUMMYFUNCTION("""COMPUTED_VALUE"""),3.24)</f>
        <v>3.24</v>
      </c>
      <c r="P104" s="24" t="str">
        <f ca="1">IFERROR(__xludf.DUMMYFUNCTION("""COMPUTED_VALUE"""),"Yes")</f>
        <v>Yes</v>
      </c>
      <c r="Q104" s="24" t="str">
        <f ca="1">IFERROR(__xludf.DUMMYFUNCTION("""COMPUTED_VALUE"""),"Yes")</f>
        <v>Yes</v>
      </c>
      <c r="R104" s="24" t="str">
        <f ca="1">IFERROR(__xludf.DUMMYFUNCTION("""COMPUTED_VALUE"""),"#N/A")</f>
        <v>#N/A</v>
      </c>
      <c r="S104" s="24" t="str">
        <f ca="1">IFERROR(__xludf.DUMMYFUNCTION("""COMPUTED_VALUE"""),"#N/A")</f>
        <v>#N/A</v>
      </c>
      <c r="T104" s="24" t="str">
        <f ca="1">IFERROR(__xludf.DUMMYFUNCTION("""COMPUTED_VALUE"""),"January")</f>
        <v>January</v>
      </c>
    </row>
    <row r="105" spans="1:20" ht="14.25" hidden="1">
      <c r="A105" s="24">
        <f ca="1">IFERROR(__xludf.DUMMYFUNCTION("""COMPUTED_VALUE"""),2024)</f>
        <v>2024</v>
      </c>
      <c r="B105" s="24">
        <f ca="1">IFERROR(__xludf.DUMMYFUNCTION("""COMPUTED_VALUE"""),659)</f>
        <v>659</v>
      </c>
      <c r="C105" s="24" t="str">
        <f ca="1">IFERROR(__xludf.DUMMYFUNCTION("""COMPUTED_VALUE"""),"Isolation of bacteriophages specific to bovine mastitis-causing bacteria and characterization of their lytic activity in pasteurized milk")</f>
        <v>Isolation of bacteriophages specific to bovine mastitis-causing bacteria and characterization of their lytic activity in pasteurized milk</v>
      </c>
      <c r="D105" s="24">
        <f ca="1">IFERROR(__xludf.DUMMYFUNCTION("""COMPUTED_VALUE"""),2)</f>
        <v>2</v>
      </c>
      <c r="E105" s="24" t="str">
        <f ca="1">IFERROR(__xludf.DUMMYFUNCTION("""COMPUTED_VALUE"""),"2024.659")</f>
        <v>2024.659</v>
      </c>
      <c r="F105" s="24" t="str">
        <f ca="1">IFERROR(__xludf.DUMMYFUNCTION("""COMPUTED_VALUE"""),"Bovine")</f>
        <v>Bovine</v>
      </c>
      <c r="G105" s="24" t="str">
        <f ca="1">IFERROR(__xludf.DUMMYFUNCTION("""COMPUTED_VALUE"""),"Veterinary World")</f>
        <v>Veterinary World</v>
      </c>
      <c r="H105" s="24" t="str">
        <f ca="1">IFERROR(__xludf.DUMMYFUNCTION("""COMPUTED_VALUE"""),"Pipat Arunvipas")</f>
        <v>Pipat Arunvipas</v>
      </c>
      <c r="I105" s="24" t="str">
        <f ca="1">IFERROR(__xludf.DUMMYFUNCTION("""COMPUTED_VALUE"""),"CoAuthor")</f>
        <v>CoAuthor</v>
      </c>
      <c r="J105" s="24" t="b">
        <f ca="1">IFERROR(__xludf.DUMMYFUNCTION("""COMPUTED_VALUE"""),FALSE)</f>
        <v>0</v>
      </c>
      <c r="K105" s="24" t="b">
        <f ca="1">IFERROR(__xludf.DUMMYFUNCTION("""COMPUTED_VALUE"""),FALSE)</f>
        <v>0</v>
      </c>
      <c r="L105" s="58">
        <f ca="1">IFERROR(__xludf.DUMMYFUNCTION("""COMPUTED_VALUE"""),45316)</f>
        <v>45316</v>
      </c>
      <c r="M105" s="24" t="str">
        <f ca="1">IFERROR(__xludf.DUMMYFUNCTION("""COMPUTED_VALUE"""),"International")</f>
        <v>International</v>
      </c>
      <c r="N105" s="24">
        <f ca="1">IFERROR(__xludf.DUMMYFUNCTION("""COMPUTED_VALUE"""),2)</f>
        <v>2</v>
      </c>
      <c r="O105" s="24">
        <f ca="1">IFERROR(__xludf.DUMMYFUNCTION("""COMPUTED_VALUE"""),2.11)</f>
        <v>2.11</v>
      </c>
      <c r="P105" s="24" t="str">
        <f ca="1">IFERROR(__xludf.DUMMYFUNCTION("""COMPUTED_VALUE"""),"No")</f>
        <v>No</v>
      </c>
      <c r="Q105" s="24" t="str">
        <f ca="1">IFERROR(__xludf.DUMMYFUNCTION("""COMPUTED_VALUE"""),"Yes")</f>
        <v>Yes</v>
      </c>
      <c r="R105" s="24" t="str">
        <f ca="1">IFERROR(__xludf.DUMMYFUNCTION("""COMPUTED_VALUE"""),"ภาควิชาเวชศาสตร์คลินิกสัตว์ใหญ่และสัตว์ป่า")</f>
        <v>ภาควิชาเวชศาสตร์คลินิกสัตว์ใหญ่และสัตว์ป่า</v>
      </c>
      <c r="S105" s="24">
        <f ca="1">IFERROR(__xludf.DUMMYFUNCTION("""COMPUTED_VALUE"""),59)</f>
        <v>59</v>
      </c>
      <c r="T105" s="24" t="str">
        <f ca="1">IFERROR(__xludf.DUMMYFUNCTION("""COMPUTED_VALUE"""),"January")</f>
        <v>January</v>
      </c>
    </row>
    <row r="106" spans="1:20" ht="14.25" hidden="1">
      <c r="A106" s="24">
        <f ca="1">IFERROR(__xludf.DUMMYFUNCTION("""COMPUTED_VALUE"""),2024)</f>
        <v>2024</v>
      </c>
      <c r="B106" s="24">
        <f ca="1">IFERROR(__xludf.DUMMYFUNCTION("""COMPUTED_VALUE"""),660)</f>
        <v>660</v>
      </c>
      <c r="C106" s="24" t="str">
        <f ca="1">IFERROR(__xludf.DUMMYFUNCTION("""COMPUTED_VALUE"""),"Strategic palmar trimming before conventional shoeing shows potential for managing underrun heels in horses")</f>
        <v>Strategic palmar trimming before conventional shoeing shows potential for managing underrun heels in horses</v>
      </c>
      <c r="D106" s="24">
        <f ca="1">IFERROR(__xludf.DUMMYFUNCTION("""COMPUTED_VALUE"""),5)</f>
        <v>5</v>
      </c>
      <c r="E106" s="24" t="str">
        <f ca="1">IFERROR(__xludf.DUMMYFUNCTION("""COMPUTED_VALUE"""),"2024.660")</f>
        <v>2024.660</v>
      </c>
      <c r="F106" s="24" t="str">
        <f ca="1">IFERROR(__xludf.DUMMYFUNCTION("""COMPUTED_VALUE"""),"Turtle")</f>
        <v>Turtle</v>
      </c>
      <c r="G106" s="24" t="str">
        <f ca="1">IFERROR(__xludf.DUMMYFUNCTION("""COMPUTED_VALUE"""),"Veterinary World")</f>
        <v>Veterinary World</v>
      </c>
      <c r="H106" s="24" t="str">
        <f ca="1">IFERROR(__xludf.DUMMYFUNCTION("""COMPUTED_VALUE"""),"Theerapol Sirinarumitr")</f>
        <v>Theerapol Sirinarumitr</v>
      </c>
      <c r="I106" s="24" t="str">
        <f ca="1">IFERROR(__xludf.DUMMYFUNCTION("""COMPUTED_VALUE"""),"CorrespondingAuthor")</f>
        <v>CorrespondingAuthor</v>
      </c>
      <c r="J106" s="24" t="b">
        <f ca="1">IFERROR(__xludf.DUMMYFUNCTION("""COMPUTED_VALUE"""),FALSE)</f>
        <v>0</v>
      </c>
      <c r="K106" s="24" t="b">
        <f ca="1">IFERROR(__xludf.DUMMYFUNCTION("""COMPUTED_VALUE"""),FALSE)</f>
        <v>0</v>
      </c>
      <c r="L106" s="58">
        <f ca="1">IFERROR(__xludf.DUMMYFUNCTION("""COMPUTED_VALUE"""),45295)</f>
        <v>45295</v>
      </c>
      <c r="M106" s="24" t="str">
        <f ca="1">IFERROR(__xludf.DUMMYFUNCTION("""COMPUTED_VALUE"""),"International")</f>
        <v>International</v>
      </c>
      <c r="N106" s="24">
        <f ca="1">IFERROR(__xludf.DUMMYFUNCTION("""COMPUTED_VALUE"""),2)</f>
        <v>2</v>
      </c>
      <c r="O106" s="24">
        <f ca="1">IFERROR(__xludf.DUMMYFUNCTION("""COMPUTED_VALUE"""),2.11)</f>
        <v>2.11</v>
      </c>
      <c r="P106" s="24" t="str">
        <f ca="1">IFERROR(__xludf.DUMMYFUNCTION("""COMPUTED_VALUE"""),"No")</f>
        <v>No</v>
      </c>
      <c r="Q106" s="24" t="str">
        <f ca="1">IFERROR(__xludf.DUMMYFUNCTION("""COMPUTED_VALUE"""),"Yes")</f>
        <v>Yes</v>
      </c>
      <c r="R106" s="24" t="str">
        <f ca="1">IFERROR(__xludf.DUMMYFUNCTION("""COMPUTED_VALUE"""),"ภาควิชาพยาธิวิทยา")</f>
        <v>ภาควิชาพยาธิวิทยา</v>
      </c>
      <c r="S106" s="24">
        <f ca="1">IFERROR(__xludf.DUMMYFUNCTION("""COMPUTED_VALUE"""),63)</f>
        <v>63</v>
      </c>
      <c r="T106" s="24" t="str">
        <f ca="1">IFERROR(__xludf.DUMMYFUNCTION("""COMPUTED_VALUE"""),"January")</f>
        <v>January</v>
      </c>
    </row>
    <row r="107" spans="1:20" ht="14.25" hidden="1">
      <c r="A107" s="24">
        <f ca="1">IFERROR(__xludf.DUMMYFUNCTION("""COMPUTED_VALUE"""),2024)</f>
        <v>2024</v>
      </c>
      <c r="B107" s="24">
        <f ca="1">IFERROR(__xludf.DUMMYFUNCTION("""COMPUTED_VALUE"""),661)</f>
        <v>661</v>
      </c>
      <c r="C107" s="24" t="str">
        <f ca="1">IFERROR(__xludf.DUMMYFUNCTION("""COMPUTED_VALUE"""),"Listeria Contamination in Milk-Processing Chain and Proficiency in Listeria monocytogenes Decontamination of Small-Scale Milk Retailers")</f>
        <v>Listeria Contamination in Milk-Processing Chain and Proficiency in Listeria monocytogenes Decontamination of Small-Scale Milk Retailers</v>
      </c>
      <c r="D107" s="24">
        <f ca="1">IFERROR(__xludf.DUMMYFUNCTION("""COMPUTED_VALUE"""),2)</f>
        <v>2</v>
      </c>
      <c r="E107" s="24" t="str">
        <f ca="1">IFERROR(__xludf.DUMMYFUNCTION("""COMPUTED_VALUE"""),"2024.661")</f>
        <v>2024.661</v>
      </c>
      <c r="F107" s="24" t="str">
        <f ca="1">IFERROR(__xludf.DUMMYFUNCTION("""COMPUTED_VALUE"""),"Bovine")</f>
        <v>Bovine</v>
      </c>
      <c r="G107" s="24" t="str">
        <f ca="1">IFERROR(__xludf.DUMMYFUNCTION("""COMPUTED_VALUE"""),"Journal of Food Quality")</f>
        <v>Journal of Food Quality</v>
      </c>
      <c r="H107" s="24" t="str">
        <f ca="1">IFERROR(__xludf.DUMMYFUNCTION("""COMPUTED_VALUE"""),"Suppada Kananub")</f>
        <v>Suppada Kananub</v>
      </c>
      <c r="I107" s="24" t="str">
        <f ca="1">IFERROR(__xludf.DUMMYFUNCTION("""COMPUTED_VALUE"""),"FirstAuthor&amp;CorrespondingAuthor")</f>
        <v>FirstAuthor&amp;CorrespondingAuthor</v>
      </c>
      <c r="J107" s="24" t="b">
        <f ca="1">IFERROR(__xludf.DUMMYFUNCTION("""COMPUTED_VALUE"""),FALSE)</f>
        <v>0</v>
      </c>
      <c r="K107" s="24" t="b">
        <f ca="1">IFERROR(__xludf.DUMMYFUNCTION("""COMPUTED_VALUE"""),FALSE)</f>
        <v>0</v>
      </c>
      <c r="L107" s="58">
        <f ca="1">IFERROR(__xludf.DUMMYFUNCTION("""COMPUTED_VALUE"""),45316)</f>
        <v>45316</v>
      </c>
      <c r="M107" s="24" t="str">
        <f ca="1">IFERROR(__xludf.DUMMYFUNCTION("""COMPUTED_VALUE"""),"International")</f>
        <v>International</v>
      </c>
      <c r="N107" s="24">
        <f ca="1">IFERROR(__xludf.DUMMYFUNCTION("""COMPUTED_VALUE"""),2)</f>
        <v>2</v>
      </c>
      <c r="O107" s="24">
        <f ca="1">IFERROR(__xludf.DUMMYFUNCTION("""COMPUTED_VALUE"""),3.3)</f>
        <v>3.3</v>
      </c>
      <c r="P107" s="24" t="str">
        <f ca="1">IFERROR(__xludf.DUMMYFUNCTION("""COMPUTED_VALUE"""),"Yes")</f>
        <v>Yes</v>
      </c>
      <c r="Q107" s="24" t="str">
        <f ca="1">IFERROR(__xludf.DUMMYFUNCTION("""COMPUTED_VALUE"""),"Yes")</f>
        <v>Yes</v>
      </c>
      <c r="R107" s="24" t="str">
        <f ca="1">IFERROR(__xludf.DUMMYFUNCTION("""COMPUTED_VALUE"""),"ภาควิชาสัตวแพทยสาธารณสุขศาสตร์")</f>
        <v>ภาควิชาสัตวแพทยสาธารณสุขศาสตร์</v>
      </c>
      <c r="S107" s="24">
        <f ca="1">IFERROR(__xludf.DUMMYFUNCTION("""COMPUTED_VALUE"""),41)</f>
        <v>41</v>
      </c>
      <c r="T107" s="24" t="str">
        <f ca="1">IFERROR(__xludf.DUMMYFUNCTION("""COMPUTED_VALUE"""),"January")</f>
        <v>January</v>
      </c>
    </row>
    <row r="108" spans="1:20" ht="14.25" hidden="1">
      <c r="A108" s="24">
        <f ca="1">IFERROR(__xludf.DUMMYFUNCTION("""COMPUTED_VALUE"""),2024)</f>
        <v>2024</v>
      </c>
      <c r="B108" s="24">
        <f ca="1">IFERROR(__xludf.DUMMYFUNCTION("""COMPUTED_VALUE"""),662)</f>
        <v>662</v>
      </c>
      <c r="C108" s="24" t="str">
        <f ca="1">IFERROR(__xludf.DUMMYFUNCTION("""COMPUTED_VALUE"""),"Toxoplasma gondii contamination in fresh vegetables destined for human and livestock consumption in Thua Thien Hue, Vietnam")</f>
        <v>Toxoplasma gondii contamination in fresh vegetables destined for human and livestock consumption in Thua Thien Hue, Vietnam</v>
      </c>
      <c r="D108" s="24">
        <f ca="1">IFERROR(__xludf.DUMMYFUNCTION("""COMPUTED_VALUE"""),2)</f>
        <v>2</v>
      </c>
      <c r="E108" s="24" t="str">
        <f ca="1">IFERROR(__xludf.DUMMYFUNCTION("""COMPUTED_VALUE"""),"2024.662")</f>
        <v>2024.662</v>
      </c>
      <c r="F108" s="24" t="str">
        <f ca="1">IFERROR(__xludf.DUMMYFUNCTION("""COMPUTED_VALUE"""),"Human")</f>
        <v>Human</v>
      </c>
      <c r="G108" s="24" t="str">
        <f ca="1">IFERROR(__xludf.DUMMYFUNCTION("""COMPUTED_VALUE"""),"Veterinary Integrative Sciences")</f>
        <v>Veterinary Integrative Sciences</v>
      </c>
      <c r="H108" s="24" t="str">
        <f ca="1">IFERROR(__xludf.DUMMYFUNCTION("""COMPUTED_VALUE"""),"Tawin Inpankaew")</f>
        <v>Tawin Inpankaew</v>
      </c>
      <c r="I108" s="24" t="str">
        <f ca="1">IFERROR(__xludf.DUMMYFUNCTION("""COMPUTED_VALUE"""),"CoAuthor")</f>
        <v>CoAuthor</v>
      </c>
      <c r="J108" s="24" t="b">
        <f ca="1">IFERROR(__xludf.DUMMYFUNCTION("""COMPUTED_VALUE"""),FALSE)</f>
        <v>0</v>
      </c>
      <c r="K108" s="24" t="b">
        <f ca="1">IFERROR(__xludf.DUMMYFUNCTION("""COMPUTED_VALUE"""),FALSE)</f>
        <v>0</v>
      </c>
      <c r="L108" s="58">
        <f ca="1">IFERROR(__xludf.DUMMYFUNCTION("""COMPUTED_VALUE"""),45303)</f>
        <v>45303</v>
      </c>
      <c r="M108" s="24" t="str">
        <f ca="1">IFERROR(__xludf.DUMMYFUNCTION("""COMPUTED_VALUE"""),"International")</f>
        <v>International</v>
      </c>
      <c r="N108" s="24">
        <f ca="1">IFERROR(__xludf.DUMMYFUNCTION("""COMPUTED_VALUE"""),4)</f>
        <v>4</v>
      </c>
      <c r="O108" s="24">
        <f ca="1">IFERROR(__xludf.DUMMYFUNCTION("""COMPUTED_VALUE"""),0)</f>
        <v>0</v>
      </c>
      <c r="P108" s="24" t="str">
        <f ca="1">IFERROR(__xludf.DUMMYFUNCTION("""COMPUTED_VALUE"""),"No")</f>
        <v>No</v>
      </c>
      <c r="Q108" s="24" t="str">
        <f ca="1">IFERROR(__xludf.DUMMYFUNCTION("""COMPUTED_VALUE"""),"Yes")</f>
        <v>Yes</v>
      </c>
      <c r="R108" s="24" t="str">
        <f ca="1">IFERROR(__xludf.DUMMYFUNCTION("""COMPUTED_VALUE"""),"ภาควิชาปรสิตวิทยา")</f>
        <v>ภาควิชาปรสิตวิทยา</v>
      </c>
      <c r="S108" s="24">
        <f ca="1">IFERROR(__xludf.DUMMYFUNCTION("""COMPUTED_VALUE"""),47)</f>
        <v>47</v>
      </c>
      <c r="T108" s="24" t="str">
        <f ca="1">IFERROR(__xludf.DUMMYFUNCTION("""COMPUTED_VALUE"""),"January")</f>
        <v>January</v>
      </c>
    </row>
    <row r="109" spans="1:20" ht="14.25" hidden="1">
      <c r="A109" s="24">
        <f ca="1">IFERROR(__xludf.DUMMYFUNCTION("""COMPUTED_VALUE"""),2023)</f>
        <v>2023</v>
      </c>
      <c r="B109" s="24">
        <f ca="1">IFERROR(__xludf.DUMMYFUNCTION("""COMPUTED_VALUE"""),663)</f>
        <v>663</v>
      </c>
      <c r="C109" s="24" t="str">
        <f ca="1">IFERROR(__xludf.DUMMYFUNCTION("""COMPUTED_VALUE"""),"Assessment of Nutrients in Natural Saltlicks, Artificial Saltlicks, and General Soils Used by Wild Asian Elephants (Elephas maximus) in the Western Forests of Thailand")</f>
        <v>Assessment of Nutrients in Natural Saltlicks, Artificial Saltlicks, and General Soils Used by Wild Asian Elephants (Elephas maximus) in the Western Forests of Thailand</v>
      </c>
      <c r="D109" s="24">
        <f ca="1">IFERROR(__xludf.DUMMYFUNCTION("""COMPUTED_VALUE"""),2)</f>
        <v>2</v>
      </c>
      <c r="E109" s="24" t="str">
        <f ca="1">IFERROR(__xludf.DUMMYFUNCTION("""COMPUTED_VALUE"""),"2023.663")</f>
        <v>2023.663</v>
      </c>
      <c r="F109" s="24" t="str">
        <f ca="1">IFERROR(__xludf.DUMMYFUNCTION("""COMPUTED_VALUE"""),"Elephant")</f>
        <v>Elephant</v>
      </c>
      <c r="G109" s="24" t="str">
        <f ca="1">IFERROR(__xludf.DUMMYFUNCTION("""COMPUTED_VALUE"""),"Resources")</f>
        <v>Resources</v>
      </c>
      <c r="H109" s="24" t="str">
        <f ca="1">IFERROR(__xludf.DUMMYFUNCTION("""COMPUTED_VALUE"""),"Nikorn Thongthip")</f>
        <v>Nikorn Thongthip</v>
      </c>
      <c r="I109" s="24" t="str">
        <f ca="1">IFERROR(__xludf.DUMMYFUNCTION("""COMPUTED_VALUE"""),"CoAuthor")</f>
        <v>CoAuthor</v>
      </c>
      <c r="J109" s="24" t="b">
        <f ca="1">IFERROR(__xludf.DUMMYFUNCTION("""COMPUTED_VALUE"""),FALSE)</f>
        <v>0</v>
      </c>
      <c r="K109" s="24" t="b">
        <f ca="1">IFERROR(__xludf.DUMMYFUNCTION("""COMPUTED_VALUE"""),FALSE)</f>
        <v>0</v>
      </c>
      <c r="L109" s="58">
        <f ca="1">IFERROR(__xludf.DUMMYFUNCTION("""COMPUTED_VALUE"""),45289)</f>
        <v>45289</v>
      </c>
      <c r="M109" s="24" t="str">
        <f ca="1">IFERROR(__xludf.DUMMYFUNCTION("""COMPUTED_VALUE"""),"International")</f>
        <v>International</v>
      </c>
      <c r="N109" s="24">
        <f ca="1">IFERROR(__xludf.DUMMYFUNCTION("""COMPUTED_VALUE"""),1)</f>
        <v>1</v>
      </c>
      <c r="O109" s="24">
        <f ca="1">IFERROR(__xludf.DUMMYFUNCTION("""COMPUTED_VALUE"""),3.3)</f>
        <v>3.3</v>
      </c>
      <c r="P109" s="24" t="str">
        <f ca="1">IFERROR(__xludf.DUMMYFUNCTION("""COMPUTED_VALUE"""),"No")</f>
        <v>No</v>
      </c>
      <c r="Q109" s="24" t="str">
        <f ca="1">IFERROR(__xludf.DUMMYFUNCTION("""COMPUTED_VALUE"""),"Yes")</f>
        <v>Yes</v>
      </c>
      <c r="R109" s="24" t="str">
        <f ca="1">IFERROR(__xludf.DUMMYFUNCTION("""COMPUTED_VALUE"""),"ภาควิชาเวชศาสตร์คลินิกสัตว์ใหญ่และสัตว์ป่า")</f>
        <v>ภาควิชาเวชศาสตร์คลินิกสัตว์ใหญ่และสัตว์ป่า</v>
      </c>
      <c r="S109" s="24">
        <f ca="1">IFERROR(__xludf.DUMMYFUNCTION("""COMPUTED_VALUE"""),53)</f>
        <v>53</v>
      </c>
      <c r="T109" s="24" t="str">
        <f ca="1">IFERROR(__xludf.DUMMYFUNCTION("""COMPUTED_VALUE"""),"December")</f>
        <v>December</v>
      </c>
    </row>
    <row r="110" spans="1:20" ht="14.25" hidden="1">
      <c r="A110" s="24">
        <f ca="1">IFERROR(__xludf.DUMMYFUNCTION("""COMPUTED_VALUE"""),2024)</f>
        <v>2024</v>
      </c>
      <c r="B110" s="24">
        <f ca="1">IFERROR(__xludf.DUMMYFUNCTION("""COMPUTED_VALUE"""),664)</f>
        <v>664</v>
      </c>
      <c r="C110" s="24" t="str">
        <f ca="1">IFERROR(__xludf.DUMMYFUNCTION("""COMPUTED_VALUE"""),"Species Differences and Tissue Distribution of Heavy Metal Residues in Wild Birds")</f>
        <v>Species Differences and Tissue Distribution of Heavy Metal Residues in Wild Birds</v>
      </c>
      <c r="D110" s="24">
        <f ca="1">IFERROR(__xludf.DUMMYFUNCTION("""COMPUTED_VALUE"""),2)</f>
        <v>2</v>
      </c>
      <c r="E110" s="24" t="str">
        <f ca="1">IFERROR(__xludf.DUMMYFUNCTION("""COMPUTED_VALUE"""),"2024.664")</f>
        <v>2024.664</v>
      </c>
      <c r="F110" s="24" t="str">
        <f ca="1">IFERROR(__xludf.DUMMYFUNCTION("""COMPUTED_VALUE"""),"Bird")</f>
        <v>Bird</v>
      </c>
      <c r="G110" s="24" t="str">
        <f ca="1">IFERROR(__xludf.DUMMYFUNCTION("""COMPUTED_VALUE"""),"Animals")</f>
        <v>Animals</v>
      </c>
      <c r="H110" s="24" t="str">
        <f ca="1">IFERROR(__xludf.DUMMYFUNCTION("""COMPUTED_VALUE"""),"Kraisiri Khidkhan")</f>
        <v>Kraisiri Khidkhan</v>
      </c>
      <c r="I110" s="24" t="str">
        <f ca="1">IFERROR(__xludf.DUMMYFUNCTION("""COMPUTED_VALUE"""),"CorrespondingAuthor")</f>
        <v>CorrespondingAuthor</v>
      </c>
      <c r="J110" s="24" t="b">
        <f ca="1">IFERROR(__xludf.DUMMYFUNCTION("""COMPUTED_VALUE"""),FALSE)</f>
        <v>0</v>
      </c>
      <c r="K110" s="24" t="b">
        <f ca="1">IFERROR(__xludf.DUMMYFUNCTION("""COMPUTED_VALUE"""),FALSE)</f>
        <v>0</v>
      </c>
      <c r="L110" s="58">
        <f ca="1">IFERROR(__xludf.DUMMYFUNCTION("""COMPUTED_VALUE"""),45319)</f>
        <v>45319</v>
      </c>
      <c r="M110" s="24" t="str">
        <f ca="1">IFERROR(__xludf.DUMMYFUNCTION("""COMPUTED_VALUE"""),"International")</f>
        <v>International</v>
      </c>
      <c r="N110" s="24">
        <f ca="1">IFERROR(__xludf.DUMMYFUNCTION("""COMPUTED_VALUE"""),1)</f>
        <v>1</v>
      </c>
      <c r="O110" s="24">
        <f ca="1">IFERROR(__xludf.DUMMYFUNCTION("""COMPUTED_VALUE"""),2.752)</f>
        <v>2.7519999999999998</v>
      </c>
      <c r="P110" s="24" t="str">
        <f ca="1">IFERROR(__xludf.DUMMYFUNCTION("""COMPUTED_VALUE"""),"Yes")</f>
        <v>Yes</v>
      </c>
      <c r="Q110" s="24" t="str">
        <f ca="1">IFERROR(__xludf.DUMMYFUNCTION("""COMPUTED_VALUE"""),"Yes")</f>
        <v>Yes</v>
      </c>
      <c r="R110" s="24" t="str">
        <f ca="1">IFERROR(__xludf.DUMMYFUNCTION("""COMPUTED_VALUE"""),"ภาควิชาเภสัชวิทยา")</f>
        <v>ภาควิชาเภสัชวิทยา</v>
      </c>
      <c r="S110" s="24">
        <f ca="1">IFERROR(__xludf.DUMMYFUNCTION("""COMPUTED_VALUE"""),38)</f>
        <v>38</v>
      </c>
      <c r="T110" s="24" t="str">
        <f ca="1">IFERROR(__xludf.DUMMYFUNCTION("""COMPUTED_VALUE"""),"January")</f>
        <v>January</v>
      </c>
    </row>
    <row r="111" spans="1:20" ht="14.25" hidden="1">
      <c r="A111" s="24">
        <f ca="1">IFERROR(__xludf.DUMMYFUNCTION("""COMPUTED_VALUE"""),2024)</f>
        <v>2024</v>
      </c>
      <c r="B111" s="24">
        <f ca="1">IFERROR(__xludf.DUMMYFUNCTION("""COMPUTED_VALUE"""),665)</f>
        <v>665</v>
      </c>
      <c r="C111" s="24" t="str">
        <f ca="1">IFERROR(__xludf.DUMMYFUNCTION("""COMPUTED_VALUE"""),"Occurrence and potential health risk of aflatoxin M1 in raw, pasteurized, and uht milk in Thailand")</f>
        <v>Occurrence and potential health risk of aflatoxin M1 in raw, pasteurized, and uht milk in Thailand</v>
      </c>
      <c r="D111" s="24">
        <f ca="1">IFERROR(__xludf.DUMMYFUNCTION("""COMPUTED_VALUE"""),2)</f>
        <v>2</v>
      </c>
      <c r="E111" s="24" t="str">
        <f ca="1">IFERROR(__xludf.DUMMYFUNCTION("""COMPUTED_VALUE"""),"2024.665")</f>
        <v>2024.665</v>
      </c>
      <c r="F111" s="24" t="str">
        <f ca="1">IFERROR(__xludf.DUMMYFUNCTION("""COMPUTED_VALUE"""),"Bovine")</f>
        <v>Bovine</v>
      </c>
      <c r="G111" s="24" t="str">
        <f ca="1">IFERROR(__xludf.DUMMYFUNCTION("""COMPUTED_VALUE"""),"World mycotoxin journal")</f>
        <v>World mycotoxin journal</v>
      </c>
      <c r="H111" s="24" t="str">
        <f ca="1">IFERROR(__xludf.DUMMYFUNCTION("""COMPUTED_VALUE"""),"Saranya Poapolathep")</f>
        <v>Saranya Poapolathep</v>
      </c>
      <c r="I111" s="24" t="str">
        <f ca="1">IFERROR(__xludf.DUMMYFUNCTION("""COMPUTED_VALUE"""),"FirstAuthor")</f>
        <v>FirstAuthor</v>
      </c>
      <c r="J111" s="24" t="b">
        <f ca="1">IFERROR(__xludf.DUMMYFUNCTION("""COMPUTED_VALUE"""),FALSE)</f>
        <v>0</v>
      </c>
      <c r="K111" s="24" t="b">
        <f ca="1">IFERROR(__xludf.DUMMYFUNCTION("""COMPUTED_VALUE"""),FALSE)</f>
        <v>0</v>
      </c>
      <c r="L111" s="58">
        <f ca="1">IFERROR(__xludf.DUMMYFUNCTION("""COMPUTED_VALUE"""),45320)</f>
        <v>45320</v>
      </c>
      <c r="M111" s="24" t="str">
        <f ca="1">IFERROR(__xludf.DUMMYFUNCTION("""COMPUTED_VALUE"""),"International")</f>
        <v>International</v>
      </c>
      <c r="N111" s="24">
        <f ca="1">IFERROR(__xludf.DUMMYFUNCTION("""COMPUTED_VALUE"""),2)</f>
        <v>2</v>
      </c>
      <c r="O111" s="24">
        <f ca="1">IFERROR(__xludf.DUMMYFUNCTION("""COMPUTED_VALUE"""),2)</f>
        <v>2</v>
      </c>
      <c r="P111" s="24" t="str">
        <f ca="1">IFERROR(__xludf.DUMMYFUNCTION("""COMPUTED_VALUE"""),"No")</f>
        <v>No</v>
      </c>
      <c r="Q111" s="24" t="str">
        <f ca="1">IFERROR(__xludf.DUMMYFUNCTION("""COMPUTED_VALUE"""),"Yes")</f>
        <v>Yes</v>
      </c>
      <c r="R111" s="24" t="str">
        <f ca="1">IFERROR(__xludf.DUMMYFUNCTION("""COMPUTED_VALUE"""),"ภาควิชาเภสัชวิทยา")</f>
        <v>ภาควิชาเภสัชวิทยา</v>
      </c>
      <c r="S111" s="24">
        <f ca="1">IFERROR(__xludf.DUMMYFUNCTION("""COMPUTED_VALUE"""),48)</f>
        <v>48</v>
      </c>
      <c r="T111" s="24" t="str">
        <f ca="1">IFERROR(__xludf.DUMMYFUNCTION("""COMPUTED_VALUE"""),"January")</f>
        <v>January</v>
      </c>
    </row>
    <row r="112" spans="1:20" ht="14.25" hidden="1">
      <c r="A112" s="24">
        <f ca="1">IFERROR(__xludf.DUMMYFUNCTION("""COMPUTED_VALUE"""),2024)</f>
        <v>2024</v>
      </c>
      <c r="B112" s="24">
        <f ca="1">IFERROR(__xludf.DUMMYFUNCTION("""COMPUTED_VALUE"""),666)</f>
        <v>666</v>
      </c>
      <c r="C112" s="24" t="str">
        <f ca="1">IFERROR(__xludf.DUMMYFUNCTION("""COMPUTED_VALUE"""),"Development of in-house ELISA based on recombinant gag proteins of small ruminant lentiviruses isolated from goats in Thailand")</f>
        <v>Development of in-house ELISA based on recombinant gag proteins of small ruminant lentiviruses isolated from goats in Thailand</v>
      </c>
      <c r="D112" s="24">
        <f ca="1">IFERROR(__xludf.DUMMYFUNCTION("""COMPUTED_VALUE"""),2)</f>
        <v>2</v>
      </c>
      <c r="E112" s="24" t="str">
        <f ca="1">IFERROR(__xludf.DUMMYFUNCTION("""COMPUTED_VALUE"""),"2024.666")</f>
        <v>2024.666</v>
      </c>
      <c r="F112" s="24" t="str">
        <f ca="1">IFERROR(__xludf.DUMMYFUNCTION("""COMPUTED_VALUE"""),"Goat")</f>
        <v>Goat</v>
      </c>
      <c r="G112" s="24" t="str">
        <f ca="1">IFERROR(__xludf.DUMMYFUNCTION("""COMPUTED_VALUE"""),"Scientific Reports")</f>
        <v>Scientific Reports</v>
      </c>
      <c r="H112" s="24" t="str">
        <f ca="1">IFERROR(__xludf.DUMMYFUNCTION("""COMPUTED_VALUE"""),"Theera Rukkwamsuk")</f>
        <v>Theera Rukkwamsuk</v>
      </c>
      <c r="I112" s="24" t="str">
        <f ca="1">IFERROR(__xludf.DUMMYFUNCTION("""COMPUTED_VALUE"""),"FirstAuthor")</f>
        <v>FirstAuthor</v>
      </c>
      <c r="J112" s="24" t="b">
        <f ca="1">IFERROR(__xludf.DUMMYFUNCTION("""COMPUTED_VALUE"""),FALSE)</f>
        <v>0</v>
      </c>
      <c r="K112" s="24" t="b">
        <f ca="1">IFERROR(__xludf.DUMMYFUNCTION("""COMPUTED_VALUE"""),FALSE)</f>
        <v>0</v>
      </c>
      <c r="L112" s="58">
        <f ca="1">IFERROR(__xludf.DUMMYFUNCTION("""COMPUTED_VALUE"""),45335)</f>
        <v>45335</v>
      </c>
      <c r="M112" s="24" t="str">
        <f ca="1">IFERROR(__xludf.DUMMYFUNCTION("""COMPUTED_VALUE"""),"International")</f>
        <v>International</v>
      </c>
      <c r="N112" s="24">
        <f ca="1">IFERROR(__xludf.DUMMYFUNCTION("""COMPUTED_VALUE"""),1)</f>
        <v>1</v>
      </c>
      <c r="O112" s="24">
        <f ca="1">IFERROR(__xludf.DUMMYFUNCTION("""COMPUTED_VALUE"""),4.379)</f>
        <v>4.3789999999999996</v>
      </c>
      <c r="P112" s="24" t="str">
        <f ca="1">IFERROR(__xludf.DUMMYFUNCTION("""COMPUTED_VALUE"""),"Yes")</f>
        <v>Yes</v>
      </c>
      <c r="Q112" s="24" t="str">
        <f ca="1">IFERROR(__xludf.DUMMYFUNCTION("""COMPUTED_VALUE"""),"Yes")</f>
        <v>Yes</v>
      </c>
      <c r="R112" s="24" t="str">
        <f ca="1">IFERROR(__xludf.DUMMYFUNCTION("""COMPUTED_VALUE"""),"ภาควิชาเวชศาสตร์คลินิกสัตว์ใหญ่และสัตว์ป่า")</f>
        <v>ภาควิชาเวชศาสตร์คลินิกสัตว์ใหญ่และสัตว์ป่า</v>
      </c>
      <c r="S112" s="24">
        <f ca="1">IFERROR(__xludf.DUMMYFUNCTION("""COMPUTED_VALUE"""),59)</f>
        <v>59</v>
      </c>
      <c r="T112" s="24" t="str">
        <f ca="1">IFERROR(__xludf.DUMMYFUNCTION("""COMPUTED_VALUE"""),"February")</f>
        <v>February</v>
      </c>
    </row>
    <row r="113" spans="1:20" ht="14.25" hidden="1">
      <c r="A113" s="24">
        <f ca="1">IFERROR(__xludf.DUMMYFUNCTION("""COMPUTED_VALUE"""),2024)</f>
        <v>2024</v>
      </c>
      <c r="B113" s="24">
        <f ca="1">IFERROR(__xludf.DUMMYFUNCTION("""COMPUTED_VALUE"""),667)</f>
        <v>667</v>
      </c>
      <c r="C113" s="24" t="str">
        <f ca="1">IFERROR(__xludf.DUMMYFUNCTION("""COMPUTED_VALUE"""),"A New Benzo[6,7]oxepino[3,2-b] Pyridine Derivative Induces Apoptosis in Canine Mammary Cancer Cell Lines")</f>
        <v>A New Benzo[6,7]oxepino[3,2-b] Pyridine Derivative Induces Apoptosis in Canine Mammary Cancer Cell Lines</v>
      </c>
      <c r="D113" s="24">
        <f ca="1">IFERROR(__xludf.DUMMYFUNCTION("""COMPUTED_VALUE"""),5)</f>
        <v>5</v>
      </c>
      <c r="E113" s="24" t="str">
        <f ca="1">IFERROR(__xludf.DUMMYFUNCTION("""COMPUTED_VALUE"""),"2024.667")</f>
        <v>2024.667</v>
      </c>
      <c r="F113" s="24" t="str">
        <f ca="1">IFERROR(__xludf.DUMMYFUNCTION("""COMPUTED_VALUE"""),"Dog")</f>
        <v>Dog</v>
      </c>
      <c r="G113" s="24" t="str">
        <f ca="1">IFERROR(__xludf.DUMMYFUNCTION("""COMPUTED_VALUE"""),"Animals")</f>
        <v>Animals</v>
      </c>
      <c r="H113" s="24" t="str">
        <f ca="1">IFERROR(__xludf.DUMMYFUNCTION("""COMPUTED_VALUE"""),"Usuma Jermnak")</f>
        <v>Usuma Jermnak</v>
      </c>
      <c r="I113" s="24" t="str">
        <f ca="1">IFERROR(__xludf.DUMMYFUNCTION("""COMPUTED_VALUE"""),"CorrespondingAuthor")</f>
        <v>CorrespondingAuthor</v>
      </c>
      <c r="J113" s="24" t="b">
        <f ca="1">IFERROR(__xludf.DUMMYFUNCTION("""COMPUTED_VALUE"""),FALSE)</f>
        <v>0</v>
      </c>
      <c r="K113" s="24" t="b">
        <f ca="1">IFERROR(__xludf.DUMMYFUNCTION("""COMPUTED_VALUE"""),FALSE)</f>
        <v>0</v>
      </c>
      <c r="L113" s="58">
        <f ca="1">IFERROR(__xludf.DUMMYFUNCTION("""COMPUTED_VALUE"""),45316)</f>
        <v>45316</v>
      </c>
      <c r="M113" s="24" t="str">
        <f ca="1">IFERROR(__xludf.DUMMYFUNCTION("""COMPUTED_VALUE"""),"International")</f>
        <v>International</v>
      </c>
      <c r="N113" s="24">
        <f ca="1">IFERROR(__xludf.DUMMYFUNCTION("""COMPUTED_VALUE"""),1)</f>
        <v>1</v>
      </c>
      <c r="O113" s="24">
        <f ca="1">IFERROR(__xludf.DUMMYFUNCTION("""COMPUTED_VALUE"""),2.752)</f>
        <v>2.7519999999999998</v>
      </c>
      <c r="P113" s="24" t="str">
        <f ca="1">IFERROR(__xludf.DUMMYFUNCTION("""COMPUTED_VALUE"""),"Yes")</f>
        <v>Yes</v>
      </c>
      <c r="Q113" s="24" t="str">
        <f ca="1">IFERROR(__xludf.DUMMYFUNCTION("""COMPUTED_VALUE"""),"Yes")</f>
        <v>Yes</v>
      </c>
      <c r="R113" s="24" t="str">
        <f ca="1">IFERROR(__xludf.DUMMYFUNCTION("""COMPUTED_VALUE"""),"ภาควิชาเภสัชวิทยา")</f>
        <v>ภาควิชาเภสัชวิทยา</v>
      </c>
      <c r="S113" s="24">
        <f ca="1">IFERROR(__xludf.DUMMYFUNCTION("""COMPUTED_VALUE"""),46)</f>
        <v>46</v>
      </c>
      <c r="T113" s="24" t="str">
        <f ca="1">IFERROR(__xludf.DUMMYFUNCTION("""COMPUTED_VALUE"""),"January")</f>
        <v>January</v>
      </c>
    </row>
    <row r="114" spans="1:20" ht="14.25" hidden="1">
      <c r="A114" s="24">
        <f ca="1">IFERROR(__xludf.DUMMYFUNCTION("""COMPUTED_VALUE"""),2024)</f>
        <v>2024</v>
      </c>
      <c r="B114" s="24">
        <f ca="1">IFERROR(__xludf.DUMMYFUNCTION("""COMPUTED_VALUE"""),668)</f>
        <v>668</v>
      </c>
      <c r="C114" s="24" t="str">
        <f ca="1">IFERROR(__xludf.DUMMYFUNCTION("""COMPUTED_VALUE"""),"Comparative study of ventilation techniques with supraglottic airway devices in cats: volume-controlled vs pressure-controlled techniques")</f>
        <v>Comparative study of ventilation techniques with supraglottic airway devices in cats: volume-controlled vs pressure-controlled techniques</v>
      </c>
      <c r="D114" s="24">
        <f ca="1">IFERROR(__xludf.DUMMYFUNCTION("""COMPUTED_VALUE"""),5)</f>
        <v>5</v>
      </c>
      <c r="E114" s="24" t="str">
        <f ca="1">IFERROR(__xludf.DUMMYFUNCTION("""COMPUTED_VALUE"""),"2024.668")</f>
        <v>2024.668</v>
      </c>
      <c r="F114" s="24" t="str">
        <f ca="1">IFERROR(__xludf.DUMMYFUNCTION("""COMPUTED_VALUE"""),"Cat")</f>
        <v>Cat</v>
      </c>
      <c r="G114" s="24" t="str">
        <f ca="1">IFERROR(__xludf.DUMMYFUNCTION("""COMPUTED_VALUE"""),"Journal of Feline Medicine and Surgery")</f>
        <v>Journal of Feline Medicine and Surgery</v>
      </c>
      <c r="H114" s="24" t="str">
        <f ca="1">IFERROR(__xludf.DUMMYFUNCTION("""COMPUTED_VALUE"""),"Naris Thengchaisri")</f>
        <v>Naris Thengchaisri</v>
      </c>
      <c r="I114" s="24" t="str">
        <f ca="1">IFERROR(__xludf.DUMMYFUNCTION("""COMPUTED_VALUE"""),"CorrespondingAuthor")</f>
        <v>CorrespondingAuthor</v>
      </c>
      <c r="J114" s="24" t="b">
        <f ca="1">IFERROR(__xludf.DUMMYFUNCTION("""COMPUTED_VALUE"""),FALSE)</f>
        <v>0</v>
      </c>
      <c r="K114" s="24" t="b">
        <f ca="1">IFERROR(__xludf.DUMMYFUNCTION("""COMPUTED_VALUE"""),FALSE)</f>
        <v>0</v>
      </c>
      <c r="L114" s="58">
        <f ca="1">IFERROR(__xludf.DUMMYFUNCTION("""COMPUTED_VALUE"""),45322)</f>
        <v>45322</v>
      </c>
      <c r="M114" s="24" t="str">
        <f ca="1">IFERROR(__xludf.DUMMYFUNCTION("""COMPUTED_VALUE"""),"International")</f>
        <v>International</v>
      </c>
      <c r="N114" s="24">
        <f ca="1">IFERROR(__xludf.DUMMYFUNCTION("""COMPUTED_VALUE"""),1)</f>
        <v>1</v>
      </c>
      <c r="O114" s="24">
        <f ca="1">IFERROR(__xludf.DUMMYFUNCTION("""COMPUTED_VALUE"""),1.9)</f>
        <v>1.9</v>
      </c>
      <c r="P114" s="24" t="str">
        <f ca="1">IFERROR(__xludf.DUMMYFUNCTION("""COMPUTED_VALUE"""),"No")</f>
        <v>No</v>
      </c>
      <c r="Q114" s="24" t="str">
        <f ca="1">IFERROR(__xludf.DUMMYFUNCTION("""COMPUTED_VALUE"""),"Yes")</f>
        <v>Yes</v>
      </c>
      <c r="R114" s="24" t="str">
        <f ca="1">IFERROR(__xludf.DUMMYFUNCTION("""COMPUTED_VALUE"""),"ภาควิชาเวชศาสตร์คลินิกสัตว์เลี้ยง")</f>
        <v>ภาควิชาเวชศาสตร์คลินิกสัตว์เลี้ยง</v>
      </c>
      <c r="S114" s="24">
        <f ca="1">IFERROR(__xludf.DUMMYFUNCTION("""COMPUTED_VALUE"""),52)</f>
        <v>52</v>
      </c>
      <c r="T114" s="24" t="str">
        <f ca="1">IFERROR(__xludf.DUMMYFUNCTION("""COMPUTED_VALUE"""),"January")</f>
        <v>January</v>
      </c>
    </row>
    <row r="115" spans="1:20" ht="14.25" hidden="1">
      <c r="A115" s="24">
        <f ca="1">IFERROR(__xludf.DUMMYFUNCTION("""COMPUTED_VALUE"""),2024)</f>
        <v>2024</v>
      </c>
      <c r="B115" s="24">
        <f ca="1">IFERROR(__xludf.DUMMYFUNCTION("""COMPUTED_VALUE"""),669)</f>
        <v>669</v>
      </c>
      <c r="C115" s="24" t="str">
        <f ca="1">IFERROR(__xludf.DUMMYFUNCTION("""COMPUTED_VALUE"""),"Detecting microbial communities and pathogens in gastrointestinal tracts of commercial broilers in Thailand using high-throughput sequencing technology with different bioinformatic pipelines")</f>
        <v>Detecting microbial communities and pathogens in gastrointestinal tracts of commercial broilers in Thailand using high-throughput sequencing technology with different bioinformatic pipelines</v>
      </c>
      <c r="D115" s="24">
        <f ca="1">IFERROR(__xludf.DUMMYFUNCTION("""COMPUTED_VALUE"""),2)</f>
        <v>2</v>
      </c>
      <c r="E115" s="24" t="str">
        <f ca="1">IFERROR(__xludf.DUMMYFUNCTION("""COMPUTED_VALUE"""),"2024.669")</f>
        <v>2024.669</v>
      </c>
      <c r="F115" s="24" t="str">
        <f ca="1">IFERROR(__xludf.DUMMYFUNCTION("""COMPUTED_VALUE"""),"Chicken : broilers")</f>
        <v>Chicken : broilers</v>
      </c>
      <c r="G115" s="24" t="str">
        <f ca="1">IFERROR(__xludf.DUMMYFUNCTION("""COMPUTED_VALUE"""),"Asia-Pacific Journal of Science and Technology")</f>
        <v>Asia-Pacific Journal of Science and Technology</v>
      </c>
      <c r="H115" s="24" t="str">
        <f ca="1">IFERROR(__xludf.DUMMYFUNCTION("""COMPUTED_VALUE"""),"Nuananong Sinwat")</f>
        <v>Nuananong Sinwat</v>
      </c>
      <c r="I115" s="24" t="str">
        <f ca="1">IFERROR(__xludf.DUMMYFUNCTION("""COMPUTED_VALUE"""),"CoAuthor")</f>
        <v>CoAuthor</v>
      </c>
      <c r="J115" s="24" t="b">
        <f ca="1">IFERROR(__xludf.DUMMYFUNCTION("""COMPUTED_VALUE"""),FALSE)</f>
        <v>0</v>
      </c>
      <c r="K115" s="24" t="b">
        <f ca="1">IFERROR(__xludf.DUMMYFUNCTION("""COMPUTED_VALUE"""),FALSE)</f>
        <v>0</v>
      </c>
      <c r="L115" s="58">
        <f ca="1">IFERROR(__xludf.DUMMYFUNCTION("""COMPUTED_VALUE"""),45322)</f>
        <v>45322</v>
      </c>
      <c r="M115" s="24" t="str">
        <f ca="1">IFERROR(__xludf.DUMMYFUNCTION("""COMPUTED_VALUE"""),"International")</f>
        <v>International</v>
      </c>
      <c r="N115" s="24">
        <f ca="1">IFERROR(__xludf.DUMMYFUNCTION("""COMPUTED_VALUE"""),4)</f>
        <v>4</v>
      </c>
      <c r="O115" s="24">
        <f ca="1">IFERROR(__xludf.DUMMYFUNCTION("""COMPUTED_VALUE"""),0)</f>
        <v>0</v>
      </c>
      <c r="P115" s="24" t="str">
        <f ca="1">IFERROR(__xludf.DUMMYFUNCTION("""COMPUTED_VALUE"""),"No")</f>
        <v>No</v>
      </c>
      <c r="Q115" s="24" t="str">
        <f ca="1">IFERROR(__xludf.DUMMYFUNCTION("""COMPUTED_VALUE"""),"Yes")</f>
        <v>Yes</v>
      </c>
      <c r="R115" s="24" t="str">
        <f ca="1">IFERROR(__xludf.DUMMYFUNCTION("""COMPUTED_VALUE"""),"ภาควิชาเวชศาสตร์และทรัพยากรการผลิตสัตว์")</f>
        <v>ภาควิชาเวชศาสตร์และทรัพยากรการผลิตสัตว์</v>
      </c>
      <c r="S115" s="24">
        <f ca="1">IFERROR(__xludf.DUMMYFUNCTION("""COMPUTED_VALUE"""),45)</f>
        <v>45</v>
      </c>
      <c r="T115" s="24" t="str">
        <f ca="1">IFERROR(__xludf.DUMMYFUNCTION("""COMPUTED_VALUE"""),"January")</f>
        <v>January</v>
      </c>
    </row>
    <row r="116" spans="1:20" ht="14.25" hidden="1">
      <c r="A116" s="24">
        <f ca="1">IFERROR(__xludf.DUMMYFUNCTION("""COMPUTED_VALUE"""),2024)</f>
        <v>2024</v>
      </c>
      <c r="B116" s="24">
        <f ca="1">IFERROR(__xludf.DUMMYFUNCTION("""COMPUTED_VALUE"""),670)</f>
        <v>670</v>
      </c>
      <c r="C116" s="24" t="str">
        <f ca="1">IFERROR(__xludf.DUMMYFUNCTION("""COMPUTED_VALUE"""),"Exogenous Trehalose Improves Growth, Glycogen and Poly-3-Hydroxybutyrate (PHB) Contents in Photoautotrophically Grown Arthrospira platensis under Nitrogen Deprivation")</f>
        <v>Exogenous Trehalose Improves Growth, Glycogen and Poly-3-Hydroxybutyrate (PHB) Contents in Photoautotrophically Grown Arthrospira platensis under Nitrogen Deprivation</v>
      </c>
      <c r="D116" s="24">
        <f ca="1">IFERROR(__xludf.DUMMYFUNCTION("""COMPUTED_VALUE"""),2)</f>
        <v>2</v>
      </c>
      <c r="E116" s="24" t="str">
        <f ca="1">IFERROR(__xludf.DUMMYFUNCTION("""COMPUTED_VALUE"""),"2024.670")</f>
        <v>2024.670</v>
      </c>
      <c r="F116" s="24" t="str">
        <f ca="1">IFERROR(__xludf.DUMMYFUNCTION("""COMPUTED_VALUE"""),"Cell")</f>
        <v>Cell</v>
      </c>
      <c r="G116" s="24" t="str">
        <f ca="1">IFERROR(__xludf.DUMMYFUNCTION("""COMPUTED_VALUE"""),"Biology")</f>
        <v>Biology</v>
      </c>
      <c r="H116" s="24" t="str">
        <f ca="1">IFERROR(__xludf.DUMMYFUNCTION("""COMPUTED_VALUE"""),"Wuttinun Raksajit")</f>
        <v>Wuttinun Raksajit</v>
      </c>
      <c r="I116" s="24" t="str">
        <f ca="1">IFERROR(__xludf.DUMMYFUNCTION("""COMPUTED_VALUE"""),"CorrespondingAuthor")</f>
        <v>CorrespondingAuthor</v>
      </c>
      <c r="J116" s="24" t="b">
        <f ca="1">IFERROR(__xludf.DUMMYFUNCTION("""COMPUTED_VALUE"""),FALSE)</f>
        <v>0</v>
      </c>
      <c r="K116" s="24" t="b">
        <f ca="1">IFERROR(__xludf.DUMMYFUNCTION("""COMPUTED_VALUE"""),FALSE)</f>
        <v>0</v>
      </c>
      <c r="L116" s="58">
        <f ca="1">IFERROR(__xludf.DUMMYFUNCTION("""COMPUTED_VALUE"""),45340)</f>
        <v>45340</v>
      </c>
      <c r="M116" s="24" t="str">
        <f ca="1">IFERROR(__xludf.DUMMYFUNCTION("""COMPUTED_VALUE"""),"International")</f>
        <v>International</v>
      </c>
      <c r="N116" s="24">
        <f ca="1">IFERROR(__xludf.DUMMYFUNCTION("""COMPUTED_VALUE"""),1)</f>
        <v>1</v>
      </c>
      <c r="O116" s="24">
        <f ca="1">IFERROR(__xludf.DUMMYFUNCTION("""COMPUTED_VALUE"""),5.168)</f>
        <v>5.1680000000000001</v>
      </c>
      <c r="P116" s="24" t="str">
        <f ca="1">IFERROR(__xludf.DUMMYFUNCTION("""COMPUTED_VALUE"""),"Yes")</f>
        <v>Yes</v>
      </c>
      <c r="Q116" s="24" t="str">
        <f ca="1">IFERROR(__xludf.DUMMYFUNCTION("""COMPUTED_VALUE"""),"Yes")</f>
        <v>Yes</v>
      </c>
      <c r="R116" s="24" t="str">
        <f ca="1">IFERROR(__xludf.DUMMYFUNCTION("""COMPUTED_VALUE"""),"#N/A")</f>
        <v>#N/A</v>
      </c>
      <c r="S116" s="24" t="str">
        <f ca="1">IFERROR(__xludf.DUMMYFUNCTION("""COMPUTED_VALUE"""),"#N/A")</f>
        <v>#N/A</v>
      </c>
      <c r="T116" s="24" t="str">
        <f ca="1">IFERROR(__xludf.DUMMYFUNCTION("""COMPUTED_VALUE"""),"February")</f>
        <v>February</v>
      </c>
    </row>
    <row r="117" spans="1:20" ht="14.25" hidden="1">
      <c r="A117" s="24">
        <f ca="1">IFERROR(__xludf.DUMMYFUNCTION("""COMPUTED_VALUE"""),2024)</f>
        <v>2024</v>
      </c>
      <c r="B117" s="24">
        <f ca="1">IFERROR(__xludf.DUMMYFUNCTION("""COMPUTED_VALUE"""),671)</f>
        <v>671</v>
      </c>
      <c r="C117" s="24" t="str">
        <f ca="1">IFERROR(__xludf.DUMMYFUNCTION("""COMPUTED_VALUE"""),"Seroprevalence of Anti-SARS-CoV-2 Antibodies in Cats during Five Waves of COVID-19 Epidemic in Thailand and Correlation with Human Outbreaks")</f>
        <v>Seroprevalence of Anti-SARS-CoV-2 Antibodies in Cats during Five Waves of COVID-19 Epidemic in Thailand and Correlation with Human Outbreaks</v>
      </c>
      <c r="D117" s="24">
        <f ca="1">IFERROR(__xludf.DUMMYFUNCTION("""COMPUTED_VALUE"""),2)</f>
        <v>2</v>
      </c>
      <c r="E117" s="24" t="str">
        <f ca="1">IFERROR(__xludf.DUMMYFUNCTION("""COMPUTED_VALUE"""),"2024.671")</f>
        <v>2024.671</v>
      </c>
      <c r="F117" s="24" t="str">
        <f ca="1">IFERROR(__xludf.DUMMYFUNCTION("""COMPUTED_VALUE"""),"Cat")</f>
        <v>Cat</v>
      </c>
      <c r="G117" s="24" t="str">
        <f ca="1">IFERROR(__xludf.DUMMYFUNCTION("""COMPUTED_VALUE"""),"Animals")</f>
        <v>Animals</v>
      </c>
      <c r="H117" s="24" t="str">
        <f ca="1">IFERROR(__xludf.DUMMYFUNCTION("""COMPUTED_VALUE"""),"Rungrueang Yodsheewan")</f>
        <v>Rungrueang Yodsheewan</v>
      </c>
      <c r="I117" s="24" t="str">
        <f ca="1">IFERROR(__xludf.DUMMYFUNCTION("""COMPUTED_VALUE"""),"CorrespondingAuthor")</f>
        <v>CorrespondingAuthor</v>
      </c>
      <c r="J117" s="24" t="b">
        <f ca="1">IFERROR(__xludf.DUMMYFUNCTION("""COMPUTED_VALUE"""),FALSE)</f>
        <v>0</v>
      </c>
      <c r="K117" s="24" t="b">
        <f ca="1">IFERROR(__xludf.DUMMYFUNCTION("""COMPUTED_VALUE"""),TRUE)</f>
        <v>1</v>
      </c>
      <c r="L117" s="58">
        <f ca="1">IFERROR(__xludf.DUMMYFUNCTION("""COMPUTED_VALUE"""),45351)</f>
        <v>45351</v>
      </c>
      <c r="M117" s="24" t="str">
        <f ca="1">IFERROR(__xludf.DUMMYFUNCTION("""COMPUTED_VALUE"""),"International")</f>
        <v>International</v>
      </c>
      <c r="N117" s="24">
        <f ca="1">IFERROR(__xludf.DUMMYFUNCTION("""COMPUTED_VALUE"""),1)</f>
        <v>1</v>
      </c>
      <c r="O117" s="24">
        <f ca="1">IFERROR(__xludf.DUMMYFUNCTION("""COMPUTED_VALUE"""),2.752)</f>
        <v>2.7519999999999998</v>
      </c>
      <c r="P117" s="24" t="str">
        <f ca="1">IFERROR(__xludf.DUMMYFUNCTION("""COMPUTED_VALUE"""),"Yes")</f>
        <v>Yes</v>
      </c>
      <c r="Q117" s="24" t="str">
        <f ca="1">IFERROR(__xludf.DUMMYFUNCTION("""COMPUTED_VALUE"""),"Yes")</f>
        <v>Yes</v>
      </c>
      <c r="R117" s="24" t="str">
        <f ca="1">IFERROR(__xludf.DUMMYFUNCTION("""COMPUTED_VALUE"""),"ภาควิชาพยาธิวิทยา")</f>
        <v>ภาควิชาพยาธิวิทยา</v>
      </c>
      <c r="S117" s="24">
        <f ca="1">IFERROR(__xludf.DUMMYFUNCTION("""COMPUTED_VALUE"""),42)</f>
        <v>42</v>
      </c>
      <c r="T117" s="24" t="str">
        <f ca="1">IFERROR(__xludf.DUMMYFUNCTION("""COMPUTED_VALUE"""),"February")</f>
        <v>February</v>
      </c>
    </row>
    <row r="118" spans="1:20" ht="14.25" hidden="1">
      <c r="A118" s="24">
        <f ca="1">IFERROR(__xludf.DUMMYFUNCTION("""COMPUTED_VALUE"""),2024)</f>
        <v>2024</v>
      </c>
      <c r="B118" s="24">
        <f ca="1">IFERROR(__xludf.DUMMYFUNCTION("""COMPUTED_VALUE"""),672)</f>
        <v>672</v>
      </c>
      <c r="C118" s="24" t="str">
        <f ca="1">IFERROR(__xludf.DUMMYFUNCTION("""COMPUTED_VALUE"""),"Impact of different cooling solutions on autonomic modulation in horses in a novice endurance ride")</f>
        <v>Impact of different cooling solutions on autonomic modulation in horses in a novice endurance ride</v>
      </c>
      <c r="D118" s="24">
        <f ca="1">IFERROR(__xludf.DUMMYFUNCTION("""COMPUTED_VALUE"""),5)</f>
        <v>5</v>
      </c>
      <c r="E118" s="24" t="str">
        <f ca="1">IFERROR(__xludf.DUMMYFUNCTION("""COMPUTED_VALUE"""),"2024.672")</f>
        <v>2024.672</v>
      </c>
      <c r="F118" s="24" t="str">
        <f ca="1">IFERROR(__xludf.DUMMYFUNCTION("""COMPUTED_VALUE"""),"Horse")</f>
        <v>Horse</v>
      </c>
      <c r="G118" s="24" t="str">
        <f ca="1">IFERROR(__xludf.DUMMYFUNCTION("""COMPUTED_VALUE"""),"Animal")</f>
        <v>Animal</v>
      </c>
      <c r="H118" s="24" t="str">
        <f ca="1">IFERROR(__xludf.DUMMYFUNCTION("""COMPUTED_VALUE"""),"Metha Chanda")</f>
        <v>Metha Chanda</v>
      </c>
      <c r="I118" s="24" t="str">
        <f ca="1">IFERROR(__xludf.DUMMYFUNCTION("""COMPUTED_VALUE"""),"CorrespondingAuthor")</f>
        <v>CorrespondingAuthor</v>
      </c>
      <c r="J118" s="24" t="b">
        <f ca="1">IFERROR(__xludf.DUMMYFUNCTION("""COMPUTED_VALUE"""),FALSE)</f>
        <v>0</v>
      </c>
      <c r="K118" s="24" t="b">
        <f ca="1">IFERROR(__xludf.DUMMYFUNCTION("""COMPUTED_VALUE"""),FALSE)</f>
        <v>0</v>
      </c>
      <c r="L118" s="58">
        <f ca="1">IFERROR(__xludf.DUMMYFUNCTION("""COMPUTED_VALUE"""),45335)</f>
        <v>45335</v>
      </c>
      <c r="M118" s="24" t="str">
        <f ca="1">IFERROR(__xludf.DUMMYFUNCTION("""COMPUTED_VALUE"""),"International")</f>
        <v>International</v>
      </c>
      <c r="N118" s="24">
        <f ca="1">IFERROR(__xludf.DUMMYFUNCTION("""COMPUTED_VALUE"""),1)</f>
        <v>1</v>
      </c>
      <c r="O118" s="24">
        <f ca="1">IFERROR(__xludf.DUMMYFUNCTION("""COMPUTED_VALUE"""),3.7)</f>
        <v>3.7</v>
      </c>
      <c r="P118" s="24" t="str">
        <f ca="1">IFERROR(__xludf.DUMMYFUNCTION("""COMPUTED_VALUE"""),"Yes")</f>
        <v>Yes</v>
      </c>
      <c r="Q118" s="24" t="str">
        <f ca="1">IFERROR(__xludf.DUMMYFUNCTION("""COMPUTED_VALUE"""),"Yes")</f>
        <v>Yes</v>
      </c>
      <c r="R118" s="24" t="str">
        <f ca="1">IFERROR(__xludf.DUMMYFUNCTION("""COMPUTED_VALUE"""),"ภาควิชาเวชศาสตร์คลินิกสัตว์ใหญ่และสัตว์ป่า")</f>
        <v>ภาควิชาเวชศาสตร์คลินิกสัตว์ใหญ่และสัตว์ป่า</v>
      </c>
      <c r="S118" s="24">
        <f ca="1">IFERROR(__xludf.DUMMYFUNCTION("""COMPUTED_VALUE"""),47)</f>
        <v>47</v>
      </c>
      <c r="T118" s="24" t="str">
        <f ca="1">IFERROR(__xludf.DUMMYFUNCTION("""COMPUTED_VALUE"""),"February")</f>
        <v>February</v>
      </c>
    </row>
    <row r="119" spans="1:20" ht="14.25" hidden="1">
      <c r="A119" s="24">
        <f ca="1">IFERROR(__xludf.DUMMYFUNCTION("""COMPUTED_VALUE"""),2024)</f>
        <v>2024</v>
      </c>
      <c r="B119" s="24">
        <f ca="1">IFERROR(__xludf.DUMMYFUNCTION("""COMPUTED_VALUE"""),673)</f>
        <v>673</v>
      </c>
      <c r="C119" s="24" t="str">
        <f ca="1">IFERROR(__xludf.DUMMYFUNCTION("""COMPUTED_VALUE"""),"Genetic structure and diversity of green turtle (Chelonia mydas) in the Gulf of Thailand")</f>
        <v>Genetic structure and diversity of green turtle (Chelonia mydas) in the Gulf of Thailand</v>
      </c>
      <c r="D119" s="24">
        <f ca="1">IFERROR(__xludf.DUMMYFUNCTION("""COMPUTED_VALUE"""),2)</f>
        <v>2</v>
      </c>
      <c r="E119" s="24" t="str">
        <f ca="1">IFERROR(__xludf.DUMMYFUNCTION("""COMPUTED_VALUE"""),"2024.673")</f>
        <v>2024.673</v>
      </c>
      <c r="F119" s="24" t="str">
        <f ca="1">IFERROR(__xludf.DUMMYFUNCTION("""COMPUTED_VALUE"""),"Turtle")</f>
        <v>Turtle</v>
      </c>
      <c r="G119" s="24" t="str">
        <f ca="1">IFERROR(__xludf.DUMMYFUNCTION("""COMPUTED_VALUE"""),"Veterinary World")</f>
        <v>Veterinary World</v>
      </c>
      <c r="H119" s="24" t="str">
        <f ca="1">IFERROR(__xludf.DUMMYFUNCTION("""COMPUTED_VALUE"""),"Theerapol Sirinarumitr")</f>
        <v>Theerapol Sirinarumitr</v>
      </c>
      <c r="I119" s="24" t="str">
        <f ca="1">IFERROR(__xludf.DUMMYFUNCTION("""COMPUTED_VALUE"""),"CorrespondingAuthor")</f>
        <v>CorrespondingAuthor</v>
      </c>
      <c r="J119" s="24" t="b">
        <f ca="1">IFERROR(__xludf.DUMMYFUNCTION("""COMPUTED_VALUE"""),FALSE)</f>
        <v>0</v>
      </c>
      <c r="K119" s="24" t="b">
        <f ca="1">IFERROR(__xludf.DUMMYFUNCTION("""COMPUTED_VALUE"""),FALSE)</f>
        <v>0</v>
      </c>
      <c r="L119" s="58">
        <f ca="1">IFERROR(__xludf.DUMMYFUNCTION("""COMPUTED_VALUE"""),45295)</f>
        <v>45295</v>
      </c>
      <c r="M119" s="24" t="str">
        <f ca="1">IFERROR(__xludf.DUMMYFUNCTION("""COMPUTED_VALUE"""),"International")</f>
        <v>International</v>
      </c>
      <c r="N119" s="24">
        <f ca="1">IFERROR(__xludf.DUMMYFUNCTION("""COMPUTED_VALUE"""),2)</f>
        <v>2</v>
      </c>
      <c r="O119" s="24">
        <f ca="1">IFERROR(__xludf.DUMMYFUNCTION("""COMPUTED_VALUE"""),2.11)</f>
        <v>2.11</v>
      </c>
      <c r="P119" s="24" t="str">
        <f ca="1">IFERROR(__xludf.DUMMYFUNCTION("""COMPUTED_VALUE"""),"No")</f>
        <v>No</v>
      </c>
      <c r="Q119" s="24" t="str">
        <f ca="1">IFERROR(__xludf.DUMMYFUNCTION("""COMPUTED_VALUE"""),"Yes")</f>
        <v>Yes</v>
      </c>
      <c r="R119" s="24" t="str">
        <f ca="1">IFERROR(__xludf.DUMMYFUNCTION("""COMPUTED_VALUE"""),"ภาควิชาพยาธิวิทยา")</f>
        <v>ภาควิชาพยาธิวิทยา</v>
      </c>
      <c r="S119" s="24">
        <f ca="1">IFERROR(__xludf.DUMMYFUNCTION("""COMPUTED_VALUE"""),63)</f>
        <v>63</v>
      </c>
      <c r="T119" s="24" t="str">
        <f ca="1">IFERROR(__xludf.DUMMYFUNCTION("""COMPUTED_VALUE"""),"January")</f>
        <v>January</v>
      </c>
    </row>
    <row r="120" spans="1:20" ht="14.25" hidden="1">
      <c r="A120" s="24">
        <f ca="1">IFERROR(__xludf.DUMMYFUNCTION("""COMPUTED_VALUE"""),2024)</f>
        <v>2024</v>
      </c>
      <c r="B120" s="24">
        <f ca="1">IFERROR(__xludf.DUMMYFUNCTION("""COMPUTED_VALUE"""),674)</f>
        <v>674</v>
      </c>
      <c r="C120" s="24" t="str">
        <f ca="1">IFERROR(__xludf.DUMMYFUNCTION("""COMPUTED_VALUE"""),"Physicochemical properties and fatty acid profile of oil extracted from black soldier fly larvae (Hermetia illucens)")</f>
        <v>Physicochemical properties and fatty acid profile of oil extracted from black soldier fly larvae (Hermetia illucens)</v>
      </c>
      <c r="D120" s="24">
        <f ca="1">IFERROR(__xludf.DUMMYFUNCTION("""COMPUTED_VALUE"""),2)</f>
        <v>2</v>
      </c>
      <c r="E120" s="24" t="str">
        <f ca="1">IFERROR(__xludf.DUMMYFUNCTION("""COMPUTED_VALUE"""),"2024.674")</f>
        <v>2024.674</v>
      </c>
      <c r="F120" s="24" t="str">
        <f ca="1">IFERROR(__xludf.DUMMYFUNCTION("""COMPUTED_VALUE"""),"Black soldier fly")</f>
        <v>Black soldier fly</v>
      </c>
      <c r="G120" s="24" t="str">
        <f ca="1">IFERROR(__xludf.DUMMYFUNCTION("""COMPUTED_VALUE"""),"Veterinary World")</f>
        <v>Veterinary World</v>
      </c>
      <c r="H120" s="24" t="str">
        <f ca="1">IFERROR(__xludf.DUMMYFUNCTION("""COMPUTED_VALUE"""),"Attawit Kovitvadhi")</f>
        <v>Attawit Kovitvadhi</v>
      </c>
      <c r="I120" s="24" t="str">
        <f ca="1">IFERROR(__xludf.DUMMYFUNCTION("""COMPUTED_VALUE"""),"CoAuthor")</f>
        <v>CoAuthor</v>
      </c>
      <c r="J120" s="24" t="b">
        <f ca="1">IFERROR(__xludf.DUMMYFUNCTION("""COMPUTED_VALUE"""),FALSE)</f>
        <v>0</v>
      </c>
      <c r="K120" s="24" t="b">
        <f ca="1">IFERROR(__xludf.DUMMYFUNCTION("""COMPUTED_VALUE"""),FALSE)</f>
        <v>0</v>
      </c>
      <c r="L120" s="58">
        <f ca="1">IFERROR(__xludf.DUMMYFUNCTION("""COMPUTED_VALUE"""),45356)</f>
        <v>45356</v>
      </c>
      <c r="M120" s="24" t="str">
        <f ca="1">IFERROR(__xludf.DUMMYFUNCTION("""COMPUTED_VALUE"""),"International")</f>
        <v>International</v>
      </c>
      <c r="N120" s="24">
        <f ca="1">IFERROR(__xludf.DUMMYFUNCTION("""COMPUTED_VALUE"""),2)</f>
        <v>2</v>
      </c>
      <c r="O120" s="24">
        <f ca="1">IFERROR(__xludf.DUMMYFUNCTION("""COMPUTED_VALUE"""),2.11)</f>
        <v>2.11</v>
      </c>
      <c r="P120" s="24" t="str">
        <f ca="1">IFERROR(__xludf.DUMMYFUNCTION("""COMPUTED_VALUE"""),"No")</f>
        <v>No</v>
      </c>
      <c r="Q120" s="24" t="str">
        <f ca="1">IFERROR(__xludf.DUMMYFUNCTION("""COMPUTED_VALUE"""),"Yes")</f>
        <v>Yes</v>
      </c>
      <c r="R120" s="24" t="str">
        <f ca="1">IFERROR(__xludf.DUMMYFUNCTION("""COMPUTED_VALUE"""),"ภาควิชาสรีรวิทยา")</f>
        <v>ภาควิชาสรีรวิทยา</v>
      </c>
      <c r="S120" s="24">
        <f ca="1">IFERROR(__xludf.DUMMYFUNCTION("""COMPUTED_VALUE"""),37)</f>
        <v>37</v>
      </c>
      <c r="T120" s="24" t="str">
        <f ca="1">IFERROR(__xludf.DUMMYFUNCTION("""COMPUTED_VALUE"""),"March")</f>
        <v>March</v>
      </c>
    </row>
    <row r="121" spans="1:20" ht="14.25" hidden="1">
      <c r="A121" s="24">
        <f ca="1">IFERROR(__xludf.DUMMYFUNCTION("""COMPUTED_VALUE"""),2024)</f>
        <v>2024</v>
      </c>
      <c r="B121" s="24">
        <f ca="1">IFERROR(__xludf.DUMMYFUNCTION("""COMPUTED_VALUE"""),675)</f>
        <v>675</v>
      </c>
      <c r="C121" s="24" t="str">
        <f ca="1">IFERROR(__xludf.DUMMYFUNCTION("""COMPUTED_VALUE"""),"Scrotal hernia with irreducible small intestine in an intact ferret (Mustela putorius furo)")</f>
        <v>Scrotal hernia with irreducible small intestine in an intact ferret (Mustela putorius furo)</v>
      </c>
      <c r="D121" s="24">
        <f ca="1">IFERROR(__xludf.DUMMYFUNCTION("""COMPUTED_VALUE"""),5)</f>
        <v>5</v>
      </c>
      <c r="E121" s="24" t="str">
        <f ca="1">IFERROR(__xludf.DUMMYFUNCTION("""COMPUTED_VALUE"""),"2024.675")</f>
        <v>2024.675</v>
      </c>
      <c r="F121" s="24" t="str">
        <f ca="1">IFERROR(__xludf.DUMMYFUNCTION("""COMPUTED_VALUE"""),"Exotic")</f>
        <v>Exotic</v>
      </c>
      <c r="G121" s="24" t="str">
        <f ca="1">IFERROR(__xludf.DUMMYFUNCTION("""COMPUTED_VALUE"""),"Journal of Exotic Pet Medicine")</f>
        <v>Journal of Exotic Pet Medicine</v>
      </c>
      <c r="H121" s="24" t="str">
        <f ca="1">IFERROR(__xludf.DUMMYFUNCTION("""COMPUTED_VALUE"""),"Nithida Boonwittaya")</f>
        <v>Nithida Boonwittaya</v>
      </c>
      <c r="I121" s="24" t="str">
        <f ca="1">IFERROR(__xludf.DUMMYFUNCTION("""COMPUTED_VALUE"""),"FirstAuthor&amp;CorrespondingAuthor")</f>
        <v>FirstAuthor&amp;CorrespondingAuthor</v>
      </c>
      <c r="J121" s="24" t="b">
        <f ca="1">IFERROR(__xludf.DUMMYFUNCTION("""COMPUTED_VALUE"""),FALSE)</f>
        <v>0</v>
      </c>
      <c r="K121" s="24" t="b">
        <f ca="1">IFERROR(__xludf.DUMMYFUNCTION("""COMPUTED_VALUE"""),FALSE)</f>
        <v>0</v>
      </c>
      <c r="L121" s="58">
        <f ca="1">IFERROR(__xludf.DUMMYFUNCTION("""COMPUTED_VALUE"""),45319)</f>
        <v>45319</v>
      </c>
      <c r="M121" s="24" t="str">
        <f ca="1">IFERROR(__xludf.DUMMYFUNCTION("""COMPUTED_VALUE"""),"International")</f>
        <v>International</v>
      </c>
      <c r="N121" s="24">
        <f ca="1">IFERROR(__xludf.DUMMYFUNCTION("""COMPUTED_VALUE"""),3)</f>
        <v>3</v>
      </c>
      <c r="O121" s="24">
        <f ca="1">IFERROR(__xludf.DUMMYFUNCTION("""COMPUTED_VALUE"""),0.5)</f>
        <v>0.5</v>
      </c>
      <c r="P121" s="24" t="str">
        <f ca="1">IFERROR(__xludf.DUMMYFUNCTION("""COMPUTED_VALUE"""),"Yes")</f>
        <v>Yes</v>
      </c>
      <c r="Q121" s="24" t="str">
        <f ca="1">IFERROR(__xludf.DUMMYFUNCTION("""COMPUTED_VALUE"""),"Yes")</f>
        <v>Yes</v>
      </c>
      <c r="R121" s="24" t="str">
        <f ca="1">IFERROR(__xludf.DUMMYFUNCTION("""COMPUTED_VALUE"""),"โรงพยาบาลสัตว์ มก. บางเขน")</f>
        <v>โรงพยาบาลสัตว์ มก. บางเขน</v>
      </c>
      <c r="S121" s="24">
        <f ca="1">IFERROR(__xludf.DUMMYFUNCTION("""COMPUTED_VALUE"""),39)</f>
        <v>39</v>
      </c>
      <c r="T121" s="24" t="str">
        <f ca="1">IFERROR(__xludf.DUMMYFUNCTION("""COMPUTED_VALUE"""),"January")</f>
        <v>January</v>
      </c>
    </row>
    <row r="122" spans="1:20" ht="14.25" hidden="1">
      <c r="A122" s="24">
        <f ca="1">IFERROR(__xludf.DUMMYFUNCTION("""COMPUTED_VALUE"""),2024)</f>
        <v>2024</v>
      </c>
      <c r="B122" s="24">
        <f ca="1">IFERROR(__xludf.DUMMYFUNCTION("""COMPUTED_VALUE"""),676)</f>
        <v>676</v>
      </c>
      <c r="C122" s="24" t="str">
        <f ca="1">IFERROR(__xludf.DUMMYFUNCTION("""COMPUTED_VALUE"""),"Detection of Booroola Polymorphism of Bone Morphogenetic Protein Receptor 1b and Embrapa Polymorphism of Growth Differentiation Factor 9 in Sheep in Thailand")</f>
        <v>Detection of Booroola Polymorphism of Bone Morphogenetic Protein Receptor 1b and Embrapa Polymorphism of Growth Differentiation Factor 9 in Sheep in Thailand</v>
      </c>
      <c r="D122" s="24">
        <f ca="1">IFERROR(__xludf.DUMMYFUNCTION("""COMPUTED_VALUE"""),2)</f>
        <v>2</v>
      </c>
      <c r="E122" s="24" t="str">
        <f ca="1">IFERROR(__xludf.DUMMYFUNCTION("""COMPUTED_VALUE"""),"2024.676")</f>
        <v>2024.676</v>
      </c>
      <c r="F122" s="24" t="str">
        <f ca="1">IFERROR(__xludf.DUMMYFUNCTION("""COMPUTED_VALUE"""),"Sheep")</f>
        <v>Sheep</v>
      </c>
      <c r="G122" s="24" t="str">
        <f ca="1">IFERROR(__xludf.DUMMYFUNCTION("""COMPUTED_VALUE"""),"Animals")</f>
        <v>Animals</v>
      </c>
      <c r="H122" s="24" t="str">
        <f ca="1">IFERROR(__xludf.DUMMYFUNCTION("""COMPUTED_VALUE"""),"Theera Rukkwamsuk")</f>
        <v>Theera Rukkwamsuk</v>
      </c>
      <c r="I122" s="24" t="str">
        <f ca="1">IFERROR(__xludf.DUMMYFUNCTION("""COMPUTED_VALUE"""),"CorrespondingAuthor")</f>
        <v>CorrespondingAuthor</v>
      </c>
      <c r="J122" s="24" t="b">
        <f ca="1">IFERROR(__xludf.DUMMYFUNCTION("""COMPUTED_VALUE"""),FALSE)</f>
        <v>0</v>
      </c>
      <c r="K122" s="24" t="b">
        <f ca="1">IFERROR(__xludf.DUMMYFUNCTION("""COMPUTED_VALUE"""),FALSE)</f>
        <v>0</v>
      </c>
      <c r="L122" s="58">
        <f ca="1">IFERROR(__xludf.DUMMYFUNCTION("""COMPUTED_VALUE"""),45356)</f>
        <v>45356</v>
      </c>
      <c r="M122" s="24" t="str">
        <f ca="1">IFERROR(__xludf.DUMMYFUNCTION("""COMPUTED_VALUE"""),"International")</f>
        <v>International</v>
      </c>
      <c r="N122" s="24">
        <f ca="1">IFERROR(__xludf.DUMMYFUNCTION("""COMPUTED_VALUE"""),1)</f>
        <v>1</v>
      </c>
      <c r="O122" s="24">
        <f ca="1">IFERROR(__xludf.DUMMYFUNCTION("""COMPUTED_VALUE"""),2.752)</f>
        <v>2.7519999999999998</v>
      </c>
      <c r="P122" s="24" t="str">
        <f ca="1">IFERROR(__xludf.DUMMYFUNCTION("""COMPUTED_VALUE"""),"Yes")</f>
        <v>Yes</v>
      </c>
      <c r="Q122" s="24" t="str">
        <f ca="1">IFERROR(__xludf.DUMMYFUNCTION("""COMPUTED_VALUE"""),"Yes")</f>
        <v>Yes</v>
      </c>
      <c r="R122" s="24" t="str">
        <f ca="1">IFERROR(__xludf.DUMMYFUNCTION("""COMPUTED_VALUE"""),"ภาควิชาเวชศาสตร์คลินิกสัตว์ใหญ่และสัตว์ป่า")</f>
        <v>ภาควิชาเวชศาสตร์คลินิกสัตว์ใหญ่และสัตว์ป่า</v>
      </c>
      <c r="S122" s="24">
        <f ca="1">IFERROR(__xludf.DUMMYFUNCTION("""COMPUTED_VALUE"""),59)</f>
        <v>59</v>
      </c>
      <c r="T122" s="24" t="str">
        <f ca="1">IFERROR(__xludf.DUMMYFUNCTION("""COMPUTED_VALUE"""),"March")</f>
        <v>March</v>
      </c>
    </row>
    <row r="123" spans="1:20" ht="14.25" hidden="1">
      <c r="A123" s="24">
        <f ca="1">IFERROR(__xludf.DUMMYFUNCTION("""COMPUTED_VALUE"""),2024)</f>
        <v>2024</v>
      </c>
      <c r="B123" s="24">
        <f ca="1">IFERROR(__xludf.DUMMYFUNCTION("""COMPUTED_VALUE"""),677)</f>
        <v>677</v>
      </c>
      <c r="C123" s="24" t="str">
        <f ca="1">IFERROR(__xludf.DUMMYFUNCTION("""COMPUTED_VALUE"""),"Diagnosis, isolation and description of a novel amnoonvirus recovered from diseased fancy guppies, Poecilia reticulata")</f>
        <v>Diagnosis, isolation and description of a novel amnoonvirus recovered from diseased fancy guppies, Poecilia reticulata</v>
      </c>
      <c r="D123" s="24">
        <f ca="1">IFERROR(__xludf.DUMMYFUNCTION("""COMPUTED_VALUE"""),5)</f>
        <v>5</v>
      </c>
      <c r="E123" s="24" t="str">
        <f ca="1">IFERROR(__xludf.DUMMYFUNCTION("""COMPUTED_VALUE"""),"2024.677")</f>
        <v>2024.677</v>
      </c>
      <c r="F123" s="24" t="str">
        <f ca="1">IFERROR(__xludf.DUMMYFUNCTION("""COMPUTED_VALUE"""),"Fish")</f>
        <v>Fish</v>
      </c>
      <c r="G123" s="24" t="str">
        <f ca="1">IFERROR(__xludf.DUMMYFUNCTION("""COMPUTED_VALUE"""),"Journal of Fish Diseases")</f>
        <v>Journal of Fish Diseases</v>
      </c>
      <c r="H123" s="24" t="str">
        <f ca="1">IFERROR(__xludf.DUMMYFUNCTION("""COMPUTED_VALUE"""),"Win Surachetpong")</f>
        <v>Win Surachetpong</v>
      </c>
      <c r="I123" s="24" t="str">
        <f ca="1">IFERROR(__xludf.DUMMYFUNCTION("""COMPUTED_VALUE"""),"CoAuthor")</f>
        <v>CoAuthor</v>
      </c>
      <c r="J123" s="24" t="b">
        <f ca="1">IFERROR(__xludf.DUMMYFUNCTION("""COMPUTED_VALUE"""),FALSE)</f>
        <v>0</v>
      </c>
      <c r="K123" s="24" t="b">
        <f ca="1">IFERROR(__xludf.DUMMYFUNCTION("""COMPUTED_VALUE"""),FALSE)</f>
        <v>0</v>
      </c>
      <c r="L123" s="58">
        <f ca="1">IFERROR(__xludf.DUMMYFUNCTION("""COMPUTED_VALUE"""),45356)</f>
        <v>45356</v>
      </c>
      <c r="M123" s="24" t="str">
        <f ca="1">IFERROR(__xludf.DUMMYFUNCTION("""COMPUTED_VALUE"""),"International")</f>
        <v>International</v>
      </c>
      <c r="N123" s="24">
        <f ca="1">IFERROR(__xludf.DUMMYFUNCTION("""COMPUTED_VALUE"""),1)</f>
        <v>1</v>
      </c>
      <c r="O123" s="24">
        <f ca="1">IFERROR(__xludf.DUMMYFUNCTION("""COMPUTED_VALUE"""),2.63)</f>
        <v>2.63</v>
      </c>
      <c r="P123" s="24" t="str">
        <f ca="1">IFERROR(__xludf.DUMMYFUNCTION("""COMPUTED_VALUE"""),"Yes")</f>
        <v>Yes</v>
      </c>
      <c r="Q123" s="24" t="str">
        <f ca="1">IFERROR(__xludf.DUMMYFUNCTION("""COMPUTED_VALUE"""),"Yes")</f>
        <v>Yes</v>
      </c>
      <c r="R123" s="24" t="str">
        <f ca="1">IFERROR(__xludf.DUMMYFUNCTION("""COMPUTED_VALUE"""),"ภาควิชาจุลชีววิทยาและวิทยาฯ")</f>
        <v>ภาควิชาจุลชีววิทยาและวิทยาฯ</v>
      </c>
      <c r="S123" s="24">
        <f ca="1">IFERROR(__xludf.DUMMYFUNCTION("""COMPUTED_VALUE"""),48)</f>
        <v>48</v>
      </c>
      <c r="T123" s="24" t="str">
        <f ca="1">IFERROR(__xludf.DUMMYFUNCTION("""COMPUTED_VALUE"""),"March")</f>
        <v>March</v>
      </c>
    </row>
    <row r="124" spans="1:20" ht="14.25" hidden="1">
      <c r="A124" s="24">
        <f ca="1">IFERROR(__xludf.DUMMYFUNCTION("""COMPUTED_VALUE"""),2024)</f>
        <v>2024</v>
      </c>
      <c r="B124" s="24">
        <f ca="1">IFERROR(__xludf.DUMMYFUNCTION("""COMPUTED_VALUE"""),678)</f>
        <v>678</v>
      </c>
      <c r="C124" s="24" t="str">
        <f ca="1">IFERROR(__xludf.DUMMYFUNCTION("""COMPUTED_VALUE"""),"Tilapia lake virus infection disrupts the gut microbiota of red hybrid tilapia (Oreochromis spp.)")</f>
        <v>Tilapia lake virus infection disrupts the gut microbiota of red hybrid tilapia (Oreochromis spp.)</v>
      </c>
      <c r="D124" s="24">
        <f ca="1">IFERROR(__xludf.DUMMYFUNCTION("""COMPUTED_VALUE"""),2)</f>
        <v>2</v>
      </c>
      <c r="E124" s="24" t="str">
        <f ca="1">IFERROR(__xludf.DUMMYFUNCTION("""COMPUTED_VALUE"""),"2024.678")</f>
        <v>2024.678</v>
      </c>
      <c r="F124" s="24" t="str">
        <f ca="1">IFERROR(__xludf.DUMMYFUNCTION("""COMPUTED_VALUE"""),"Fish")</f>
        <v>Fish</v>
      </c>
      <c r="G124" s="24" t="str">
        <f ca="1">IFERROR(__xludf.DUMMYFUNCTION("""COMPUTED_VALUE"""),"Aquaculture")</f>
        <v>Aquaculture</v>
      </c>
      <c r="H124" s="24" t="str">
        <f ca="1">IFERROR(__xludf.DUMMYFUNCTION("""COMPUTED_VALUE"""),"Win Surachetpong")</f>
        <v>Win Surachetpong</v>
      </c>
      <c r="I124" s="24" t="str">
        <f ca="1">IFERROR(__xludf.DUMMYFUNCTION("""COMPUTED_VALUE"""),"CorrespondingAuthor")</f>
        <v>CorrespondingAuthor</v>
      </c>
      <c r="J124" s="24" t="b">
        <f ca="1">IFERROR(__xludf.DUMMYFUNCTION("""COMPUTED_VALUE"""),FALSE)</f>
        <v>0</v>
      </c>
      <c r="K124" s="24" t="b">
        <f ca="1">IFERROR(__xludf.DUMMYFUNCTION("""COMPUTED_VALUE"""),FALSE)</f>
        <v>0</v>
      </c>
      <c r="L124" s="58">
        <f ca="1">IFERROR(__xludf.DUMMYFUNCTION("""COMPUTED_VALUE"""),45351)</f>
        <v>45351</v>
      </c>
      <c r="M124" s="24" t="str">
        <f ca="1">IFERROR(__xludf.DUMMYFUNCTION("""COMPUTED_VALUE"""),"International")</f>
        <v>International</v>
      </c>
      <c r="N124" s="24">
        <f ca="1">IFERROR(__xludf.DUMMYFUNCTION("""COMPUTED_VALUE"""),1)</f>
        <v>1</v>
      </c>
      <c r="O124" s="24">
        <f ca="1">IFERROR(__xludf.DUMMYFUNCTION("""COMPUTED_VALUE"""),4.242)</f>
        <v>4.242</v>
      </c>
      <c r="P124" s="24" t="str">
        <f ca="1">IFERROR(__xludf.DUMMYFUNCTION("""COMPUTED_VALUE"""),"Yes")</f>
        <v>Yes</v>
      </c>
      <c r="Q124" s="24" t="str">
        <f ca="1">IFERROR(__xludf.DUMMYFUNCTION("""COMPUTED_VALUE"""),"Yes")</f>
        <v>Yes</v>
      </c>
      <c r="R124" s="24" t="str">
        <f ca="1">IFERROR(__xludf.DUMMYFUNCTION("""COMPUTED_VALUE"""),"ภาควิชาจุลชีววิทยาและวิทยาฯ")</f>
        <v>ภาควิชาจุลชีววิทยาและวิทยาฯ</v>
      </c>
      <c r="S124" s="24">
        <f ca="1">IFERROR(__xludf.DUMMYFUNCTION("""COMPUTED_VALUE"""),48)</f>
        <v>48</v>
      </c>
      <c r="T124" s="24" t="str">
        <f ca="1">IFERROR(__xludf.DUMMYFUNCTION("""COMPUTED_VALUE"""),"February")</f>
        <v>February</v>
      </c>
    </row>
    <row r="125" spans="1:20" ht="14.25" hidden="1">
      <c r="A125" s="24">
        <f ca="1">IFERROR(__xludf.DUMMYFUNCTION("""COMPUTED_VALUE"""),2023)</f>
        <v>2023</v>
      </c>
      <c r="B125" s="24">
        <f ca="1">IFERROR(__xludf.DUMMYFUNCTION("""COMPUTED_VALUE"""),679)</f>
        <v>679</v>
      </c>
      <c r="C125" s="24" t="str">
        <f ca="1">IFERROR(__xludf.DUMMYFUNCTION("""COMPUTED_VALUE"""),"Application of preputial tube-flap urethroplasty to establish a neourethra in a male dog with complications after preputial urethrostomy")</f>
        <v>Application of preputial tube-flap urethroplasty to establish a neourethra in a male dog with complications after preputial urethrostomy</v>
      </c>
      <c r="D125" s="24">
        <f ca="1">IFERROR(__xludf.DUMMYFUNCTION("""COMPUTED_VALUE"""),5)</f>
        <v>5</v>
      </c>
      <c r="E125" s="24" t="str">
        <f ca="1">IFERROR(__xludf.DUMMYFUNCTION("""COMPUTED_VALUE"""),"2023.679")</f>
        <v>2023.679</v>
      </c>
      <c r="F125" s="24" t="str">
        <f ca="1">IFERROR(__xludf.DUMMYFUNCTION("""COMPUTED_VALUE"""),"Dog")</f>
        <v>Dog</v>
      </c>
      <c r="G125" s="24" t="str">
        <f ca="1">IFERROR(__xludf.DUMMYFUNCTION("""COMPUTED_VALUE"""),"Journal of Small Animal Practice")</f>
        <v>Journal of Small Animal Practice</v>
      </c>
      <c r="H125" s="24" t="str">
        <f ca="1">IFERROR(__xludf.DUMMYFUNCTION("""COMPUTED_VALUE"""),"Wanchart Yippaditr")</f>
        <v>Wanchart Yippaditr</v>
      </c>
      <c r="I125" s="24" t="str">
        <f ca="1">IFERROR(__xludf.DUMMYFUNCTION("""COMPUTED_VALUE"""),"CorrespondingAuthor")</f>
        <v>CorrespondingAuthor</v>
      </c>
      <c r="J125" s="24" t="b">
        <f ca="1">IFERROR(__xludf.DUMMYFUNCTION("""COMPUTED_VALUE"""),FALSE)</f>
        <v>0</v>
      </c>
      <c r="K125" s="24" t="b">
        <f ca="1">IFERROR(__xludf.DUMMYFUNCTION("""COMPUTED_VALUE"""),FALSE)</f>
        <v>0</v>
      </c>
      <c r="L125" s="58">
        <f ca="1">IFERROR(__xludf.DUMMYFUNCTION("""COMPUTED_VALUE"""),45265)</f>
        <v>45265</v>
      </c>
      <c r="M125" s="24" t="str">
        <f ca="1">IFERROR(__xludf.DUMMYFUNCTION("""COMPUTED_VALUE"""),"International")</f>
        <v>International</v>
      </c>
      <c r="N125" s="24">
        <f ca="1">IFERROR(__xludf.DUMMYFUNCTION("""COMPUTED_VALUE"""),2)</f>
        <v>2</v>
      </c>
      <c r="O125" s="24">
        <f ca="1">IFERROR(__xludf.DUMMYFUNCTION("""COMPUTED_VALUE"""),1.6)</f>
        <v>1.6</v>
      </c>
      <c r="P125" s="24" t="str">
        <f ca="1">IFERROR(__xludf.DUMMYFUNCTION("""COMPUTED_VALUE"""),"Yes")</f>
        <v>Yes</v>
      </c>
      <c r="Q125" s="24" t="str">
        <f ca="1">IFERROR(__xludf.DUMMYFUNCTION("""COMPUTED_VALUE"""),"Yes")</f>
        <v>Yes</v>
      </c>
      <c r="R125" s="24" t="str">
        <f ca="1">IFERROR(__xludf.DUMMYFUNCTION("""COMPUTED_VALUE"""),"โรงพยาบาลสัตว์ มก. หัวหิน")</f>
        <v>โรงพยาบาลสัตว์ มก. หัวหิน</v>
      </c>
      <c r="S125" s="24">
        <f ca="1">IFERROR(__xludf.DUMMYFUNCTION("""COMPUTED_VALUE"""),47)</f>
        <v>47</v>
      </c>
      <c r="T125" s="24" t="str">
        <f ca="1">IFERROR(__xludf.DUMMYFUNCTION("""COMPUTED_VALUE"""),"December")</f>
        <v>December</v>
      </c>
    </row>
    <row r="126" spans="1:20" ht="14.25" hidden="1">
      <c r="A126" s="24">
        <f ca="1">IFERROR(__xludf.DUMMYFUNCTION("""COMPUTED_VALUE"""),2024)</f>
        <v>2024</v>
      </c>
      <c r="B126" s="24">
        <f ca="1">IFERROR(__xludf.DUMMYFUNCTION("""COMPUTED_VALUE"""),680)</f>
        <v>680</v>
      </c>
      <c r="C126" s="24" t="str">
        <f ca="1">IFERROR(__xludf.DUMMYFUNCTION("""COMPUTED_VALUE"""),"Editorial: Treatment of tick-borne diseases: current status, challenges, and global perspectives")</f>
        <v>Editorial: Treatment of tick-borne diseases: current status, challenges, and global perspectives</v>
      </c>
      <c r="D126" s="24">
        <f ca="1">IFERROR(__xludf.DUMMYFUNCTION("""COMPUTED_VALUE"""),2)</f>
        <v>2</v>
      </c>
      <c r="E126" s="24" t="str">
        <f ca="1">IFERROR(__xludf.DUMMYFUNCTION("""COMPUTED_VALUE"""),"2024.680")</f>
        <v>2024.680</v>
      </c>
      <c r="F126" s="24" t="str">
        <f ca="1">IFERROR(__xludf.DUMMYFUNCTION("""COMPUTED_VALUE"""),"Parasite")</f>
        <v>Parasite</v>
      </c>
      <c r="G126" s="24" t="str">
        <f ca="1">IFERROR(__xludf.DUMMYFUNCTION("""COMPUTED_VALUE"""),"Frontiers in Pharmacology")</f>
        <v>Frontiers in Pharmacology</v>
      </c>
      <c r="H126" s="24" t="str">
        <f ca="1">IFERROR(__xludf.DUMMYFUNCTION("""COMPUTED_VALUE"""),"Ketsarin Kamyingkird")</f>
        <v>Ketsarin Kamyingkird</v>
      </c>
      <c r="I126" s="24" t="str">
        <f ca="1">IFERROR(__xludf.DUMMYFUNCTION("""COMPUTED_VALUE"""),"FirstAuthor")</f>
        <v>FirstAuthor</v>
      </c>
      <c r="J126" s="24" t="b">
        <f ca="1">IFERROR(__xludf.DUMMYFUNCTION("""COMPUTED_VALUE"""),FALSE)</f>
        <v>0</v>
      </c>
      <c r="K126" s="24" t="b">
        <f ca="1">IFERROR(__xludf.DUMMYFUNCTION("""COMPUTED_VALUE"""),FALSE)</f>
        <v>0</v>
      </c>
      <c r="L126" s="58">
        <f ca="1">IFERROR(__xludf.DUMMYFUNCTION("""COMPUTED_VALUE"""),45363)</f>
        <v>45363</v>
      </c>
      <c r="M126" s="24" t="str">
        <f ca="1">IFERROR(__xludf.DUMMYFUNCTION("""COMPUTED_VALUE"""),"International")</f>
        <v>International</v>
      </c>
      <c r="N126" s="24">
        <f ca="1">IFERROR(__xludf.DUMMYFUNCTION("""COMPUTED_VALUE"""),1)</f>
        <v>1</v>
      </c>
      <c r="O126" s="24">
        <f ca="1">IFERROR(__xludf.DUMMYFUNCTION("""COMPUTED_VALUE"""),5.6)</f>
        <v>5.6</v>
      </c>
      <c r="P126" s="24" t="str">
        <f ca="1">IFERROR(__xludf.DUMMYFUNCTION("""COMPUTED_VALUE"""),"Yes")</f>
        <v>Yes</v>
      </c>
      <c r="Q126" s="24" t="str">
        <f ca="1">IFERROR(__xludf.DUMMYFUNCTION("""COMPUTED_VALUE"""),"Yes")</f>
        <v>Yes</v>
      </c>
      <c r="R126" s="24" t="str">
        <f ca="1">IFERROR(__xludf.DUMMYFUNCTION("""COMPUTED_VALUE"""),"ภาควิชาปรสิตวิทยา")</f>
        <v>ภาควิชาปรสิตวิทยา</v>
      </c>
      <c r="S126" s="24">
        <f ca="1">IFERROR(__xludf.DUMMYFUNCTION("""COMPUTED_VALUE"""),42)</f>
        <v>42</v>
      </c>
      <c r="T126" s="24" t="str">
        <f ca="1">IFERROR(__xludf.DUMMYFUNCTION("""COMPUTED_VALUE"""),"March")</f>
        <v>March</v>
      </c>
    </row>
    <row r="127" spans="1:20" ht="14.25" hidden="1">
      <c r="A127" s="24">
        <f ca="1">IFERROR(__xludf.DUMMYFUNCTION("""COMPUTED_VALUE"""),2024)</f>
        <v>2024</v>
      </c>
      <c r="B127" s="24">
        <f ca="1">IFERROR(__xludf.DUMMYFUNCTION("""COMPUTED_VALUE"""),681)</f>
        <v>681</v>
      </c>
      <c r="C127" s="24" t="str">
        <f ca="1">IFERROR(__xludf.DUMMYFUNCTION("""COMPUTED_VALUE"""),"Pins Gene Table v2.0: An Online Genome Database of 37 Pythium insidiosum Strains for Gene Content Exploration and Phylogenomic Analysis")</f>
        <v>Pins Gene Table v2.0: An Online Genome Database of 37 Pythium insidiosum Strains for Gene Content Exploration and Phylogenomic Analysis</v>
      </c>
      <c r="D127" s="24">
        <f ca="1">IFERROR(__xludf.DUMMYFUNCTION("""COMPUTED_VALUE"""),2)</f>
        <v>2</v>
      </c>
      <c r="E127" s="24" t="str">
        <f ca="1">IFERROR(__xludf.DUMMYFUNCTION("""COMPUTED_VALUE"""),"2024.681")</f>
        <v>2024.681</v>
      </c>
      <c r="F127" s="24" t="str">
        <f ca="1">IFERROR(__xludf.DUMMYFUNCTION("""COMPUTED_VALUE"""),"Lab")</f>
        <v>Lab</v>
      </c>
      <c r="G127" s="24" t="str">
        <f ca="1">IFERROR(__xludf.DUMMYFUNCTION("""COMPUTED_VALUE"""),"Journal of Fungi")</f>
        <v>Journal of Fungi</v>
      </c>
      <c r="H127" s="24" t="str">
        <f ca="1">IFERROR(__xludf.DUMMYFUNCTION("""COMPUTED_VALUE"""),"Chompoonek Yurayart")</f>
        <v>Chompoonek Yurayart</v>
      </c>
      <c r="I127" s="24" t="str">
        <f ca="1">IFERROR(__xludf.DUMMYFUNCTION("""COMPUTED_VALUE"""),"FirstAuthor")</f>
        <v>FirstAuthor</v>
      </c>
      <c r="J127" s="24" t="b">
        <f ca="1">IFERROR(__xludf.DUMMYFUNCTION("""COMPUTED_VALUE"""),FALSE)</f>
        <v>0</v>
      </c>
      <c r="K127" s="24" t="b">
        <f ca="1">IFERROR(__xludf.DUMMYFUNCTION("""COMPUTED_VALUE"""),TRUE)</f>
        <v>1</v>
      </c>
      <c r="L127" s="58">
        <f ca="1">IFERROR(__xludf.DUMMYFUNCTION("""COMPUTED_VALUE"""),45320)</f>
        <v>45320</v>
      </c>
      <c r="M127" s="24" t="str">
        <f ca="1">IFERROR(__xludf.DUMMYFUNCTION("""COMPUTED_VALUE"""),"International")</f>
        <v>International</v>
      </c>
      <c r="N127" s="24">
        <f ca="1">IFERROR(__xludf.DUMMYFUNCTION("""COMPUTED_VALUE"""),1)</f>
        <v>1</v>
      </c>
      <c r="O127" s="24">
        <f ca="1">IFERROR(__xludf.DUMMYFUNCTION("""COMPUTED_VALUE"""),5.816)</f>
        <v>5.8159999999999998</v>
      </c>
      <c r="P127" s="24" t="str">
        <f ca="1">IFERROR(__xludf.DUMMYFUNCTION("""COMPUTED_VALUE"""),"Yes")</f>
        <v>Yes</v>
      </c>
      <c r="Q127" s="24" t="str">
        <f ca="1">IFERROR(__xludf.DUMMYFUNCTION("""COMPUTED_VALUE"""),"Yes")</f>
        <v>Yes</v>
      </c>
      <c r="R127" s="24" t="str">
        <f ca="1">IFERROR(__xludf.DUMMYFUNCTION("""COMPUTED_VALUE"""),"#N/A")</f>
        <v>#N/A</v>
      </c>
      <c r="S127" s="24" t="str">
        <f ca="1">IFERROR(__xludf.DUMMYFUNCTION("""COMPUTED_VALUE"""),"#N/A")</f>
        <v>#N/A</v>
      </c>
      <c r="T127" s="24" t="str">
        <f ca="1">IFERROR(__xludf.DUMMYFUNCTION("""COMPUTED_VALUE"""),"January")</f>
        <v>January</v>
      </c>
    </row>
    <row r="128" spans="1:20" ht="14.25" hidden="1">
      <c r="A128" s="24">
        <f ca="1">IFERROR(__xludf.DUMMYFUNCTION("""COMPUTED_VALUE"""),2024)</f>
        <v>2024</v>
      </c>
      <c r="B128" s="24">
        <f ca="1">IFERROR(__xludf.DUMMYFUNCTION("""COMPUTED_VALUE"""),682)</f>
        <v>682</v>
      </c>
      <c r="C128" s="24" t="str">
        <f ca="1">IFERROR(__xludf.DUMMYFUNCTION("""COMPUTED_VALUE"""),"Serological detection of Rickettsia spp. and evaluation of blood parameters in pet dogs and cats from Bangkok and neighboring provinces")</f>
        <v>Serological detection of Rickettsia spp. and evaluation of blood parameters in pet dogs and cats from Bangkok and neighboring provinces</v>
      </c>
      <c r="D128" s="24">
        <f ca="1">IFERROR(__xludf.DUMMYFUNCTION("""COMPUTED_VALUE"""),2)</f>
        <v>2</v>
      </c>
      <c r="E128" s="24" t="str">
        <f ca="1">IFERROR(__xludf.DUMMYFUNCTION("""COMPUTED_VALUE"""),"2024.682")</f>
        <v>2024.682</v>
      </c>
      <c r="F128" s="24" t="str">
        <f ca="1">IFERROR(__xludf.DUMMYFUNCTION("""COMPUTED_VALUE"""),"Cat,Dog")</f>
        <v>Cat,Dog</v>
      </c>
      <c r="G128" s="24" t="str">
        <f ca="1">IFERROR(__xludf.DUMMYFUNCTION("""COMPUTED_VALUE"""),"PLoS ONE")</f>
        <v>PLoS ONE</v>
      </c>
      <c r="H128" s="24" t="str">
        <f ca="1">IFERROR(__xludf.DUMMYFUNCTION("""COMPUTED_VALUE"""),"Sarawan Kaewmongkol")</f>
        <v>Sarawan Kaewmongkol</v>
      </c>
      <c r="I128" s="24" t="str">
        <f ca="1">IFERROR(__xludf.DUMMYFUNCTION("""COMPUTED_VALUE"""),"CorrespondingAuthor")</f>
        <v>CorrespondingAuthor</v>
      </c>
      <c r="J128" s="24" t="b">
        <f ca="1">IFERROR(__xludf.DUMMYFUNCTION("""COMPUTED_VALUE"""),FALSE)</f>
        <v>0</v>
      </c>
      <c r="K128" s="24" t="b">
        <f ca="1">IFERROR(__xludf.DUMMYFUNCTION("""COMPUTED_VALUE"""),FALSE)</f>
        <v>0</v>
      </c>
      <c r="L128" s="58">
        <f ca="1">IFERROR(__xludf.DUMMYFUNCTION("""COMPUTED_VALUE"""),45358)</f>
        <v>45358</v>
      </c>
      <c r="M128" s="24" t="str">
        <f ca="1">IFERROR(__xludf.DUMMYFUNCTION("""COMPUTED_VALUE"""),"International")</f>
        <v>International</v>
      </c>
      <c r="N128" s="24">
        <f ca="1">IFERROR(__xludf.DUMMYFUNCTION("""COMPUTED_VALUE"""),1)</f>
        <v>1</v>
      </c>
      <c r="O128" s="24">
        <f ca="1">IFERROR(__xludf.DUMMYFUNCTION("""COMPUTED_VALUE"""),3.24)</f>
        <v>3.24</v>
      </c>
      <c r="P128" s="24" t="str">
        <f ca="1">IFERROR(__xludf.DUMMYFUNCTION("""COMPUTED_VALUE"""),"Yes")</f>
        <v>Yes</v>
      </c>
      <c r="Q128" s="24" t="str">
        <f ca="1">IFERROR(__xludf.DUMMYFUNCTION("""COMPUTED_VALUE"""),"Yes")</f>
        <v>Yes</v>
      </c>
      <c r="R128" s="24" t="str">
        <f ca="1">IFERROR(__xludf.DUMMYFUNCTION("""COMPUTED_VALUE"""),"#N/A")</f>
        <v>#N/A</v>
      </c>
      <c r="S128" s="24" t="str">
        <f ca="1">IFERROR(__xludf.DUMMYFUNCTION("""COMPUTED_VALUE"""),"#N/A")</f>
        <v>#N/A</v>
      </c>
      <c r="T128" s="24" t="str">
        <f ca="1">IFERROR(__xludf.DUMMYFUNCTION("""COMPUTED_VALUE"""),"March")</f>
        <v>March</v>
      </c>
    </row>
    <row r="129" spans="1:20" ht="14.25" hidden="1">
      <c r="A129" s="24">
        <f ca="1">IFERROR(__xludf.DUMMYFUNCTION("""COMPUTED_VALUE"""),2024)</f>
        <v>2024</v>
      </c>
      <c r="B129" s="24">
        <f ca="1">IFERROR(__xludf.DUMMYFUNCTION("""COMPUTED_VALUE"""),683)</f>
        <v>683</v>
      </c>
      <c r="C129" s="24" t="str">
        <f ca="1">IFERROR(__xludf.DUMMYFUNCTION("""COMPUTED_VALUE"""),"Pharmacokinetic evaluation of oral deracoxib in geese (Anser anser domesticus)")</f>
        <v>Pharmacokinetic evaluation of oral deracoxib in geese (Anser anser domesticus)</v>
      </c>
      <c r="D129" s="24">
        <f ca="1">IFERROR(__xludf.DUMMYFUNCTION("""COMPUTED_VALUE"""),2)</f>
        <v>2</v>
      </c>
      <c r="E129" s="24" t="str">
        <f ca="1">IFERROR(__xludf.DUMMYFUNCTION("""COMPUTED_VALUE"""),"2024.683")</f>
        <v>2024.683</v>
      </c>
      <c r="F129" s="24" t="str">
        <f ca="1">IFERROR(__xludf.DUMMYFUNCTION("""COMPUTED_VALUE"""),"Geese")</f>
        <v>Geese</v>
      </c>
      <c r="G129" s="24" t="str">
        <f ca="1">IFERROR(__xludf.DUMMYFUNCTION("""COMPUTED_VALUE"""),"Journal of Veterinary Pharmacology and Therapeutics")</f>
        <v>Journal of Veterinary Pharmacology and Therapeutics</v>
      </c>
      <c r="H129" s="24" t="str">
        <f ca="1">IFERROR(__xludf.DUMMYFUNCTION("""COMPUTED_VALUE"""),"Amnart Poapolathep")</f>
        <v>Amnart Poapolathep</v>
      </c>
      <c r="I129" s="24" t="str">
        <f ca="1">IFERROR(__xludf.DUMMYFUNCTION("""COMPUTED_VALUE"""),"FirstAuthor")</f>
        <v>FirstAuthor</v>
      </c>
      <c r="J129" s="24" t="b">
        <f ca="1">IFERROR(__xludf.DUMMYFUNCTION("""COMPUTED_VALUE"""),FALSE)</f>
        <v>0</v>
      </c>
      <c r="K129" s="24" t="b">
        <f ca="1">IFERROR(__xludf.DUMMYFUNCTION("""COMPUTED_VALUE"""),FALSE)</f>
        <v>0</v>
      </c>
      <c r="L129" s="58">
        <f ca="1">IFERROR(__xludf.DUMMYFUNCTION("""COMPUTED_VALUE"""),45351)</f>
        <v>45351</v>
      </c>
      <c r="M129" s="24" t="str">
        <f ca="1">IFERROR(__xludf.DUMMYFUNCTION("""COMPUTED_VALUE"""),"International")</f>
        <v>International</v>
      </c>
      <c r="N129" s="24">
        <f ca="1">IFERROR(__xludf.DUMMYFUNCTION("""COMPUTED_VALUE"""),2)</f>
        <v>2</v>
      </c>
      <c r="O129" s="24">
        <f ca="1">IFERROR(__xludf.DUMMYFUNCTION("""COMPUTED_VALUE"""),1.786)</f>
        <v>1.786</v>
      </c>
      <c r="P129" s="24" t="str">
        <f ca="1">IFERROR(__xludf.DUMMYFUNCTION("""COMPUTED_VALUE"""),"Yes")</f>
        <v>Yes</v>
      </c>
      <c r="Q129" s="24" t="str">
        <f ca="1">IFERROR(__xludf.DUMMYFUNCTION("""COMPUTED_VALUE"""),"Yes")</f>
        <v>Yes</v>
      </c>
      <c r="R129" s="24" t="str">
        <f ca="1">IFERROR(__xludf.DUMMYFUNCTION("""COMPUTED_VALUE"""),"ภาควิชาเภสัชวิทยา")</f>
        <v>ภาควิชาเภสัชวิทยา</v>
      </c>
      <c r="S129" s="24">
        <f ca="1">IFERROR(__xludf.DUMMYFUNCTION("""COMPUTED_VALUE"""),54)</f>
        <v>54</v>
      </c>
      <c r="T129" s="24" t="str">
        <f ca="1">IFERROR(__xludf.DUMMYFUNCTION("""COMPUTED_VALUE"""),"February")</f>
        <v>February</v>
      </c>
    </row>
    <row r="130" spans="1:20" ht="14.25" hidden="1">
      <c r="A130" s="24">
        <f ca="1">IFERROR(__xludf.DUMMYFUNCTION("""COMPUTED_VALUE"""),2024)</f>
        <v>2024</v>
      </c>
      <c r="B130" s="24">
        <f ca="1">IFERROR(__xludf.DUMMYFUNCTION("""COMPUTED_VALUE"""),684)</f>
        <v>684</v>
      </c>
      <c r="C130" s="24" t="str">
        <f ca="1">IFERROR(__xludf.DUMMYFUNCTION("""COMPUTED_VALUE"""),"Development and Evaluation of Recombinant NS3 Protein-based ELISA for the Detection of Bovine Viral Diarrhea Virus (BVDV) Antibodies")</f>
        <v>Development and Evaluation of Recombinant NS3 Protein-based ELISA for the Detection of Bovine Viral Diarrhea Virus (BVDV) Antibodies</v>
      </c>
      <c r="D130" s="24">
        <f ca="1">IFERROR(__xludf.DUMMYFUNCTION("""COMPUTED_VALUE"""),2)</f>
        <v>2</v>
      </c>
      <c r="E130" s="24" t="str">
        <f ca="1">IFERROR(__xludf.DUMMYFUNCTION("""COMPUTED_VALUE"""),"2024.684")</f>
        <v>2024.684</v>
      </c>
      <c r="F130" s="24" t="str">
        <f ca="1">IFERROR(__xludf.DUMMYFUNCTION("""COMPUTED_VALUE"""),"Bovine")</f>
        <v>Bovine</v>
      </c>
      <c r="G130" s="24" t="str">
        <f ca="1">IFERROR(__xludf.DUMMYFUNCTION("""COMPUTED_VALUE"""),"Indian Journal of Animal Research")</f>
        <v>Indian Journal of Animal Research</v>
      </c>
      <c r="H130" s="24" t="str">
        <f ca="1">IFERROR(__xludf.DUMMYFUNCTION("""COMPUTED_VALUE"""),"Nantawan Yatbantoong")</f>
        <v>Nantawan Yatbantoong</v>
      </c>
      <c r="I130" s="24" t="str">
        <f ca="1">IFERROR(__xludf.DUMMYFUNCTION("""COMPUTED_VALUE"""),"CorrespondingAuthor")</f>
        <v>CorrespondingAuthor</v>
      </c>
      <c r="J130" s="24" t="b">
        <f ca="1">IFERROR(__xludf.DUMMYFUNCTION("""COMPUTED_VALUE"""),FALSE)</f>
        <v>0</v>
      </c>
      <c r="K130" s="24" t="b">
        <f ca="1">IFERROR(__xludf.DUMMYFUNCTION("""COMPUTED_VALUE"""),FALSE)</f>
        <v>0</v>
      </c>
      <c r="L130" s="58">
        <f ca="1">IFERROR(__xludf.DUMMYFUNCTION("""COMPUTED_VALUE"""),45292)</f>
        <v>45292</v>
      </c>
      <c r="M130" s="24" t="str">
        <f ca="1">IFERROR(__xludf.DUMMYFUNCTION("""COMPUTED_VALUE"""),"International")</f>
        <v>International</v>
      </c>
      <c r="N130" s="24">
        <f ca="1">IFERROR(__xludf.DUMMYFUNCTION("""COMPUTED_VALUE"""),2)</f>
        <v>2</v>
      </c>
      <c r="O130" s="24">
        <f ca="1">IFERROR(__xludf.DUMMYFUNCTION("""COMPUTED_VALUE"""),0.48)</f>
        <v>0.48</v>
      </c>
      <c r="P130" s="24" t="str">
        <f ca="1">IFERROR(__xludf.DUMMYFUNCTION("""COMPUTED_VALUE"""),"Yes")</f>
        <v>Yes</v>
      </c>
      <c r="Q130" s="24" t="str">
        <f ca="1">IFERROR(__xludf.DUMMYFUNCTION("""COMPUTED_VALUE"""),"Yes")</f>
        <v>Yes</v>
      </c>
      <c r="R130" s="24" t="str">
        <f ca="1">IFERROR(__xludf.DUMMYFUNCTION("""COMPUTED_VALUE"""),"ภาควิชาเวชศาสตร์คลินิกสัตว์ใหญ่และสัตว์ป่า")</f>
        <v>ภาควิชาเวชศาสตร์คลินิกสัตว์ใหญ่และสัตว์ป่า</v>
      </c>
      <c r="S130" s="24">
        <f ca="1">IFERROR(__xludf.DUMMYFUNCTION("""COMPUTED_VALUE"""),50)</f>
        <v>50</v>
      </c>
      <c r="T130" s="24" t="str">
        <f ca="1">IFERROR(__xludf.DUMMYFUNCTION("""COMPUTED_VALUE"""),"January")</f>
        <v>January</v>
      </c>
    </row>
    <row r="131" spans="1:20" ht="14.25" hidden="1">
      <c r="A131" s="24">
        <f ca="1">IFERROR(__xludf.DUMMYFUNCTION("""COMPUTED_VALUE"""),2024)</f>
        <v>2024</v>
      </c>
      <c r="B131" s="24">
        <f ca="1">IFERROR(__xludf.DUMMYFUNCTION("""COMPUTED_VALUE"""),685)</f>
        <v>685</v>
      </c>
      <c r="C131" s="24" t="str">
        <f ca="1">IFERROR(__xludf.DUMMYFUNCTION("""COMPUTED_VALUE"""),"Extracts on Phagocytic Activity of Blood Polymorphonuclear Leukocytes and Muscular Lipid Peroxidation in Rabbits")</f>
        <v>Extracts on Phagocytic Activity of Blood Polymorphonuclear Leukocytes and Muscular Lipid Peroxidation in Rabbits</v>
      </c>
      <c r="D131" s="24">
        <f ca="1">IFERROR(__xludf.DUMMYFUNCTION("""COMPUTED_VALUE"""),2)</f>
        <v>2</v>
      </c>
      <c r="E131" s="24" t="str">
        <f ca="1">IFERROR(__xludf.DUMMYFUNCTION("""COMPUTED_VALUE"""),"2024.685")</f>
        <v>2024.685</v>
      </c>
      <c r="F131" s="24" t="str">
        <f ca="1">IFERROR(__xludf.DUMMYFUNCTION("""COMPUTED_VALUE"""),"Rabbit")</f>
        <v>Rabbit</v>
      </c>
      <c r="G131" s="24" t="str">
        <f ca="1">IFERROR(__xludf.DUMMYFUNCTION("""COMPUTED_VALUE"""),"Animals")</f>
        <v>Animals</v>
      </c>
      <c r="H131" s="24" t="str">
        <f ca="1">IFERROR(__xludf.DUMMYFUNCTION("""COMPUTED_VALUE"""),"Theera Rukkwamsuk")</f>
        <v>Theera Rukkwamsuk</v>
      </c>
      <c r="I131" s="24" t="str">
        <f ca="1">IFERROR(__xludf.DUMMYFUNCTION("""COMPUTED_VALUE"""),"CorrespondingAuthor")</f>
        <v>CorrespondingAuthor</v>
      </c>
      <c r="J131" s="24" t="b">
        <f ca="1">IFERROR(__xludf.DUMMYFUNCTION("""COMPUTED_VALUE"""),FALSE)</f>
        <v>0</v>
      </c>
      <c r="K131" s="24" t="b">
        <f ca="1">IFERROR(__xludf.DUMMYFUNCTION("""COMPUTED_VALUE"""),FALSE)</f>
        <v>0</v>
      </c>
      <c r="L131" s="58">
        <f ca="1">IFERROR(__xludf.DUMMYFUNCTION("""COMPUTED_VALUE"""),45371)</f>
        <v>45371</v>
      </c>
      <c r="M131" s="24" t="str">
        <f ca="1">IFERROR(__xludf.DUMMYFUNCTION("""COMPUTED_VALUE"""),"International")</f>
        <v>International</v>
      </c>
      <c r="N131" s="24">
        <f ca="1">IFERROR(__xludf.DUMMYFUNCTION("""COMPUTED_VALUE"""),1)</f>
        <v>1</v>
      </c>
      <c r="O131" s="24">
        <f ca="1">IFERROR(__xludf.DUMMYFUNCTION("""COMPUTED_VALUE"""),2.752)</f>
        <v>2.7519999999999998</v>
      </c>
      <c r="P131" s="24" t="str">
        <f ca="1">IFERROR(__xludf.DUMMYFUNCTION("""COMPUTED_VALUE"""),"Yes")</f>
        <v>Yes</v>
      </c>
      <c r="Q131" s="24" t="str">
        <f ca="1">IFERROR(__xludf.DUMMYFUNCTION("""COMPUTED_VALUE"""),"Yes")</f>
        <v>Yes</v>
      </c>
      <c r="R131" s="24" t="str">
        <f ca="1">IFERROR(__xludf.DUMMYFUNCTION("""COMPUTED_VALUE"""),"ภาควิชาเวชศาสตร์คลินิกสัตว์ใหญ่และสัตว์ป่า")</f>
        <v>ภาควิชาเวชศาสตร์คลินิกสัตว์ใหญ่และสัตว์ป่า</v>
      </c>
      <c r="S131" s="24">
        <f ca="1">IFERROR(__xludf.DUMMYFUNCTION("""COMPUTED_VALUE"""),59)</f>
        <v>59</v>
      </c>
      <c r="T131" s="24" t="str">
        <f ca="1">IFERROR(__xludf.DUMMYFUNCTION("""COMPUTED_VALUE"""),"March")</f>
        <v>March</v>
      </c>
    </row>
    <row r="132" spans="1:20" ht="14.25" hidden="1">
      <c r="A132" s="24">
        <f ca="1">IFERROR(__xludf.DUMMYFUNCTION("""COMPUTED_VALUE"""),2024)</f>
        <v>2024</v>
      </c>
      <c r="B132" s="24">
        <f ca="1">IFERROR(__xludf.DUMMYFUNCTION("""COMPUTED_VALUE"""),686)</f>
        <v>686</v>
      </c>
      <c r="C132" s="24" t="str">
        <f ca="1">IFERROR(__xludf.DUMMYFUNCTION("""COMPUTED_VALUE"""),"Disposition kinetics of meloxicam in green sea turtles (Chelonia mydas) after intravenous and intramuscular administrations")</f>
        <v>Disposition kinetics of meloxicam in green sea turtles (Chelonia mydas) after intravenous and intramuscular administrations</v>
      </c>
      <c r="D132" s="24">
        <f ca="1">IFERROR(__xludf.DUMMYFUNCTION("""COMPUTED_VALUE"""),2)</f>
        <v>2</v>
      </c>
      <c r="E132" s="24" t="str">
        <f ca="1">IFERROR(__xludf.DUMMYFUNCTION("""COMPUTED_VALUE"""),"2024.686")</f>
        <v>2024.686</v>
      </c>
      <c r="F132" s="24" t="str">
        <f ca="1">IFERROR(__xludf.DUMMYFUNCTION("""COMPUTED_VALUE"""),"Turtles")</f>
        <v>Turtles</v>
      </c>
      <c r="G132" s="24" t="str">
        <f ca="1">IFERROR(__xludf.DUMMYFUNCTION("""COMPUTED_VALUE"""),"Journal of Veterinary Pharmacology and Therapeutics")</f>
        <v>Journal of Veterinary Pharmacology and Therapeutics</v>
      </c>
      <c r="H132" s="24" t="str">
        <f ca="1">IFERROR(__xludf.DUMMYFUNCTION("""COMPUTED_VALUE"""),"Saranya Poapolathep")</f>
        <v>Saranya Poapolathep</v>
      </c>
      <c r="I132" s="24" t="str">
        <f ca="1">IFERROR(__xludf.DUMMYFUNCTION("""COMPUTED_VALUE"""),"CorrespondingAuthor")</f>
        <v>CorrespondingAuthor</v>
      </c>
      <c r="J132" s="24" t="b">
        <f ca="1">IFERROR(__xludf.DUMMYFUNCTION("""COMPUTED_VALUE"""),FALSE)</f>
        <v>0</v>
      </c>
      <c r="K132" s="24" t="b">
        <f ca="1">IFERROR(__xludf.DUMMYFUNCTION("""COMPUTED_VALUE"""),FALSE)</f>
        <v>0</v>
      </c>
      <c r="L132" s="58">
        <f ca="1">IFERROR(__xludf.DUMMYFUNCTION("""COMPUTED_VALUE"""),45551)</f>
        <v>45551</v>
      </c>
      <c r="M132" s="24" t="str">
        <f ca="1">IFERROR(__xludf.DUMMYFUNCTION("""COMPUTED_VALUE"""),"International")</f>
        <v>International</v>
      </c>
      <c r="N132" s="24">
        <f ca="1">IFERROR(__xludf.DUMMYFUNCTION("""COMPUTED_VALUE"""),2)</f>
        <v>2</v>
      </c>
      <c r="O132" s="24">
        <f ca="1">IFERROR(__xludf.DUMMYFUNCTION("""COMPUTED_VALUE"""),1.786)</f>
        <v>1.786</v>
      </c>
      <c r="P132" s="24" t="str">
        <f ca="1">IFERROR(__xludf.DUMMYFUNCTION("""COMPUTED_VALUE"""),"Yes")</f>
        <v>Yes</v>
      </c>
      <c r="Q132" s="24" t="str">
        <f ca="1">IFERROR(__xludf.DUMMYFUNCTION("""COMPUTED_VALUE"""),"Yes")</f>
        <v>Yes</v>
      </c>
      <c r="R132" s="24" t="str">
        <f ca="1">IFERROR(__xludf.DUMMYFUNCTION("""COMPUTED_VALUE"""),"ภาควิชาเภสัชวิทยา")</f>
        <v>ภาควิชาเภสัชวิทยา</v>
      </c>
      <c r="S132" s="24">
        <f ca="1">IFERROR(__xludf.DUMMYFUNCTION("""COMPUTED_VALUE"""),48)</f>
        <v>48</v>
      </c>
      <c r="T132" s="24" t="str">
        <f ca="1">IFERROR(__xludf.DUMMYFUNCTION("""COMPUTED_VALUE"""),"September")</f>
        <v>September</v>
      </c>
    </row>
    <row r="133" spans="1:20" ht="14.25" hidden="1">
      <c r="A133" s="24">
        <f ca="1">IFERROR(__xludf.DUMMYFUNCTION("""COMPUTED_VALUE"""),2024)</f>
        <v>2024</v>
      </c>
      <c r="B133" s="24">
        <f ca="1">IFERROR(__xludf.DUMMYFUNCTION("""COMPUTED_VALUE"""),687)</f>
        <v>687</v>
      </c>
      <c r="C133" s="24" t="str">
        <f ca="1">IFERROR(__xludf.DUMMYFUNCTION("""COMPUTED_VALUE"""),"ผลของการเสริมยีสต์ออโตไลเซทในอาหารต่อการเติบโตและระบบภูมิคุ้มกันภายใต้สภาวะความเครียดภายหลังการเหนี่ยวนา ด้วยโรควิบริโอในกุ้งขาวแวนนาไม (Litopenaeus vannamei)")</f>
        <v>ผลของการเสริมยีสต์ออโตไลเซทในอาหารต่อการเติบโตและระบบภูมิคุ้มกันภายใต้สภาวะความเครียดภายหลังการเหนี่ยวนา ด้วยโรควิบริโอในกุ้งขาวแวนนาไม (Litopenaeus vannamei)</v>
      </c>
      <c r="D133" s="24">
        <f ca="1">IFERROR(__xludf.DUMMYFUNCTION("""COMPUTED_VALUE"""),4)</f>
        <v>4</v>
      </c>
      <c r="E133" s="24" t="str">
        <f ca="1">IFERROR(__xludf.DUMMYFUNCTION("""COMPUTED_VALUE"""),"2024.687")</f>
        <v>2024.687</v>
      </c>
      <c r="F133" s="24" t="str">
        <f ca="1">IFERROR(__xludf.DUMMYFUNCTION("""COMPUTED_VALUE"""),"Shrimp")</f>
        <v>Shrimp</v>
      </c>
      <c r="G133" s="24" t="str">
        <f ca="1">IFERROR(__xludf.DUMMYFUNCTION("""COMPUTED_VALUE"""),"วารสารเกษตร")</f>
        <v>วารสารเกษตร</v>
      </c>
      <c r="H133" s="24" t="str">
        <f ca="1">IFERROR(__xludf.DUMMYFUNCTION("""COMPUTED_VALUE"""),"Supawit Triwutanon")</f>
        <v>Supawit Triwutanon</v>
      </c>
      <c r="I133" s="24" t="str">
        <f ca="1">IFERROR(__xludf.DUMMYFUNCTION("""COMPUTED_VALUE"""),"CoAuthor")</f>
        <v>CoAuthor</v>
      </c>
      <c r="J133" s="24" t="b">
        <f ca="1">IFERROR(__xludf.DUMMYFUNCTION("""COMPUTED_VALUE"""),FALSE)</f>
        <v>0</v>
      </c>
      <c r="K133" s="24" t="b">
        <f ca="1">IFERROR(__xludf.DUMMYFUNCTION("""COMPUTED_VALUE"""),FALSE)</f>
        <v>0</v>
      </c>
      <c r="L133" s="58">
        <f ca="1">IFERROR(__xludf.DUMMYFUNCTION("""COMPUTED_VALUE"""),45322)</f>
        <v>45322</v>
      </c>
      <c r="M133" s="24" t="str">
        <f ca="1">IFERROR(__xludf.DUMMYFUNCTION("""COMPUTED_VALUE"""),"National")</f>
        <v>National</v>
      </c>
      <c r="N133" s="24">
        <f ca="1">IFERROR(__xludf.DUMMYFUNCTION("""COMPUTED_VALUE"""),0)</f>
        <v>0</v>
      </c>
      <c r="O133" s="24">
        <f ca="1">IFERROR(__xludf.DUMMYFUNCTION("""COMPUTED_VALUE"""),0)</f>
        <v>0</v>
      </c>
      <c r="P133" s="24" t="str">
        <f ca="1">IFERROR(__xludf.DUMMYFUNCTION("""COMPUTED_VALUE"""),"No")</f>
        <v>No</v>
      </c>
      <c r="Q133" s="24" t="str">
        <f ca="1">IFERROR(__xludf.DUMMYFUNCTION("""COMPUTED_VALUE"""),"No")</f>
        <v>No</v>
      </c>
      <c r="R133" s="24" t="str">
        <f ca="1">IFERROR(__xludf.DUMMYFUNCTION("""COMPUTED_VALUE"""),"ภาควิชาเวชศาสตร์คลินิกสัตว์ใหญ่และสัตว์ป่า")</f>
        <v>ภาควิชาเวชศาสตร์คลินิกสัตว์ใหญ่และสัตว์ป่า</v>
      </c>
      <c r="S133" s="24"/>
      <c r="T133" s="24" t="str">
        <f ca="1">IFERROR(__xludf.DUMMYFUNCTION("""COMPUTED_VALUE"""),"January")</f>
        <v>January</v>
      </c>
    </row>
    <row r="134" spans="1:20" ht="14.25" hidden="1">
      <c r="A134" s="24">
        <f ca="1">IFERROR(__xludf.DUMMYFUNCTION("""COMPUTED_VALUE"""),2024)</f>
        <v>2024</v>
      </c>
      <c r="B134" s="24">
        <f ca="1">IFERROR(__xludf.DUMMYFUNCTION("""COMPUTED_VALUE"""),688)</f>
        <v>688</v>
      </c>
      <c r="C134" s="24" t="str">
        <f ca="1">IFERROR(__xludf.DUMMYFUNCTION("""COMPUTED_VALUE"""),"ผลของการเสริมกรดแกมมาแอมิโนบิวทีริกในอาหารต่อความเครียดจากการขนส่งและการเติบโตของกุ้งขาวแวนนาไม (Litopenaeus vannamei)")</f>
        <v>ผลของการเสริมกรดแกมมาแอมิโนบิวทีริกในอาหารต่อความเครียดจากการขนส่งและการเติบโตของกุ้งขาวแวนนาไม (Litopenaeus vannamei)</v>
      </c>
      <c r="D134" s="24">
        <f ca="1">IFERROR(__xludf.DUMMYFUNCTION("""COMPUTED_VALUE"""),4)</f>
        <v>4</v>
      </c>
      <c r="E134" s="24" t="str">
        <f ca="1">IFERROR(__xludf.DUMMYFUNCTION("""COMPUTED_VALUE"""),"2024.688")</f>
        <v>2024.688</v>
      </c>
      <c r="F134" s="24" t="str">
        <f ca="1">IFERROR(__xludf.DUMMYFUNCTION("""COMPUTED_VALUE"""),"Shrimp")</f>
        <v>Shrimp</v>
      </c>
      <c r="G134" s="24" t="str">
        <f ca="1">IFERROR(__xludf.DUMMYFUNCTION("""COMPUTED_VALUE"""),"วารสารเกษตร")</f>
        <v>วารสารเกษตร</v>
      </c>
      <c r="H134" s="24" t="str">
        <f ca="1">IFERROR(__xludf.DUMMYFUNCTION("""COMPUTED_VALUE"""),"Supawit Triwutanon")</f>
        <v>Supawit Triwutanon</v>
      </c>
      <c r="I134" s="24" t="str">
        <f ca="1">IFERROR(__xludf.DUMMYFUNCTION("""COMPUTED_VALUE"""),"CoAuthor")</f>
        <v>CoAuthor</v>
      </c>
      <c r="J134" s="24" t="b">
        <f ca="1">IFERROR(__xludf.DUMMYFUNCTION("""COMPUTED_VALUE"""),FALSE)</f>
        <v>0</v>
      </c>
      <c r="K134" s="24" t="b">
        <f ca="1">IFERROR(__xludf.DUMMYFUNCTION("""COMPUTED_VALUE"""),FALSE)</f>
        <v>0</v>
      </c>
      <c r="L134" s="58">
        <f ca="1">IFERROR(__xludf.DUMMYFUNCTION("""COMPUTED_VALUE"""),45323)</f>
        <v>45323</v>
      </c>
      <c r="M134" s="24" t="str">
        <f ca="1">IFERROR(__xludf.DUMMYFUNCTION("""COMPUTED_VALUE"""),"National")</f>
        <v>National</v>
      </c>
      <c r="N134" s="24">
        <f ca="1">IFERROR(__xludf.DUMMYFUNCTION("""COMPUTED_VALUE"""),0)</f>
        <v>0</v>
      </c>
      <c r="O134" s="24">
        <f ca="1">IFERROR(__xludf.DUMMYFUNCTION("""COMPUTED_VALUE"""),0)</f>
        <v>0</v>
      </c>
      <c r="P134" s="24" t="str">
        <f ca="1">IFERROR(__xludf.DUMMYFUNCTION("""COMPUTED_VALUE"""),"No")</f>
        <v>No</v>
      </c>
      <c r="Q134" s="24" t="str">
        <f ca="1">IFERROR(__xludf.DUMMYFUNCTION("""COMPUTED_VALUE"""),"No")</f>
        <v>No</v>
      </c>
      <c r="R134" s="24" t="str">
        <f ca="1">IFERROR(__xludf.DUMMYFUNCTION("""COMPUTED_VALUE"""),"ภาควิชาเวชศาสตร์คลินิกสัตว์ใหญ่และสัตว์ป่า")</f>
        <v>ภาควิชาเวชศาสตร์คลินิกสัตว์ใหญ่และสัตว์ป่า</v>
      </c>
      <c r="S134" s="24"/>
      <c r="T134" s="24" t="str">
        <f ca="1">IFERROR(__xludf.DUMMYFUNCTION("""COMPUTED_VALUE"""),"February")</f>
        <v>February</v>
      </c>
    </row>
    <row r="135" spans="1:20" ht="14.25" hidden="1">
      <c r="A135" s="24">
        <f ca="1">IFERROR(__xludf.DUMMYFUNCTION("""COMPUTED_VALUE"""),2024)</f>
        <v>2024</v>
      </c>
      <c r="B135" s="24">
        <f ca="1">IFERROR(__xludf.DUMMYFUNCTION("""COMPUTED_VALUE"""),689)</f>
        <v>689</v>
      </c>
      <c r="C135" s="24" t="str">
        <f ca="1">IFERROR(__xludf.DUMMYFUNCTION("""COMPUTED_VALUE"""),"Effects of Butterfly Pea Extracts on Phagocytic Activity of Blood Polymorphonuclear Leukocytes and Muscular Lipid Peroxidation in Rabbits")</f>
        <v>Effects of Butterfly Pea Extracts on Phagocytic Activity of Blood Polymorphonuclear Leukocytes and Muscular Lipid Peroxidation in Rabbits</v>
      </c>
      <c r="D135" s="24">
        <f ca="1">IFERROR(__xludf.DUMMYFUNCTION("""COMPUTED_VALUE"""),4)</f>
        <v>4</v>
      </c>
      <c r="E135" s="24" t="str">
        <f ca="1">IFERROR(__xludf.DUMMYFUNCTION("""COMPUTED_VALUE"""),"2024.689")</f>
        <v>2024.689</v>
      </c>
      <c r="F135" s="24" t="str">
        <f ca="1">IFERROR(__xludf.DUMMYFUNCTION("""COMPUTED_VALUE"""),"Rabbit")</f>
        <v>Rabbit</v>
      </c>
      <c r="G135" s="24" t="str">
        <f ca="1">IFERROR(__xludf.DUMMYFUNCTION("""COMPUTED_VALUE"""),"Animals")</f>
        <v>Animals</v>
      </c>
      <c r="H135" s="24" t="str">
        <f ca="1">IFERROR(__xludf.DUMMYFUNCTION("""COMPUTED_VALUE"""),"Theera Rukkwamsuk")</f>
        <v>Theera Rukkwamsuk</v>
      </c>
      <c r="I135" s="24" t="str">
        <f ca="1">IFERROR(__xludf.DUMMYFUNCTION("""COMPUTED_VALUE"""),"CorrespondingAuthor")</f>
        <v>CorrespondingAuthor</v>
      </c>
      <c r="J135" s="24" t="b">
        <f ca="1">IFERROR(__xludf.DUMMYFUNCTION("""COMPUTED_VALUE"""),FALSE)</f>
        <v>0</v>
      </c>
      <c r="K135" s="24" t="b">
        <f ca="1">IFERROR(__xludf.DUMMYFUNCTION("""COMPUTED_VALUE"""),FALSE)</f>
        <v>0</v>
      </c>
      <c r="L135" s="58">
        <f ca="1">IFERROR(__xludf.DUMMYFUNCTION("""COMPUTED_VALUE"""),45371)</f>
        <v>45371</v>
      </c>
      <c r="M135" s="24" t="str">
        <f ca="1">IFERROR(__xludf.DUMMYFUNCTION("""COMPUTED_VALUE"""),"International")</f>
        <v>International</v>
      </c>
      <c r="N135" s="24">
        <f ca="1">IFERROR(__xludf.DUMMYFUNCTION("""COMPUTED_VALUE"""),1)</f>
        <v>1</v>
      </c>
      <c r="O135" s="24">
        <f ca="1">IFERROR(__xludf.DUMMYFUNCTION("""COMPUTED_VALUE"""),2.752)</f>
        <v>2.7519999999999998</v>
      </c>
      <c r="P135" s="24" t="str">
        <f ca="1">IFERROR(__xludf.DUMMYFUNCTION("""COMPUTED_VALUE"""),"Yes")</f>
        <v>Yes</v>
      </c>
      <c r="Q135" s="24" t="str">
        <f ca="1">IFERROR(__xludf.DUMMYFUNCTION("""COMPUTED_VALUE"""),"Yes")</f>
        <v>Yes</v>
      </c>
      <c r="R135" s="24" t="str">
        <f ca="1">IFERROR(__xludf.DUMMYFUNCTION("""COMPUTED_VALUE"""),"ภาควิชาเวชศาสตร์คลินิกสัตว์ใหญ่และสัตว์ป่า")</f>
        <v>ภาควิชาเวชศาสตร์คลินิกสัตว์ใหญ่และสัตว์ป่า</v>
      </c>
      <c r="S135" s="24">
        <f ca="1">IFERROR(__xludf.DUMMYFUNCTION("""COMPUTED_VALUE"""),59)</f>
        <v>59</v>
      </c>
      <c r="T135" s="24" t="str">
        <f ca="1">IFERROR(__xludf.DUMMYFUNCTION("""COMPUTED_VALUE"""),"March")</f>
        <v>March</v>
      </c>
    </row>
    <row r="136" spans="1:20" ht="14.25" hidden="1">
      <c r="A136" s="24">
        <f ca="1">IFERROR(__xludf.DUMMYFUNCTION("""COMPUTED_VALUE"""),2024)</f>
        <v>2024</v>
      </c>
      <c r="B136" s="24">
        <f ca="1">IFERROR(__xludf.DUMMYFUNCTION("""COMPUTED_VALUE"""),690)</f>
        <v>690</v>
      </c>
      <c r="C136" s="24" t="str">
        <f ca="1">IFERROR(__xludf.DUMMYFUNCTION("""COMPUTED_VALUE"""),"Determining the hierarchical order by which intestinal tract, administered diet, and individual relay can shape the gut microbiome of fattening quails")</f>
        <v>Determining the hierarchical order by which intestinal tract, administered diet, and individual relay can shape the gut microbiome of fattening quails</v>
      </c>
      <c r="D136" s="24">
        <f ca="1">IFERROR(__xludf.DUMMYFUNCTION("""COMPUTED_VALUE"""),2)</f>
        <v>2</v>
      </c>
      <c r="E136" s="24" t="str">
        <f ca="1">IFERROR(__xludf.DUMMYFUNCTION("""COMPUTED_VALUE"""),"2024.690")</f>
        <v>2024.690</v>
      </c>
      <c r="F136" s="24" t="str">
        <f ca="1">IFERROR(__xludf.DUMMYFUNCTION("""COMPUTED_VALUE"""),"Bird")</f>
        <v>Bird</v>
      </c>
      <c r="G136" s="24" t="str">
        <f ca="1">IFERROR(__xludf.DUMMYFUNCTION("""COMPUTED_VALUE"""),"PLoS ONE")</f>
        <v>PLoS ONE</v>
      </c>
      <c r="H136" s="24" t="str">
        <f ca="1">IFERROR(__xludf.DUMMYFUNCTION("""COMPUTED_VALUE"""),"Attawit Kovitvadhi")</f>
        <v>Attawit Kovitvadhi</v>
      </c>
      <c r="I136" s="24" t="str">
        <f ca="1">IFERROR(__xludf.DUMMYFUNCTION("""COMPUTED_VALUE"""),"CoAuthor")</f>
        <v>CoAuthor</v>
      </c>
      <c r="J136" s="24" t="b">
        <f ca="1">IFERROR(__xludf.DUMMYFUNCTION("""COMPUTED_VALUE"""),FALSE)</f>
        <v>0</v>
      </c>
      <c r="K136" s="24" t="b">
        <f ca="1">IFERROR(__xludf.DUMMYFUNCTION("""COMPUTED_VALUE"""),FALSE)</f>
        <v>0</v>
      </c>
      <c r="L136" s="58">
        <f ca="1">IFERROR(__xludf.DUMMYFUNCTION("""COMPUTED_VALUE"""),45372)</f>
        <v>45372</v>
      </c>
      <c r="M136" s="24" t="str">
        <f ca="1">IFERROR(__xludf.DUMMYFUNCTION("""COMPUTED_VALUE"""),"International")</f>
        <v>International</v>
      </c>
      <c r="N136" s="24">
        <f ca="1">IFERROR(__xludf.DUMMYFUNCTION("""COMPUTED_VALUE"""),1)</f>
        <v>1</v>
      </c>
      <c r="O136" s="24">
        <f ca="1">IFERROR(__xludf.DUMMYFUNCTION("""COMPUTED_VALUE"""),3.24)</f>
        <v>3.24</v>
      </c>
      <c r="P136" s="24" t="str">
        <f ca="1">IFERROR(__xludf.DUMMYFUNCTION("""COMPUTED_VALUE"""),"Yes")</f>
        <v>Yes</v>
      </c>
      <c r="Q136" s="24" t="str">
        <f ca="1">IFERROR(__xludf.DUMMYFUNCTION("""COMPUTED_VALUE"""),"Yes")</f>
        <v>Yes</v>
      </c>
      <c r="R136" s="24" t="str">
        <f ca="1">IFERROR(__xludf.DUMMYFUNCTION("""COMPUTED_VALUE"""),"ภาควิชาสรีรวิทยา")</f>
        <v>ภาควิชาสรีรวิทยา</v>
      </c>
      <c r="S136" s="24">
        <f ca="1">IFERROR(__xludf.DUMMYFUNCTION("""COMPUTED_VALUE"""),37)</f>
        <v>37</v>
      </c>
      <c r="T136" s="24" t="str">
        <f ca="1">IFERROR(__xludf.DUMMYFUNCTION("""COMPUTED_VALUE"""),"March")</f>
        <v>March</v>
      </c>
    </row>
    <row r="137" spans="1:20" ht="14.25" hidden="1">
      <c r="A137" s="24">
        <f ca="1">IFERROR(__xludf.DUMMYFUNCTION("""COMPUTED_VALUE"""),2024)</f>
        <v>2024</v>
      </c>
      <c r="B137" s="24">
        <f ca="1">IFERROR(__xludf.DUMMYFUNCTION("""COMPUTED_VALUE"""),691)</f>
        <v>691</v>
      </c>
      <c r="C137" s="24" t="str">
        <f ca="1">IFERROR(__xludf.DUMMYFUNCTION("""COMPUTED_VALUE"""),"The Expression Levels of CD20 as A Prognostic Value in Feline B-Cell Nasal Lymphoma: A Pilot Study")</f>
        <v>The Expression Levels of CD20 as A Prognostic Value in Feline B-Cell Nasal Lymphoma: A Pilot Study</v>
      </c>
      <c r="D137" s="24">
        <f ca="1">IFERROR(__xludf.DUMMYFUNCTION("""COMPUTED_VALUE"""),5)</f>
        <v>5</v>
      </c>
      <c r="E137" s="24" t="str">
        <f ca="1">IFERROR(__xludf.DUMMYFUNCTION("""COMPUTED_VALUE"""),"2024.691")</f>
        <v>2024.691</v>
      </c>
      <c r="F137" s="24" t="str">
        <f ca="1">IFERROR(__xludf.DUMMYFUNCTION("""COMPUTED_VALUE"""),"Cat")</f>
        <v>Cat</v>
      </c>
      <c r="G137" s="24" t="str">
        <f ca="1">IFERROR(__xludf.DUMMYFUNCTION("""COMPUTED_VALUE"""),"Animals")</f>
        <v>Animals</v>
      </c>
      <c r="H137" s="24" t="str">
        <f ca="1">IFERROR(__xludf.DUMMYFUNCTION("""COMPUTED_VALUE"""),"Tassanee Jaroensong")</f>
        <v>Tassanee Jaroensong</v>
      </c>
      <c r="I137" s="24" t="str">
        <f ca="1">IFERROR(__xludf.DUMMYFUNCTION("""COMPUTED_VALUE"""),"CorrespondingAuthor")</f>
        <v>CorrespondingAuthor</v>
      </c>
      <c r="J137" s="24" t="b">
        <f ca="1">IFERROR(__xludf.DUMMYFUNCTION("""COMPUTED_VALUE"""),FALSE)</f>
        <v>0</v>
      </c>
      <c r="K137" s="24" t="b">
        <f ca="1">IFERROR(__xludf.DUMMYFUNCTION("""COMPUTED_VALUE"""),FALSE)</f>
        <v>0</v>
      </c>
      <c r="L137" s="58">
        <f ca="1">IFERROR(__xludf.DUMMYFUNCTION("""COMPUTED_VALUE"""),45380)</f>
        <v>45380</v>
      </c>
      <c r="M137" s="24" t="str">
        <f ca="1">IFERROR(__xludf.DUMMYFUNCTION("""COMPUTED_VALUE"""),"International")</f>
        <v>International</v>
      </c>
      <c r="N137" s="24">
        <f ca="1">IFERROR(__xludf.DUMMYFUNCTION("""COMPUTED_VALUE"""),1)</f>
        <v>1</v>
      </c>
      <c r="O137" s="24">
        <f ca="1">IFERROR(__xludf.DUMMYFUNCTION("""COMPUTED_VALUE"""),2.752)</f>
        <v>2.7519999999999998</v>
      </c>
      <c r="P137" s="24" t="str">
        <f ca="1">IFERROR(__xludf.DUMMYFUNCTION("""COMPUTED_VALUE"""),"Yes")</f>
        <v>Yes</v>
      </c>
      <c r="Q137" s="24" t="str">
        <f ca="1">IFERROR(__xludf.DUMMYFUNCTION("""COMPUTED_VALUE"""),"Yes")</f>
        <v>Yes</v>
      </c>
      <c r="R137" s="24" t="str">
        <f ca="1">IFERROR(__xludf.DUMMYFUNCTION("""COMPUTED_VALUE"""),"ภาควิชาเวชศาสตร์คลินิกสัตว์เลี้ยง")</f>
        <v>ภาควิชาเวชศาสตร์คลินิกสัตว์เลี้ยง</v>
      </c>
      <c r="S137" s="24">
        <f ca="1">IFERROR(__xludf.DUMMYFUNCTION("""COMPUTED_VALUE"""),47)</f>
        <v>47</v>
      </c>
      <c r="T137" s="24" t="str">
        <f ca="1">IFERROR(__xludf.DUMMYFUNCTION("""COMPUTED_VALUE"""),"March")</f>
        <v>March</v>
      </c>
    </row>
    <row r="138" spans="1:20" ht="14.25" hidden="1">
      <c r="A138" s="24">
        <f ca="1">IFERROR(__xludf.DUMMYFUNCTION("""COMPUTED_VALUE"""),2024)</f>
        <v>2024</v>
      </c>
      <c r="B138" s="24">
        <f ca="1">IFERROR(__xludf.DUMMYFUNCTION("""COMPUTED_VALUE"""),692)</f>
        <v>692</v>
      </c>
      <c r="C138" s="24" t="str">
        <f ca="1">IFERROR(__xludf.DUMMYFUNCTION("""COMPUTED_VALUE"""),"Feline infectious peritonitis: A comprehensive evaluation of clinical manifestations,laboratory diagnosis, and therapeutic approaches")</f>
        <v>Feline infectious peritonitis: A comprehensive evaluation of clinical manifestations,laboratory diagnosis, and therapeutic approaches</v>
      </c>
      <c r="D138" s="24">
        <f ca="1">IFERROR(__xludf.DUMMYFUNCTION("""COMPUTED_VALUE"""),5)</f>
        <v>5</v>
      </c>
      <c r="E138" s="24" t="str">
        <f ca="1">IFERROR(__xludf.DUMMYFUNCTION("""COMPUTED_VALUE"""),"2024.692")</f>
        <v>2024.692</v>
      </c>
      <c r="F138" s="24" t="str">
        <f ca="1">IFERROR(__xludf.DUMMYFUNCTION("""COMPUTED_VALUE"""),"Cat")</f>
        <v>Cat</v>
      </c>
      <c r="G138" s="24" t="str">
        <f ca="1">IFERROR(__xludf.DUMMYFUNCTION("""COMPUTED_VALUE"""),"Journal of Advanced Veterinary and Animal Research")</f>
        <v>Journal of Advanced Veterinary and Animal Research</v>
      </c>
      <c r="H138" s="24" t="str">
        <f ca="1">IFERROR(__xludf.DUMMYFUNCTION("""COMPUTED_VALUE"""),"Wassamon Moyadee")</f>
        <v>Wassamon Moyadee</v>
      </c>
      <c r="I138" s="24" t="str">
        <f ca="1">IFERROR(__xludf.DUMMYFUNCTION("""COMPUTED_VALUE"""),"FirstAuthor")</f>
        <v>FirstAuthor</v>
      </c>
      <c r="J138" s="24" t="b">
        <f ca="1">IFERROR(__xludf.DUMMYFUNCTION("""COMPUTED_VALUE"""),FALSE)</f>
        <v>0</v>
      </c>
      <c r="K138" s="24" t="b">
        <f ca="1">IFERROR(__xludf.DUMMYFUNCTION("""COMPUTED_VALUE"""),TRUE)</f>
        <v>1</v>
      </c>
      <c r="L138" s="58">
        <f ca="1">IFERROR(__xludf.DUMMYFUNCTION("""COMPUTED_VALUE"""),45363)</f>
        <v>45363</v>
      </c>
      <c r="M138" s="24" t="str">
        <f ca="1">IFERROR(__xludf.DUMMYFUNCTION("""COMPUTED_VALUE"""),"International")</f>
        <v>International</v>
      </c>
      <c r="N138" s="24">
        <f ca="1">IFERROR(__xludf.DUMMYFUNCTION("""COMPUTED_VALUE"""),3)</f>
        <v>3</v>
      </c>
      <c r="O138" s="24">
        <f ca="1">IFERROR(__xludf.DUMMYFUNCTION("""COMPUTED_VALUE"""),1.35)</f>
        <v>1.35</v>
      </c>
      <c r="P138" s="24" t="str">
        <f ca="1">IFERROR(__xludf.DUMMYFUNCTION("""COMPUTED_VALUE"""),"Yes")</f>
        <v>Yes</v>
      </c>
      <c r="Q138" s="24" t="str">
        <f ca="1">IFERROR(__xludf.DUMMYFUNCTION("""COMPUTED_VALUE"""),"Yes")</f>
        <v>Yes</v>
      </c>
      <c r="R138" s="24" t="str">
        <f ca="1">IFERROR(__xludf.DUMMYFUNCTION("""COMPUTED_VALUE"""),"#N/A")</f>
        <v>#N/A</v>
      </c>
      <c r="S138" s="24" t="str">
        <f ca="1">IFERROR(__xludf.DUMMYFUNCTION("""COMPUTED_VALUE"""),"#N/A")</f>
        <v>#N/A</v>
      </c>
      <c r="T138" s="24" t="str">
        <f ca="1">IFERROR(__xludf.DUMMYFUNCTION("""COMPUTED_VALUE"""),"March")</f>
        <v>March</v>
      </c>
    </row>
    <row r="139" spans="1:20" ht="14.25" hidden="1">
      <c r="A139" s="24">
        <f ca="1">IFERROR(__xludf.DUMMYFUNCTION("""COMPUTED_VALUE"""),2024)</f>
        <v>2024</v>
      </c>
      <c r="B139" s="24">
        <f ca="1">IFERROR(__xludf.DUMMYFUNCTION("""COMPUTED_VALUE"""),693)</f>
        <v>693</v>
      </c>
      <c r="C139" s="24" t="str">
        <f ca="1">IFERROR(__xludf.DUMMYFUNCTION("""COMPUTED_VALUE"""),"Knowns and unknowns of TiLV-associated neuronal disease")</f>
        <v>Knowns and unknowns of TiLV-associated neuronal disease</v>
      </c>
      <c r="D139" s="24">
        <f ca="1">IFERROR(__xludf.DUMMYFUNCTION("""COMPUTED_VALUE"""),2)</f>
        <v>2</v>
      </c>
      <c r="E139" s="24" t="str">
        <f ca="1">IFERROR(__xludf.DUMMYFUNCTION("""COMPUTED_VALUE"""),"2024.693")</f>
        <v>2024.693</v>
      </c>
      <c r="F139" s="24" t="str">
        <f ca="1">IFERROR(__xludf.DUMMYFUNCTION("""COMPUTED_VALUE"""),"Fish")</f>
        <v>Fish</v>
      </c>
      <c r="G139" s="24" t="str">
        <f ca="1">IFERROR(__xludf.DUMMYFUNCTION("""COMPUTED_VALUE"""),"Virulence")</f>
        <v>Virulence</v>
      </c>
      <c r="H139" s="24" t="str">
        <f ca="1">IFERROR(__xludf.DUMMYFUNCTION("""COMPUTED_VALUE"""),"Win Surachetpong")</f>
        <v>Win Surachetpong</v>
      </c>
      <c r="I139" s="24" t="str">
        <f ca="1">IFERROR(__xludf.DUMMYFUNCTION("""COMPUTED_VALUE"""),"CoAuthor")</f>
        <v>CoAuthor</v>
      </c>
      <c r="J139" s="24" t="b">
        <f ca="1">IFERROR(__xludf.DUMMYFUNCTION("""COMPUTED_VALUE"""),FALSE)</f>
        <v>0</v>
      </c>
      <c r="K139" s="24" t="b">
        <f ca="1">IFERROR(__xludf.DUMMYFUNCTION("""COMPUTED_VALUE"""),FALSE)</f>
        <v>0</v>
      </c>
      <c r="L139" s="58">
        <f ca="1">IFERROR(__xludf.DUMMYFUNCTION("""COMPUTED_VALUE"""),45382)</f>
        <v>45382</v>
      </c>
      <c r="M139" s="24" t="str">
        <f ca="1">IFERROR(__xludf.DUMMYFUNCTION("""COMPUTED_VALUE"""),"International")</f>
        <v>International</v>
      </c>
      <c r="N139" s="24">
        <f ca="1">IFERROR(__xludf.DUMMYFUNCTION("""COMPUTED_VALUE"""),1)</f>
        <v>1</v>
      </c>
      <c r="O139" s="24">
        <f ca="1">IFERROR(__xludf.DUMMYFUNCTION("""COMPUTED_VALUE"""),5.2)</f>
        <v>5.2</v>
      </c>
      <c r="P139" s="24" t="str">
        <f ca="1">IFERROR(__xludf.DUMMYFUNCTION("""COMPUTED_VALUE"""),"Yes")</f>
        <v>Yes</v>
      </c>
      <c r="Q139" s="24" t="str">
        <f ca="1">IFERROR(__xludf.DUMMYFUNCTION("""COMPUTED_VALUE"""),"Yes")</f>
        <v>Yes</v>
      </c>
      <c r="R139" s="24" t="str">
        <f ca="1">IFERROR(__xludf.DUMMYFUNCTION("""COMPUTED_VALUE"""),"ภาควิชาจุลชีววิทยาและวิทยาฯ")</f>
        <v>ภาควิชาจุลชีววิทยาและวิทยาฯ</v>
      </c>
      <c r="S139" s="24">
        <f ca="1">IFERROR(__xludf.DUMMYFUNCTION("""COMPUTED_VALUE"""),48)</f>
        <v>48</v>
      </c>
      <c r="T139" s="24" t="str">
        <f ca="1">IFERROR(__xludf.DUMMYFUNCTION("""COMPUTED_VALUE"""),"March")</f>
        <v>March</v>
      </c>
    </row>
    <row r="140" spans="1:20" ht="14.25" hidden="1">
      <c r="A140" s="24">
        <f ca="1">IFERROR(__xludf.DUMMYFUNCTION("""COMPUTED_VALUE"""),2024)</f>
        <v>2024</v>
      </c>
      <c r="B140" s="24">
        <f ca="1">IFERROR(__xludf.DUMMYFUNCTION("""COMPUTED_VALUE"""),694)</f>
        <v>694</v>
      </c>
      <c r="C140" s="24" t="str">
        <f ca="1">IFERROR(__xludf.DUMMYFUNCTION("""COMPUTED_VALUE"""),"Pharmacokinetic characteristics of florfenicol in green sea turtles (Chelonia mydas) and hawksbill sea turtles (Eretmochelys imbricata) after intramuscular administration")</f>
        <v>Pharmacokinetic characteristics of florfenicol in green sea turtles (Chelonia mydas) and hawksbill sea turtles (Eretmochelys imbricata) after intramuscular administration</v>
      </c>
      <c r="D140" s="24">
        <f ca="1">IFERROR(__xludf.DUMMYFUNCTION("""COMPUTED_VALUE"""),2)</f>
        <v>2</v>
      </c>
      <c r="E140" s="24" t="str">
        <f ca="1">IFERROR(__xludf.DUMMYFUNCTION("""COMPUTED_VALUE"""),"2024.694")</f>
        <v>2024.694</v>
      </c>
      <c r="F140" s="24" t="str">
        <f ca="1">IFERROR(__xludf.DUMMYFUNCTION("""COMPUTED_VALUE"""),"Turtle")</f>
        <v>Turtle</v>
      </c>
      <c r="G140" s="24" t="str">
        <f ca="1">IFERROR(__xludf.DUMMYFUNCTION("""COMPUTED_VALUE"""),"Journal of Veterinary Pharmacology and Therapeutics")</f>
        <v>Journal of Veterinary Pharmacology and Therapeutics</v>
      </c>
      <c r="H140" s="24" t="str">
        <f ca="1">IFERROR(__xludf.DUMMYFUNCTION("""COMPUTED_VALUE"""),"Saranya Poapolathep")</f>
        <v>Saranya Poapolathep</v>
      </c>
      <c r="I140" s="24" t="str">
        <f ca="1">IFERROR(__xludf.DUMMYFUNCTION("""COMPUTED_VALUE"""),"CorrespondingAuthor")</f>
        <v>CorrespondingAuthor</v>
      </c>
      <c r="J140" s="24" t="b">
        <f ca="1">IFERROR(__xludf.DUMMYFUNCTION("""COMPUTED_VALUE"""),FALSE)</f>
        <v>0</v>
      </c>
      <c r="K140" s="24" t="b">
        <f ca="1">IFERROR(__xludf.DUMMYFUNCTION("""COMPUTED_VALUE"""),FALSE)</f>
        <v>0</v>
      </c>
      <c r="L140" s="58">
        <f ca="1">IFERROR(__xludf.DUMMYFUNCTION("""COMPUTED_VALUE"""),45373)</f>
        <v>45373</v>
      </c>
      <c r="M140" s="24" t="str">
        <f ca="1">IFERROR(__xludf.DUMMYFUNCTION("""COMPUTED_VALUE"""),"International")</f>
        <v>International</v>
      </c>
      <c r="N140" s="24">
        <f ca="1">IFERROR(__xludf.DUMMYFUNCTION("""COMPUTED_VALUE"""),2)</f>
        <v>2</v>
      </c>
      <c r="O140" s="24">
        <f ca="1">IFERROR(__xludf.DUMMYFUNCTION("""COMPUTED_VALUE"""),1.786)</f>
        <v>1.786</v>
      </c>
      <c r="P140" s="24" t="str">
        <f ca="1">IFERROR(__xludf.DUMMYFUNCTION("""COMPUTED_VALUE"""),"Yes")</f>
        <v>Yes</v>
      </c>
      <c r="Q140" s="24" t="str">
        <f ca="1">IFERROR(__xludf.DUMMYFUNCTION("""COMPUTED_VALUE"""),"Yes")</f>
        <v>Yes</v>
      </c>
      <c r="R140" s="24" t="str">
        <f ca="1">IFERROR(__xludf.DUMMYFUNCTION("""COMPUTED_VALUE"""),"ภาควิชาเภสัชวิทยา")</f>
        <v>ภาควิชาเภสัชวิทยา</v>
      </c>
      <c r="S140" s="24">
        <f ca="1">IFERROR(__xludf.DUMMYFUNCTION("""COMPUTED_VALUE"""),48)</f>
        <v>48</v>
      </c>
      <c r="T140" s="24" t="str">
        <f ca="1">IFERROR(__xludf.DUMMYFUNCTION("""COMPUTED_VALUE"""),"March")</f>
        <v>March</v>
      </c>
    </row>
    <row r="141" spans="1:20" ht="14.25" hidden="1">
      <c r="A141" s="24">
        <f ca="1">IFERROR(__xludf.DUMMYFUNCTION("""COMPUTED_VALUE"""),2024)</f>
        <v>2024</v>
      </c>
      <c r="B141" s="24">
        <f ca="1">IFERROR(__xludf.DUMMYFUNCTION("""COMPUTED_VALUE"""),695)</f>
        <v>695</v>
      </c>
      <c r="C141" s="24" t="str">
        <f ca="1">IFERROR(__xludf.DUMMYFUNCTION("""COMPUTED_VALUE"""),"Rivaroxaban versus enoxaparin plus clopidogrel therapy for hypertrophic cardiomyopathy-associated thromboembolism in cats")</f>
        <v>Rivaroxaban versus enoxaparin plus clopidogrel therapy for hypertrophic cardiomyopathy-associated thromboembolism in cats</v>
      </c>
      <c r="D141" s="24">
        <f ca="1">IFERROR(__xludf.DUMMYFUNCTION("""COMPUTED_VALUE"""),5)</f>
        <v>5</v>
      </c>
      <c r="E141" s="24" t="str">
        <f ca="1">IFERROR(__xludf.DUMMYFUNCTION("""COMPUTED_VALUE"""),"2024.695")</f>
        <v>2024.695</v>
      </c>
      <c r="F141" s="24" t="str">
        <f ca="1">IFERROR(__xludf.DUMMYFUNCTION("""COMPUTED_VALUE"""),"Cat")</f>
        <v>Cat</v>
      </c>
      <c r="G141" s="24" t="str">
        <f ca="1">IFERROR(__xludf.DUMMYFUNCTION("""COMPUTED_VALUE"""),"Veterinary World")</f>
        <v>Veterinary World</v>
      </c>
      <c r="H141" s="24" t="str">
        <f ca="1">IFERROR(__xludf.DUMMYFUNCTION("""COMPUTED_VALUE"""),"Soontaree Petchdee")</f>
        <v>Soontaree Petchdee</v>
      </c>
      <c r="I141" s="24" t="str">
        <f ca="1">IFERROR(__xludf.DUMMYFUNCTION("""COMPUTED_VALUE"""),"CorrespondingAuthor")</f>
        <v>CorrespondingAuthor</v>
      </c>
      <c r="J141" s="24" t="b">
        <f ca="1">IFERROR(__xludf.DUMMYFUNCTION("""COMPUTED_VALUE"""),FALSE)</f>
        <v>0</v>
      </c>
      <c r="K141" s="24" t="b">
        <f ca="1">IFERROR(__xludf.DUMMYFUNCTION("""COMPUTED_VALUE"""),TRUE)</f>
        <v>1</v>
      </c>
      <c r="L141" s="58">
        <f ca="1">IFERROR(__xludf.DUMMYFUNCTION("""COMPUTED_VALUE"""),45392)</f>
        <v>45392</v>
      </c>
      <c r="M141" s="24" t="str">
        <f ca="1">IFERROR(__xludf.DUMMYFUNCTION("""COMPUTED_VALUE"""),"International")</f>
        <v>International</v>
      </c>
      <c r="N141" s="24">
        <f ca="1">IFERROR(__xludf.DUMMYFUNCTION("""COMPUTED_VALUE"""),2)</f>
        <v>2</v>
      </c>
      <c r="O141" s="24">
        <f ca="1">IFERROR(__xludf.DUMMYFUNCTION("""COMPUTED_VALUE"""),2.11)</f>
        <v>2.11</v>
      </c>
      <c r="P141" s="24" t="str">
        <f ca="1">IFERROR(__xludf.DUMMYFUNCTION("""COMPUTED_VALUE"""),"No")</f>
        <v>No</v>
      </c>
      <c r="Q141" s="24" t="str">
        <f ca="1">IFERROR(__xludf.DUMMYFUNCTION("""COMPUTED_VALUE"""),"Yes")</f>
        <v>Yes</v>
      </c>
      <c r="R141" s="24" t="str">
        <f ca="1">IFERROR(__xludf.DUMMYFUNCTION("""COMPUTED_VALUE"""),"ภาควิชาเวชศาสตร์คลินิกสัตว์ใหญ่และสัตว์ป่า")</f>
        <v>ภาควิชาเวชศาสตร์คลินิกสัตว์ใหญ่และสัตว์ป่า</v>
      </c>
      <c r="S141" s="24">
        <f ca="1">IFERROR(__xludf.DUMMYFUNCTION("""COMPUTED_VALUE"""),51)</f>
        <v>51</v>
      </c>
      <c r="T141" s="24" t="str">
        <f ca="1">IFERROR(__xludf.DUMMYFUNCTION("""COMPUTED_VALUE"""),"April")</f>
        <v>April</v>
      </c>
    </row>
    <row r="142" spans="1:20" ht="14.25" hidden="1">
      <c r="A142" s="24">
        <f ca="1">IFERROR(__xludf.DUMMYFUNCTION("""COMPUTED_VALUE"""),2024)</f>
        <v>2024</v>
      </c>
      <c r="B142" s="24">
        <f ca="1">IFERROR(__xludf.DUMMYFUNCTION("""COMPUTED_VALUE"""),696)</f>
        <v>696</v>
      </c>
      <c r="C142" s="24" t="str">
        <f ca="1">IFERROR(__xludf.DUMMYFUNCTION("""COMPUTED_VALUE"""),"Comparative disposition kinetics of oral deracoxib in sheep and goats")</f>
        <v>Comparative disposition kinetics of oral deracoxib in sheep and goats</v>
      </c>
      <c r="D142" s="24">
        <f ca="1">IFERROR(__xludf.DUMMYFUNCTION("""COMPUTED_VALUE"""),2)</f>
        <v>2</v>
      </c>
      <c r="E142" s="24" t="str">
        <f ca="1">IFERROR(__xludf.DUMMYFUNCTION("""COMPUTED_VALUE"""),"2024.696")</f>
        <v>2024.696</v>
      </c>
      <c r="F142" s="24" t="str">
        <f ca="1">IFERROR(__xludf.DUMMYFUNCTION("""COMPUTED_VALUE"""),"Goat")</f>
        <v>Goat</v>
      </c>
      <c r="G142" s="24" t="str">
        <f ca="1">IFERROR(__xludf.DUMMYFUNCTION("""COMPUTED_VALUE"""),"Journal of Veterinary Pharmacology and Therapeutics")</f>
        <v>Journal of Veterinary Pharmacology and Therapeutics</v>
      </c>
      <c r="H142" s="24" t="str">
        <f ca="1">IFERROR(__xludf.DUMMYFUNCTION("""COMPUTED_VALUE"""),"Amnart Poapolathep")</f>
        <v>Amnart Poapolathep</v>
      </c>
      <c r="I142" s="24" t="str">
        <f ca="1">IFERROR(__xludf.DUMMYFUNCTION("""COMPUTED_VALUE"""),"CoAuthor")</f>
        <v>CoAuthor</v>
      </c>
      <c r="J142" s="24" t="b">
        <f ca="1">IFERROR(__xludf.DUMMYFUNCTION("""COMPUTED_VALUE"""),FALSE)</f>
        <v>0</v>
      </c>
      <c r="K142" s="24" t="b">
        <f ca="1">IFERROR(__xludf.DUMMYFUNCTION("""COMPUTED_VALUE"""),FALSE)</f>
        <v>0</v>
      </c>
      <c r="L142" s="58">
        <f ca="1">IFERROR(__xludf.DUMMYFUNCTION("""COMPUTED_VALUE"""),45379)</f>
        <v>45379</v>
      </c>
      <c r="M142" s="24" t="str">
        <f ca="1">IFERROR(__xludf.DUMMYFUNCTION("""COMPUTED_VALUE"""),"International")</f>
        <v>International</v>
      </c>
      <c r="N142" s="24">
        <f ca="1">IFERROR(__xludf.DUMMYFUNCTION("""COMPUTED_VALUE"""),2)</f>
        <v>2</v>
      </c>
      <c r="O142" s="24">
        <f ca="1">IFERROR(__xludf.DUMMYFUNCTION("""COMPUTED_VALUE"""),1.786)</f>
        <v>1.786</v>
      </c>
      <c r="P142" s="24" t="str">
        <f ca="1">IFERROR(__xludf.DUMMYFUNCTION("""COMPUTED_VALUE"""),"Yes")</f>
        <v>Yes</v>
      </c>
      <c r="Q142" s="24" t="str">
        <f ca="1">IFERROR(__xludf.DUMMYFUNCTION("""COMPUTED_VALUE"""),"Yes")</f>
        <v>Yes</v>
      </c>
      <c r="R142" s="24" t="str">
        <f ca="1">IFERROR(__xludf.DUMMYFUNCTION("""COMPUTED_VALUE"""),"ภาควิชาเภสัชวิทยา")</f>
        <v>ภาควิชาเภสัชวิทยา</v>
      </c>
      <c r="S142" s="24">
        <f ca="1">IFERROR(__xludf.DUMMYFUNCTION("""COMPUTED_VALUE"""),54)</f>
        <v>54</v>
      </c>
      <c r="T142" s="24" t="str">
        <f ca="1">IFERROR(__xludf.DUMMYFUNCTION("""COMPUTED_VALUE"""),"March")</f>
        <v>March</v>
      </c>
    </row>
    <row r="143" spans="1:20" ht="14.25" hidden="1">
      <c r="A143" s="24">
        <f ca="1">IFERROR(__xludf.DUMMYFUNCTION("""COMPUTED_VALUE"""),2024)</f>
        <v>2024</v>
      </c>
      <c r="B143" s="24">
        <f ca="1">IFERROR(__xludf.DUMMYFUNCTION("""COMPUTED_VALUE"""),697)</f>
        <v>697</v>
      </c>
      <c r="C143" s="24" t="str">
        <f ca="1">IFERROR(__xludf.DUMMYFUNCTION("""COMPUTED_VALUE"""),"Short-term outcomes of cranial cruciate ligament rupture treated surgically with tibial plateau leveling osteotomy or non-surgically in small-breed dogs weighing less than10 kg")</f>
        <v>Short-term outcomes of cranial cruciate ligament rupture treated surgically with tibial plateau leveling osteotomy or non-surgically in small-breed dogs weighing less than10 kg</v>
      </c>
      <c r="D143" s="24">
        <f ca="1">IFERROR(__xludf.DUMMYFUNCTION("""COMPUTED_VALUE"""),5)</f>
        <v>5</v>
      </c>
      <c r="E143" s="24" t="str">
        <f ca="1">IFERROR(__xludf.DUMMYFUNCTION("""COMPUTED_VALUE"""),"2024.697")</f>
        <v>2024.697</v>
      </c>
      <c r="F143" s="24" t="str">
        <f ca="1">IFERROR(__xludf.DUMMYFUNCTION("""COMPUTED_VALUE"""),"Dog")</f>
        <v>Dog</v>
      </c>
      <c r="G143" s="24" t="str">
        <f ca="1">IFERROR(__xludf.DUMMYFUNCTION("""COMPUTED_VALUE"""),"Journal of Veterinary Medical Science")</f>
        <v>Journal of Veterinary Medical Science</v>
      </c>
      <c r="H143" s="24" t="str">
        <f ca="1">IFERROR(__xludf.DUMMYFUNCTION("""COMPUTED_VALUE"""),"Irin Kwananocha")</f>
        <v>Irin Kwananocha</v>
      </c>
      <c r="I143" s="24" t="str">
        <f ca="1">IFERROR(__xludf.DUMMYFUNCTION("""COMPUTED_VALUE"""),"FirstAuthor")</f>
        <v>FirstAuthor</v>
      </c>
      <c r="J143" s="24" t="b">
        <f ca="1">IFERROR(__xludf.DUMMYFUNCTION("""COMPUTED_VALUE"""),FALSE)</f>
        <v>0</v>
      </c>
      <c r="K143" s="24" t="b">
        <f ca="1">IFERROR(__xludf.DUMMYFUNCTION("""COMPUTED_VALUE"""),FALSE)</f>
        <v>0</v>
      </c>
      <c r="L143" s="58">
        <f ca="1">IFERROR(__xludf.DUMMYFUNCTION("""COMPUTED_VALUE"""),45334)</f>
        <v>45334</v>
      </c>
      <c r="M143" s="24" t="str">
        <f ca="1">IFERROR(__xludf.DUMMYFUNCTION("""COMPUTED_VALUE"""),"International")</f>
        <v>International</v>
      </c>
      <c r="N143" s="24">
        <f ca="1">IFERROR(__xludf.DUMMYFUNCTION("""COMPUTED_VALUE"""),2)</f>
        <v>2</v>
      </c>
      <c r="O143" s="24">
        <f ca="1">IFERROR(__xludf.DUMMYFUNCTION("""COMPUTED_VALUE"""),1.23)</f>
        <v>1.23</v>
      </c>
      <c r="P143" s="24" t="str">
        <f ca="1">IFERROR(__xludf.DUMMYFUNCTION("""COMPUTED_VALUE"""),"Yes")</f>
        <v>Yes</v>
      </c>
      <c r="Q143" s="24" t="str">
        <f ca="1">IFERROR(__xludf.DUMMYFUNCTION("""COMPUTED_VALUE"""),"Yes")</f>
        <v>Yes</v>
      </c>
      <c r="R143" s="24" t="str">
        <f ca="1">IFERROR(__xludf.DUMMYFUNCTION("""COMPUTED_VALUE"""),"#N/A")</f>
        <v>#N/A</v>
      </c>
      <c r="S143" s="24" t="str">
        <f ca="1">IFERROR(__xludf.DUMMYFUNCTION("""COMPUTED_VALUE"""),"#N/A")</f>
        <v>#N/A</v>
      </c>
      <c r="T143" s="24" t="str">
        <f ca="1">IFERROR(__xludf.DUMMYFUNCTION("""COMPUTED_VALUE"""),"February")</f>
        <v>February</v>
      </c>
    </row>
    <row r="144" spans="1:20" ht="14.25" hidden="1">
      <c r="A144" s="24">
        <f ca="1">IFERROR(__xludf.DUMMYFUNCTION("""COMPUTED_VALUE"""),2024)</f>
        <v>2024</v>
      </c>
      <c r="B144" s="24">
        <f ca="1">IFERROR(__xludf.DUMMYFUNCTION("""COMPUTED_VALUE"""),698)</f>
        <v>698</v>
      </c>
      <c r="C144" s="24" t="str">
        <f ca="1">IFERROR(__xludf.DUMMYFUNCTION("""COMPUTED_VALUE"""),"Buccal mucosal graft urethroplasty in five male dogs with penile urethral stricture at the bulbus glandis")</f>
        <v>Buccal mucosal graft urethroplasty in five male dogs with penile urethral stricture at the bulbus glandis</v>
      </c>
      <c r="D144" s="24">
        <f ca="1">IFERROR(__xludf.DUMMYFUNCTION("""COMPUTED_VALUE"""),5)</f>
        <v>5</v>
      </c>
      <c r="E144" s="24" t="str">
        <f ca="1">IFERROR(__xludf.DUMMYFUNCTION("""COMPUTED_VALUE"""),"2024.698")</f>
        <v>2024.698</v>
      </c>
      <c r="F144" s="24" t="str">
        <f ca="1">IFERROR(__xludf.DUMMYFUNCTION("""COMPUTED_VALUE"""),"Dog")</f>
        <v>Dog</v>
      </c>
      <c r="G144" s="24" t="str">
        <f ca="1">IFERROR(__xludf.DUMMYFUNCTION("""COMPUTED_VALUE"""),"Veterinary Surgery")</f>
        <v>Veterinary Surgery</v>
      </c>
      <c r="H144" s="24" t="str">
        <f ca="1">IFERROR(__xludf.DUMMYFUNCTION("""COMPUTED_VALUE"""),"Wanchart Yippaditr")</f>
        <v>Wanchart Yippaditr</v>
      </c>
      <c r="I144" s="24" t="str">
        <f ca="1">IFERROR(__xludf.DUMMYFUNCTION("""COMPUTED_VALUE"""),"CorrespondingAuthor")</f>
        <v>CorrespondingAuthor</v>
      </c>
      <c r="J144" s="24" t="b">
        <f ca="1">IFERROR(__xludf.DUMMYFUNCTION("""COMPUTED_VALUE"""),FALSE)</f>
        <v>0</v>
      </c>
      <c r="K144" s="24" t="b">
        <f ca="1">IFERROR(__xludf.DUMMYFUNCTION("""COMPUTED_VALUE"""),FALSE)</f>
        <v>0</v>
      </c>
      <c r="L144" s="58">
        <f ca="1">IFERROR(__xludf.DUMMYFUNCTION("""COMPUTED_VALUE"""),45383)</f>
        <v>45383</v>
      </c>
      <c r="M144" s="24" t="str">
        <f ca="1">IFERROR(__xludf.DUMMYFUNCTION("""COMPUTED_VALUE"""),"International")</f>
        <v>International</v>
      </c>
      <c r="N144" s="24">
        <f ca="1">IFERROR(__xludf.DUMMYFUNCTION("""COMPUTED_VALUE"""),1)</f>
        <v>1</v>
      </c>
      <c r="O144" s="24">
        <f ca="1">IFERROR(__xludf.DUMMYFUNCTION("""COMPUTED_VALUE"""),1.8)</f>
        <v>1.8</v>
      </c>
      <c r="P144" s="24" t="str">
        <f ca="1">IFERROR(__xludf.DUMMYFUNCTION("""COMPUTED_VALUE"""),"No")</f>
        <v>No</v>
      </c>
      <c r="Q144" s="24" t="str">
        <f ca="1">IFERROR(__xludf.DUMMYFUNCTION("""COMPUTED_VALUE"""),"Yes")</f>
        <v>Yes</v>
      </c>
      <c r="R144" s="24" t="str">
        <f ca="1">IFERROR(__xludf.DUMMYFUNCTION("""COMPUTED_VALUE"""),"โรงพยาบาลสัตว์ มก. หัวหิน")</f>
        <v>โรงพยาบาลสัตว์ มก. หัวหิน</v>
      </c>
      <c r="S144" s="24">
        <f ca="1">IFERROR(__xludf.DUMMYFUNCTION("""COMPUTED_VALUE"""),47)</f>
        <v>47</v>
      </c>
      <c r="T144" s="24" t="str">
        <f ca="1">IFERROR(__xludf.DUMMYFUNCTION("""COMPUTED_VALUE"""),"April")</f>
        <v>April</v>
      </c>
    </row>
    <row r="145" spans="1:20" ht="14.25" hidden="1">
      <c r="A145" s="24">
        <f ca="1">IFERROR(__xludf.DUMMYFUNCTION("""COMPUTED_VALUE"""),2024)</f>
        <v>2024</v>
      </c>
      <c r="B145" s="24">
        <f ca="1">IFERROR(__xludf.DUMMYFUNCTION("""COMPUTED_VALUE"""),699)</f>
        <v>699</v>
      </c>
      <c r="C145" s="24" t="str">
        <f ca="1">IFERROR(__xludf.DUMMYFUNCTION("""COMPUTED_VALUE"""),"Ancylostoma ceylanicum and other zoonotic canine hookworms: neglected public and animal health risks in the Asia–Pacific region")</f>
        <v>Ancylostoma ceylanicum and other zoonotic canine hookworms: neglected public and animal health risks in the Asia–Pacific region</v>
      </c>
      <c r="D145" s="24">
        <f ca="1">IFERROR(__xludf.DUMMYFUNCTION("""COMPUTED_VALUE"""),2)</f>
        <v>2</v>
      </c>
      <c r="E145" s="24" t="str">
        <f ca="1">IFERROR(__xludf.DUMMYFUNCTION("""COMPUTED_VALUE"""),"2024.699")</f>
        <v>2024.699</v>
      </c>
      <c r="F145" s="24" t="str">
        <f ca="1">IFERROR(__xludf.DUMMYFUNCTION("""COMPUTED_VALUE"""),"Dog")</f>
        <v>Dog</v>
      </c>
      <c r="G145" s="24" t="str">
        <f ca="1">IFERROR(__xludf.DUMMYFUNCTION("""COMPUTED_VALUE"""),"Animal Diseases")</f>
        <v>Animal Diseases</v>
      </c>
      <c r="H145" s="24" t="str">
        <f ca="1">IFERROR(__xludf.DUMMYFUNCTION("""COMPUTED_VALUE"""),"Tawin Inpankaew")</f>
        <v>Tawin Inpankaew</v>
      </c>
      <c r="I145" s="24" t="str">
        <f ca="1">IFERROR(__xludf.DUMMYFUNCTION("""COMPUTED_VALUE"""),"CoAuthor")</f>
        <v>CoAuthor</v>
      </c>
      <c r="J145" s="24" t="b">
        <f ca="1">IFERROR(__xludf.DUMMYFUNCTION("""COMPUTED_VALUE"""),FALSE)</f>
        <v>0</v>
      </c>
      <c r="K145" s="24" t="b">
        <f ca="1">IFERROR(__xludf.DUMMYFUNCTION("""COMPUTED_VALUE"""),TRUE)</f>
        <v>1</v>
      </c>
      <c r="L145" s="58">
        <f ca="1">IFERROR(__xludf.DUMMYFUNCTION("""COMPUTED_VALUE"""),45392)</f>
        <v>45392</v>
      </c>
      <c r="M145" s="24" t="str">
        <f ca="1">IFERROR(__xludf.DUMMYFUNCTION("""COMPUTED_VALUE"""),"International")</f>
        <v>International</v>
      </c>
      <c r="N145" s="24">
        <f ca="1">IFERROR(__xludf.DUMMYFUNCTION("""COMPUTED_VALUE"""),1)</f>
        <v>1</v>
      </c>
      <c r="O145" s="24">
        <f ca="1">IFERROR(__xludf.DUMMYFUNCTION("""COMPUTED_VALUE"""),0)</f>
        <v>0</v>
      </c>
      <c r="P145" s="24" t="str">
        <f ca="1">IFERROR(__xludf.DUMMYFUNCTION("""COMPUTED_VALUE"""),"No")</f>
        <v>No</v>
      </c>
      <c r="Q145" s="24" t="str">
        <f ca="1">IFERROR(__xludf.DUMMYFUNCTION("""COMPUTED_VALUE"""),"Yes")</f>
        <v>Yes</v>
      </c>
      <c r="R145" s="24" t="str">
        <f ca="1">IFERROR(__xludf.DUMMYFUNCTION("""COMPUTED_VALUE"""),"ภาควิชาปรสิตวิทยา")</f>
        <v>ภาควิชาปรสิตวิทยา</v>
      </c>
      <c r="S145" s="24">
        <f ca="1">IFERROR(__xludf.DUMMYFUNCTION("""COMPUTED_VALUE"""),47)</f>
        <v>47</v>
      </c>
      <c r="T145" s="24" t="str">
        <f ca="1">IFERROR(__xludf.DUMMYFUNCTION("""COMPUTED_VALUE"""),"April")</f>
        <v>April</v>
      </c>
    </row>
    <row r="146" spans="1:20" ht="14.25" hidden="1">
      <c r="A146" s="24">
        <f ca="1">IFERROR(__xludf.DUMMYFUNCTION("""COMPUTED_VALUE"""),2024)</f>
        <v>2024</v>
      </c>
      <c r="B146" s="24">
        <f ca="1">IFERROR(__xludf.DUMMYFUNCTION("""COMPUTED_VALUE"""),700)</f>
        <v>700</v>
      </c>
      <c r="C146" s="24" t="str">
        <f ca="1">IFERROR(__xludf.DUMMYFUNCTION("""COMPUTED_VALUE"""),"Field and laboratory investigation of highly pathogenic avian influenza H5N6 and H5N8 in Quang Ninh province, Vietnam, 2020 to 2021")</f>
        <v>Field and laboratory investigation of highly pathogenic avian influenza H5N6 and H5N8 in Quang Ninh province, Vietnam, 2020 to 2021</v>
      </c>
      <c r="D146" s="24">
        <f ca="1">IFERROR(__xludf.DUMMYFUNCTION("""COMPUTED_VALUE"""),2)</f>
        <v>2</v>
      </c>
      <c r="E146" s="24" t="str">
        <f ca="1">IFERROR(__xludf.DUMMYFUNCTION("""COMPUTED_VALUE"""),"2024.700")</f>
        <v>2024.700</v>
      </c>
      <c r="F146" s="24" t="str">
        <f ca="1">IFERROR(__xludf.DUMMYFUNCTION("""COMPUTED_VALUE"""),"Bird")</f>
        <v>Bird</v>
      </c>
      <c r="G146" s="24" t="str">
        <f ca="1">IFERROR(__xludf.DUMMYFUNCTION("""COMPUTED_VALUE"""),"Journal of veterinary science")</f>
        <v>Journal of veterinary science</v>
      </c>
      <c r="H146" s="24" t="str">
        <f ca="1">IFERROR(__xludf.DUMMYFUNCTION("""COMPUTED_VALUE"""),"Suwicha Kasemsuwan")</f>
        <v>Suwicha Kasemsuwan</v>
      </c>
      <c r="I146" s="24" t="str">
        <f ca="1">IFERROR(__xludf.DUMMYFUNCTION("""COMPUTED_VALUE"""),"CoAuthor")</f>
        <v>CoAuthor</v>
      </c>
      <c r="J146" s="24" t="b">
        <f ca="1">IFERROR(__xludf.DUMMYFUNCTION("""COMPUTED_VALUE"""),FALSE)</f>
        <v>0</v>
      </c>
      <c r="K146" s="24" t="b">
        <f ca="1">IFERROR(__xludf.DUMMYFUNCTION("""COMPUTED_VALUE"""),FALSE)</f>
        <v>0</v>
      </c>
      <c r="L146" s="58">
        <f ca="1">IFERROR(__xludf.DUMMYFUNCTION("""COMPUTED_VALUE"""),45309)</f>
        <v>45309</v>
      </c>
      <c r="M146" s="24" t="str">
        <f ca="1">IFERROR(__xludf.DUMMYFUNCTION("""COMPUTED_VALUE"""),"International")</f>
        <v>International</v>
      </c>
      <c r="N146" s="24">
        <f ca="1">IFERROR(__xludf.DUMMYFUNCTION("""COMPUTED_VALUE"""),2)</f>
        <v>2</v>
      </c>
      <c r="O146" s="24">
        <f ca="1">IFERROR(__xludf.DUMMYFUNCTION("""COMPUTED_VALUE"""),1.672)</f>
        <v>1.6719999999999999</v>
      </c>
      <c r="P146" s="24" t="str">
        <f ca="1">IFERROR(__xludf.DUMMYFUNCTION("""COMPUTED_VALUE"""),"Yes")</f>
        <v>Yes</v>
      </c>
      <c r="Q146" s="24" t="str">
        <f ca="1">IFERROR(__xludf.DUMMYFUNCTION("""COMPUTED_VALUE"""),"Yes")</f>
        <v>Yes</v>
      </c>
      <c r="R146" s="24" t="str">
        <f ca="1">IFERROR(__xludf.DUMMYFUNCTION("""COMPUTED_VALUE"""),"ภาควิชาสัตวแพทยสาธารณสุขศาสตร์")</f>
        <v>ภาควิชาสัตวแพทยสาธารณสุขศาสตร์</v>
      </c>
      <c r="S146" s="24">
        <f ca="1">IFERROR(__xludf.DUMMYFUNCTION("""COMPUTED_VALUE"""),61)</f>
        <v>61</v>
      </c>
      <c r="T146" s="24" t="str">
        <f ca="1">IFERROR(__xludf.DUMMYFUNCTION("""COMPUTED_VALUE"""),"January")</f>
        <v>January</v>
      </c>
    </row>
    <row r="147" spans="1:20" ht="14.25" hidden="1">
      <c r="A147" s="24">
        <f ca="1">IFERROR(__xludf.DUMMYFUNCTION("""COMPUTED_VALUE"""),2024)</f>
        <v>2024</v>
      </c>
      <c r="B147" s="24">
        <f ca="1">IFERROR(__xludf.DUMMYFUNCTION("""COMPUTED_VALUE"""),701)</f>
        <v>701</v>
      </c>
      <c r="C147" s="24" t="str">
        <f ca="1">IFERROR(__xludf.DUMMYFUNCTION("""COMPUTED_VALUE"""),"Correlation of Meat pH and Muscle Fiber Characteristics, Cortisol Level, and Tenascin C Gene Expression in Pigs")</f>
        <v>Correlation of Meat pH and Muscle Fiber Characteristics, Cortisol Level, and Tenascin C Gene Expression in Pigs</v>
      </c>
      <c r="D147" s="24">
        <f ca="1">IFERROR(__xludf.DUMMYFUNCTION("""COMPUTED_VALUE"""),2)</f>
        <v>2</v>
      </c>
      <c r="E147" s="24" t="str">
        <f ca="1">IFERROR(__xludf.DUMMYFUNCTION("""COMPUTED_VALUE"""),"2024.701")</f>
        <v>2024.701</v>
      </c>
      <c r="F147" s="24" t="str">
        <f ca="1">IFERROR(__xludf.DUMMYFUNCTION("""COMPUTED_VALUE"""),"Pig")</f>
        <v>Pig</v>
      </c>
      <c r="G147" s="24" t="str">
        <f ca="1">IFERROR(__xludf.DUMMYFUNCTION("""COMPUTED_VALUE"""),"Tropical Animal Science Journal")</f>
        <v>Tropical Animal Science Journal</v>
      </c>
      <c r="H147" s="24" t="str">
        <f ca="1">IFERROR(__xludf.DUMMYFUNCTION("""COMPUTED_VALUE"""),"Jatuporn Rattanasrisomporn")</f>
        <v>Jatuporn Rattanasrisomporn</v>
      </c>
      <c r="I147" s="24" t="str">
        <f ca="1">IFERROR(__xludf.DUMMYFUNCTION("""COMPUTED_VALUE"""),"CoAuthor")</f>
        <v>CoAuthor</v>
      </c>
      <c r="J147" s="24" t="b">
        <f ca="1">IFERROR(__xludf.DUMMYFUNCTION("""COMPUTED_VALUE"""),FALSE)</f>
        <v>0</v>
      </c>
      <c r="K147" s="24" t="b">
        <f ca="1">IFERROR(__xludf.DUMMYFUNCTION("""COMPUTED_VALUE"""),FALSE)</f>
        <v>0</v>
      </c>
      <c r="L147" s="58">
        <f ca="1">IFERROR(__xludf.DUMMYFUNCTION("""COMPUTED_VALUE"""),45357)</f>
        <v>45357</v>
      </c>
      <c r="M147" s="24" t="str">
        <f ca="1">IFERROR(__xludf.DUMMYFUNCTION("""COMPUTED_VALUE"""),"International")</f>
        <v>International</v>
      </c>
      <c r="N147" s="24">
        <f ca="1">IFERROR(__xludf.DUMMYFUNCTION("""COMPUTED_VALUE"""),3)</f>
        <v>3</v>
      </c>
      <c r="O147" s="24">
        <f ca="1">IFERROR(__xludf.DUMMYFUNCTION("""COMPUTED_VALUE"""),0.27)</f>
        <v>0.27</v>
      </c>
      <c r="P147" s="24" t="str">
        <f ca="1">IFERROR(__xludf.DUMMYFUNCTION("""COMPUTED_VALUE"""),"No")</f>
        <v>No</v>
      </c>
      <c r="Q147" s="24" t="str">
        <f ca="1">IFERROR(__xludf.DUMMYFUNCTION("""COMPUTED_VALUE"""),"Yes")</f>
        <v>Yes</v>
      </c>
      <c r="R147" s="24" t="str">
        <f ca="1">IFERROR(__xludf.DUMMYFUNCTION("""COMPUTED_VALUE"""),"ภาควิชาเวชศาสตร์คลินิกสัตว์เลี้ยง")</f>
        <v>ภาควิชาเวชศาสตร์คลินิกสัตว์เลี้ยง</v>
      </c>
      <c r="S147" s="24">
        <f ca="1">IFERROR(__xludf.DUMMYFUNCTION("""COMPUTED_VALUE"""),52)</f>
        <v>52</v>
      </c>
      <c r="T147" s="24" t="str">
        <f ca="1">IFERROR(__xludf.DUMMYFUNCTION("""COMPUTED_VALUE"""),"March")</f>
        <v>March</v>
      </c>
    </row>
    <row r="148" spans="1:20" ht="14.25" hidden="1">
      <c r="A148" s="24">
        <f ca="1">IFERROR(__xludf.DUMMYFUNCTION("""COMPUTED_VALUE"""),2024)</f>
        <v>2024</v>
      </c>
      <c r="B148" s="24">
        <f ca="1">IFERROR(__xludf.DUMMYFUNCTION("""COMPUTED_VALUE"""),702)</f>
        <v>702</v>
      </c>
      <c r="C148" s="24" t="str">
        <f ca="1">IFERROR(__xludf.DUMMYFUNCTION("""COMPUTED_VALUE"""),"Mitogenome-based genetic management of captive Great Hornbill in Thailand: Implications for reintroduction")</f>
        <v>Mitogenome-based genetic management of captive Great Hornbill in Thailand: Implications for reintroduction</v>
      </c>
      <c r="D148" s="24">
        <f ca="1">IFERROR(__xludf.DUMMYFUNCTION("""COMPUTED_VALUE"""),2)</f>
        <v>2</v>
      </c>
      <c r="E148" s="24" t="str">
        <f ca="1">IFERROR(__xludf.DUMMYFUNCTION("""COMPUTED_VALUE"""),"2024.702")</f>
        <v>2024.702</v>
      </c>
      <c r="F148" s="24" t="str">
        <f ca="1">IFERROR(__xludf.DUMMYFUNCTION("""COMPUTED_VALUE"""),"Bird")</f>
        <v>Bird</v>
      </c>
      <c r="G148" s="24" t="str">
        <f ca="1">IFERROR(__xludf.DUMMYFUNCTION("""COMPUTED_VALUE"""),"Global Ecology and Conservation")</f>
        <v>Global Ecology and Conservation</v>
      </c>
      <c r="H148" s="24" t="str">
        <f ca="1">IFERROR(__xludf.DUMMYFUNCTION("""COMPUTED_VALUE"""),"Manakorn Sukmak")</f>
        <v>Manakorn Sukmak</v>
      </c>
      <c r="I148" s="24" t="str">
        <f ca="1">IFERROR(__xludf.DUMMYFUNCTION("""COMPUTED_VALUE"""),"CoAuthor")</f>
        <v>CoAuthor</v>
      </c>
      <c r="J148" s="24" t="b">
        <f ca="1">IFERROR(__xludf.DUMMYFUNCTION("""COMPUTED_VALUE"""),FALSE)</f>
        <v>0</v>
      </c>
      <c r="K148" s="24" t="b">
        <f ca="1">IFERROR(__xludf.DUMMYFUNCTION("""COMPUTED_VALUE"""),FALSE)</f>
        <v>0</v>
      </c>
      <c r="L148" s="58">
        <f ca="1">IFERROR(__xludf.DUMMYFUNCTION("""COMPUTED_VALUE"""),45385)</f>
        <v>45385</v>
      </c>
      <c r="M148" s="24" t="str">
        <f ca="1">IFERROR(__xludf.DUMMYFUNCTION("""COMPUTED_VALUE"""),"International")</f>
        <v>International</v>
      </c>
      <c r="N148" s="24">
        <f ca="1">IFERROR(__xludf.DUMMYFUNCTION("""COMPUTED_VALUE"""),1)</f>
        <v>1</v>
      </c>
      <c r="O148" s="24">
        <f ca="1">IFERROR(__xludf.DUMMYFUNCTION("""COMPUTED_VALUE"""),4)</f>
        <v>4</v>
      </c>
      <c r="P148" s="24" t="str">
        <f ca="1">IFERROR(__xludf.DUMMYFUNCTION("""COMPUTED_VALUE"""),"Yes")</f>
        <v>Yes</v>
      </c>
      <c r="Q148" s="24" t="str">
        <f ca="1">IFERROR(__xludf.DUMMYFUNCTION("""COMPUTED_VALUE"""),"Yes")</f>
        <v>Yes</v>
      </c>
      <c r="R148" s="24" t="str">
        <f ca="1">IFERROR(__xludf.DUMMYFUNCTION("""COMPUTED_VALUE"""),"ภาควิชาเวชศาสตร์และทรัพยากรการผลิตสัตว์")</f>
        <v>ภาควิชาเวชศาสตร์และทรัพยากรการผลิตสัตว์</v>
      </c>
      <c r="S148" s="24">
        <f ca="1">IFERROR(__xludf.DUMMYFUNCTION("""COMPUTED_VALUE"""),42)</f>
        <v>42</v>
      </c>
      <c r="T148" s="24" t="str">
        <f ca="1">IFERROR(__xludf.DUMMYFUNCTION("""COMPUTED_VALUE"""),"April")</f>
        <v>April</v>
      </c>
    </row>
  </sheetData>
  <autoFilter ref="A1:T148" xr:uid="{00000000-0009-0000-0000-000008000000}">
    <filterColumn colId="0">
      <filters>
        <filter val="2018"/>
        <filter val="2019"/>
        <filter val="2020"/>
        <filter val="2021"/>
        <filter val="2022"/>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X5"/>
  <sheetViews>
    <sheetView workbookViewId="0">
      <selection activeCell="G8" sqref="G8"/>
    </sheetView>
  </sheetViews>
  <sheetFormatPr defaultColWidth="12.625" defaultRowHeight="15" customHeight="1"/>
  <sheetData>
    <row r="1" spans="1:24" ht="15" customHeight="1">
      <c r="A1" s="59" t="s">
        <v>641</v>
      </c>
      <c r="B1" s="60" t="s">
        <v>586</v>
      </c>
      <c r="C1" s="60" t="s">
        <v>587</v>
      </c>
      <c r="D1" s="60" t="s">
        <v>588</v>
      </c>
      <c r="E1" s="60" t="s">
        <v>589</v>
      </c>
      <c r="F1" s="60" t="s">
        <v>590</v>
      </c>
      <c r="G1" s="60" t="s">
        <v>591</v>
      </c>
      <c r="H1" s="60" t="s">
        <v>592</v>
      </c>
      <c r="I1" s="60" t="s">
        <v>642</v>
      </c>
      <c r="J1" s="60" t="s">
        <v>594</v>
      </c>
      <c r="K1" s="60" t="s">
        <v>595</v>
      </c>
      <c r="L1" s="60" t="s">
        <v>596</v>
      </c>
      <c r="M1" s="60" t="s">
        <v>597</v>
      </c>
      <c r="N1" s="60" t="s">
        <v>598</v>
      </c>
      <c r="O1" s="60" t="s">
        <v>599</v>
      </c>
      <c r="P1" s="60" t="s">
        <v>643</v>
      </c>
      <c r="Q1" s="60" t="s">
        <v>644</v>
      </c>
      <c r="R1" s="60" t="s">
        <v>645</v>
      </c>
      <c r="S1" s="60" t="s">
        <v>34</v>
      </c>
      <c r="T1" s="60" t="s">
        <v>600</v>
      </c>
      <c r="U1" s="60" t="s">
        <v>601</v>
      </c>
      <c r="V1" s="60" t="s">
        <v>602</v>
      </c>
      <c r="W1" s="60" t="s">
        <v>646</v>
      </c>
      <c r="X1" s="61" t="s">
        <v>606</v>
      </c>
    </row>
    <row r="2" spans="1:24" ht="15" customHeight="1">
      <c r="A2" s="62">
        <v>1</v>
      </c>
      <c r="B2" s="63">
        <v>21100330722</v>
      </c>
      <c r="C2" s="64" t="s">
        <v>609</v>
      </c>
      <c r="D2" s="64" t="s">
        <v>610</v>
      </c>
      <c r="E2" s="64" t="s">
        <v>611</v>
      </c>
      <c r="F2" s="63">
        <v>2665</v>
      </c>
      <c r="G2" s="64" t="s">
        <v>202</v>
      </c>
      <c r="H2" s="63">
        <v>60</v>
      </c>
      <c r="I2" s="63">
        <v>16</v>
      </c>
      <c r="J2" s="63">
        <v>63</v>
      </c>
      <c r="K2" s="63">
        <v>1926</v>
      </c>
      <c r="L2" s="63">
        <v>640</v>
      </c>
      <c r="M2" s="63">
        <v>60</v>
      </c>
      <c r="N2" s="63">
        <v>882</v>
      </c>
      <c r="O2" s="63">
        <v>12038</v>
      </c>
      <c r="P2" s="63">
        <v>3864</v>
      </c>
      <c r="Q2" s="63">
        <v>1</v>
      </c>
      <c r="R2" s="63">
        <v>8</v>
      </c>
      <c r="S2" s="64" t="s">
        <v>612</v>
      </c>
      <c r="T2" s="64" t="s">
        <v>613</v>
      </c>
      <c r="U2" s="64" t="s">
        <v>614</v>
      </c>
      <c r="V2" s="64" t="s">
        <v>647</v>
      </c>
      <c r="W2" s="64" t="s">
        <v>648</v>
      </c>
      <c r="X2" s="65" t="s">
        <v>619</v>
      </c>
    </row>
    <row r="3" spans="1:24" ht="15" customHeight="1">
      <c r="A3" s="66">
        <v>2</v>
      </c>
      <c r="B3" s="67">
        <v>21100805354</v>
      </c>
      <c r="C3" s="68" t="s">
        <v>620</v>
      </c>
      <c r="D3" s="68" t="s">
        <v>610</v>
      </c>
      <c r="E3" s="68" t="s">
        <v>621</v>
      </c>
      <c r="F3" s="67">
        <v>1468</v>
      </c>
      <c r="G3" s="68" t="s">
        <v>202</v>
      </c>
      <c r="H3" s="67">
        <v>87</v>
      </c>
      <c r="I3" s="67">
        <v>224</v>
      </c>
      <c r="J3" s="67">
        <v>495</v>
      </c>
      <c r="K3" s="67">
        <v>16077</v>
      </c>
      <c r="L3" s="67">
        <v>3058</v>
      </c>
      <c r="M3" s="67">
        <v>474</v>
      </c>
      <c r="N3" s="67">
        <v>567</v>
      </c>
      <c r="O3" s="67">
        <v>7177</v>
      </c>
      <c r="P3" s="67">
        <v>4517</v>
      </c>
      <c r="Q3" s="67">
        <v>2</v>
      </c>
      <c r="R3" s="67">
        <v>59</v>
      </c>
      <c r="S3" s="68" t="s">
        <v>622</v>
      </c>
      <c r="T3" s="68" t="s">
        <v>623</v>
      </c>
      <c r="U3" s="68" t="s">
        <v>649</v>
      </c>
      <c r="V3" s="68" t="s">
        <v>640</v>
      </c>
      <c r="W3" s="68" t="s">
        <v>650</v>
      </c>
      <c r="X3" s="69" t="s">
        <v>626</v>
      </c>
    </row>
    <row r="4" spans="1:24" ht="15" customHeight="1">
      <c r="A4" s="62">
        <v>3</v>
      </c>
      <c r="B4" s="63">
        <v>21376</v>
      </c>
      <c r="C4" s="64" t="s">
        <v>168</v>
      </c>
      <c r="D4" s="64" t="s">
        <v>610</v>
      </c>
      <c r="E4" s="64" t="s">
        <v>631</v>
      </c>
      <c r="F4" s="63">
        <v>1342</v>
      </c>
      <c r="G4" s="64" t="s">
        <v>202</v>
      </c>
      <c r="H4" s="63">
        <v>215</v>
      </c>
      <c r="I4" s="63">
        <v>971</v>
      </c>
      <c r="J4" s="63">
        <v>3134</v>
      </c>
      <c r="K4" s="63">
        <v>37603</v>
      </c>
      <c r="L4" s="63">
        <v>13164</v>
      </c>
      <c r="M4" s="63">
        <v>2864</v>
      </c>
      <c r="N4" s="63">
        <v>447</v>
      </c>
      <c r="O4" s="63">
        <v>3873</v>
      </c>
      <c r="P4" s="63">
        <v>4987</v>
      </c>
      <c r="Q4" s="63">
        <v>57</v>
      </c>
      <c r="R4" s="63">
        <v>727</v>
      </c>
      <c r="S4" s="64" t="s">
        <v>632</v>
      </c>
      <c r="T4" s="64" t="s">
        <v>623</v>
      </c>
      <c r="U4" s="64" t="s">
        <v>651</v>
      </c>
      <c r="V4" s="64" t="s">
        <v>652</v>
      </c>
      <c r="W4" s="64" t="s">
        <v>653</v>
      </c>
      <c r="X4" s="65" t="s">
        <v>630</v>
      </c>
    </row>
    <row r="5" spans="1:24" ht="15" customHeight="1">
      <c r="A5" s="66">
        <v>4</v>
      </c>
      <c r="B5" s="67">
        <v>19550</v>
      </c>
      <c r="C5" s="68" t="s">
        <v>466</v>
      </c>
      <c r="D5" s="68" t="s">
        <v>610</v>
      </c>
      <c r="E5" s="68" t="s">
        <v>636</v>
      </c>
      <c r="F5" s="67">
        <v>1260</v>
      </c>
      <c r="G5" s="68" t="s">
        <v>202</v>
      </c>
      <c r="H5" s="67">
        <v>56</v>
      </c>
      <c r="I5" s="67">
        <v>48</v>
      </c>
      <c r="J5" s="67">
        <v>78</v>
      </c>
      <c r="K5" s="67">
        <v>2330</v>
      </c>
      <c r="L5" s="67">
        <v>559</v>
      </c>
      <c r="M5" s="67">
        <v>70</v>
      </c>
      <c r="N5" s="67">
        <v>777</v>
      </c>
      <c r="O5" s="67">
        <v>4854</v>
      </c>
      <c r="P5" s="67">
        <v>4397</v>
      </c>
      <c r="Q5" s="67">
        <v>0</v>
      </c>
      <c r="R5" s="67">
        <v>18</v>
      </c>
      <c r="S5" s="68" t="s">
        <v>627</v>
      </c>
      <c r="T5" s="68" t="s">
        <v>623</v>
      </c>
      <c r="U5" s="68" t="s">
        <v>637</v>
      </c>
      <c r="V5" s="68" t="s">
        <v>654</v>
      </c>
      <c r="W5" s="68" t="s">
        <v>655</v>
      </c>
      <c r="X5" s="69" t="s">
        <v>635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1"/>
  <sheetViews>
    <sheetView workbookViewId="0">
      <selection activeCell="E14" sqref="E14"/>
    </sheetView>
  </sheetViews>
  <sheetFormatPr defaultColWidth="12.625" defaultRowHeight="15" customHeight="1"/>
  <cols>
    <col min="1" max="15" width="8.625" customWidth="1"/>
    <col min="16" max="16" width="23.125" customWidth="1"/>
    <col min="17" max="26" width="8.625" customWidth="1"/>
  </cols>
  <sheetData>
    <row r="1" spans="1:26" ht="15" customHeight="1">
      <c r="A1" s="33" t="s">
        <v>0</v>
      </c>
      <c r="B1" s="33" t="s">
        <v>1</v>
      </c>
      <c r="C1" s="33" t="s">
        <v>2</v>
      </c>
      <c r="D1" s="33" t="s">
        <v>3</v>
      </c>
      <c r="E1" s="33" t="s">
        <v>4</v>
      </c>
      <c r="F1" s="33" t="s">
        <v>5</v>
      </c>
      <c r="G1" s="33" t="s">
        <v>6</v>
      </c>
      <c r="H1" s="33" t="s">
        <v>7</v>
      </c>
      <c r="I1" s="33" t="s">
        <v>8</v>
      </c>
      <c r="J1" s="33" t="s">
        <v>9</v>
      </c>
      <c r="K1" s="33" t="s">
        <v>10</v>
      </c>
      <c r="L1" s="33" t="s">
        <v>11</v>
      </c>
      <c r="M1" s="33" t="s">
        <v>12</v>
      </c>
      <c r="N1" s="33" t="s">
        <v>13</v>
      </c>
      <c r="O1" s="33" t="s">
        <v>656</v>
      </c>
      <c r="P1" s="33" t="s">
        <v>657</v>
      </c>
      <c r="Q1" s="33"/>
      <c r="R1" s="33"/>
      <c r="S1" s="33"/>
      <c r="T1" s="33"/>
      <c r="U1" s="33"/>
      <c r="V1" s="33"/>
      <c r="W1" s="33"/>
      <c r="X1" s="33"/>
      <c r="Y1" s="33"/>
      <c r="Z1" s="33"/>
    </row>
    <row r="2" spans="1:26" ht="15" customHeight="1">
      <c r="A2" s="24">
        <v>2015</v>
      </c>
      <c r="B2" s="24">
        <v>2015</v>
      </c>
      <c r="C2" s="24">
        <v>1</v>
      </c>
      <c r="D2" s="24" t="s">
        <v>39</v>
      </c>
      <c r="E2" s="24">
        <v>10112367</v>
      </c>
      <c r="F2" s="24" t="s">
        <v>40</v>
      </c>
      <c r="G2" s="24">
        <v>28</v>
      </c>
      <c r="H2" s="24">
        <v>1</v>
      </c>
      <c r="I2" s="24">
        <v>14</v>
      </c>
      <c r="J2" s="24">
        <v>19</v>
      </c>
      <c r="K2" s="24">
        <v>14813</v>
      </c>
      <c r="L2" s="24" t="s">
        <v>41</v>
      </c>
      <c r="M2" s="24" t="s">
        <v>42</v>
      </c>
      <c r="N2" s="24" t="s">
        <v>658</v>
      </c>
      <c r="O2" s="24">
        <v>0</v>
      </c>
      <c r="P2" s="24" t="s">
        <v>659</v>
      </c>
    </row>
    <row r="3" spans="1:26" ht="15" customHeight="1">
      <c r="A3" s="24">
        <v>2015</v>
      </c>
      <c r="B3" s="24">
        <v>2015</v>
      </c>
      <c r="C3" s="24">
        <v>1</v>
      </c>
      <c r="D3" s="24" t="s">
        <v>48</v>
      </c>
      <c r="E3" s="24">
        <v>17466148</v>
      </c>
      <c r="F3" s="24" t="s">
        <v>49</v>
      </c>
      <c r="G3" s="24">
        <v>11</v>
      </c>
      <c r="H3" s="24">
        <v>5</v>
      </c>
      <c r="I3" s="24">
        <v>1</v>
      </c>
      <c r="J3" s="24">
        <v>7</v>
      </c>
      <c r="K3" s="24">
        <v>14952</v>
      </c>
      <c r="L3" s="24" t="s">
        <v>50</v>
      </c>
      <c r="M3" s="70" t="s">
        <v>660</v>
      </c>
      <c r="N3" s="24" t="s">
        <v>658</v>
      </c>
      <c r="O3" s="24">
        <v>0</v>
      </c>
      <c r="P3" s="24" t="s">
        <v>659</v>
      </c>
    </row>
    <row r="4" spans="1:26" ht="15" customHeight="1">
      <c r="A4" s="24">
        <v>2015</v>
      </c>
      <c r="B4" s="24">
        <v>2015</v>
      </c>
      <c r="C4" s="24">
        <v>1</v>
      </c>
      <c r="D4" s="24" t="s">
        <v>39</v>
      </c>
      <c r="E4" s="24">
        <v>19994915</v>
      </c>
      <c r="F4" s="24" t="s">
        <v>55</v>
      </c>
      <c r="G4" s="24">
        <v>7</v>
      </c>
      <c r="H4" s="24">
        <v>1</v>
      </c>
      <c r="I4" s="24">
        <v>154</v>
      </c>
      <c r="J4" s="24">
        <v>179</v>
      </c>
      <c r="K4" s="24">
        <v>15142</v>
      </c>
      <c r="L4" s="24" t="s">
        <v>56</v>
      </c>
      <c r="M4" s="24" t="s">
        <v>57</v>
      </c>
      <c r="N4" s="24" t="s">
        <v>658</v>
      </c>
      <c r="O4" s="24">
        <v>0</v>
      </c>
      <c r="P4" s="24" t="s">
        <v>659</v>
      </c>
    </row>
    <row r="5" spans="1:26" ht="15" customHeight="1">
      <c r="A5" s="24">
        <v>2015</v>
      </c>
      <c r="B5" s="24">
        <v>2015</v>
      </c>
      <c r="C5" s="24">
        <v>1</v>
      </c>
      <c r="D5" s="24" t="s">
        <v>60</v>
      </c>
      <c r="E5" s="24">
        <v>1256491</v>
      </c>
      <c r="F5" s="24" t="s">
        <v>61</v>
      </c>
      <c r="G5" s="24">
        <v>45</v>
      </c>
      <c r="H5" s="24">
        <v>1</v>
      </c>
      <c r="I5" s="24">
        <v>1</v>
      </c>
      <c r="J5" s="24">
        <v>10</v>
      </c>
      <c r="K5" s="24">
        <v>15410</v>
      </c>
      <c r="L5" s="24" t="s">
        <v>62</v>
      </c>
      <c r="M5" s="24" t="s">
        <v>63</v>
      </c>
      <c r="N5" s="24" t="s">
        <v>658</v>
      </c>
      <c r="O5" s="24">
        <v>0</v>
      </c>
      <c r="P5" s="24" t="s">
        <v>659</v>
      </c>
    </row>
    <row r="6" spans="1:26" ht="15" customHeight="1">
      <c r="A6" s="24">
        <v>2015</v>
      </c>
      <c r="B6" s="24">
        <v>2015</v>
      </c>
      <c r="C6" s="24">
        <v>2</v>
      </c>
      <c r="D6" s="24" t="s">
        <v>71</v>
      </c>
      <c r="E6" s="24">
        <v>1407783</v>
      </c>
      <c r="F6" s="24" t="s">
        <v>78</v>
      </c>
      <c r="G6" s="24">
        <v>38</v>
      </c>
      <c r="H6" s="24">
        <v>1</v>
      </c>
      <c r="I6" s="24">
        <v>101</v>
      </c>
      <c r="J6" s="24">
        <v>104</v>
      </c>
      <c r="K6" s="24">
        <v>15252</v>
      </c>
      <c r="L6" s="24" t="s">
        <v>73</v>
      </c>
      <c r="M6" s="24" t="s">
        <v>74</v>
      </c>
      <c r="N6" s="24" t="s">
        <v>658</v>
      </c>
      <c r="O6" s="24">
        <v>0</v>
      </c>
      <c r="P6" s="24" t="s">
        <v>659</v>
      </c>
    </row>
    <row r="7" spans="1:26" ht="15" customHeight="1">
      <c r="A7" s="24">
        <v>2015</v>
      </c>
      <c r="B7" s="24">
        <v>2015</v>
      </c>
      <c r="C7" s="24">
        <v>2</v>
      </c>
      <c r="D7" s="24" t="s">
        <v>39</v>
      </c>
      <c r="E7" s="24">
        <v>1254987</v>
      </c>
      <c r="F7" s="24" t="s">
        <v>81</v>
      </c>
      <c r="G7" s="24">
        <v>2015</v>
      </c>
      <c r="H7" s="24">
        <v>38</v>
      </c>
      <c r="I7" s="24">
        <v>1</v>
      </c>
      <c r="J7" s="24">
        <v>8</v>
      </c>
      <c r="K7" s="24">
        <v>15453</v>
      </c>
      <c r="L7" s="24" t="s">
        <v>82</v>
      </c>
      <c r="M7" s="70" t="s">
        <v>661</v>
      </c>
      <c r="N7" s="24" t="s">
        <v>538</v>
      </c>
      <c r="O7" s="24">
        <v>0</v>
      </c>
      <c r="P7" s="24" t="s">
        <v>659</v>
      </c>
    </row>
    <row r="8" spans="1:26" ht="15" customHeight="1">
      <c r="A8" s="24">
        <v>2015</v>
      </c>
      <c r="B8" s="24">
        <v>2015</v>
      </c>
      <c r="C8" s="24">
        <v>2</v>
      </c>
      <c r="D8" s="24" t="s">
        <v>88</v>
      </c>
      <c r="E8" s="24">
        <v>22147500</v>
      </c>
      <c r="F8" s="24" t="s">
        <v>89</v>
      </c>
      <c r="G8" s="24">
        <v>2</v>
      </c>
      <c r="H8" s="24">
        <v>1</v>
      </c>
      <c r="I8" s="24">
        <v>351</v>
      </c>
      <c r="J8" s="24">
        <v>356</v>
      </c>
      <c r="K8" s="24">
        <v>15829</v>
      </c>
      <c r="L8" s="24" t="s">
        <v>90</v>
      </c>
      <c r="M8" s="24" t="s">
        <v>662</v>
      </c>
      <c r="N8" s="24" t="s">
        <v>658</v>
      </c>
      <c r="O8" s="24">
        <v>0</v>
      </c>
      <c r="P8" s="24" t="s">
        <v>659</v>
      </c>
    </row>
    <row r="9" spans="1:26" ht="15" customHeight="1">
      <c r="A9" s="24">
        <v>2015</v>
      </c>
      <c r="B9" s="24">
        <v>2015</v>
      </c>
      <c r="C9" s="24">
        <v>2</v>
      </c>
      <c r="D9" s="24" t="s">
        <v>94</v>
      </c>
      <c r="E9" s="24">
        <v>224510</v>
      </c>
      <c r="F9" s="24" t="s">
        <v>99</v>
      </c>
      <c r="G9" s="24">
        <v>56</v>
      </c>
      <c r="H9" s="24">
        <v>2</v>
      </c>
      <c r="I9" s="24">
        <v>130</v>
      </c>
      <c r="J9" s="24">
        <v>133</v>
      </c>
      <c r="K9" s="24">
        <v>15967</v>
      </c>
      <c r="L9" s="24" t="s">
        <v>96</v>
      </c>
      <c r="M9" s="24" t="s">
        <v>97</v>
      </c>
      <c r="N9" s="24" t="s">
        <v>658</v>
      </c>
      <c r="O9" s="24">
        <v>0</v>
      </c>
      <c r="P9" s="24" t="s">
        <v>659</v>
      </c>
    </row>
    <row r="10" spans="1:26" ht="15" customHeight="1">
      <c r="A10" s="24">
        <v>2015</v>
      </c>
      <c r="B10" s="24">
        <v>2015</v>
      </c>
      <c r="C10" s="24">
        <v>2</v>
      </c>
      <c r="D10" s="24" t="s">
        <v>39</v>
      </c>
      <c r="E10" s="24">
        <v>19057571</v>
      </c>
      <c r="F10" s="24" t="s">
        <v>100</v>
      </c>
      <c r="G10" s="24">
        <v>10</v>
      </c>
      <c r="H10" s="24">
        <v>2</v>
      </c>
      <c r="I10" s="24">
        <v>111</v>
      </c>
      <c r="J10" s="24">
        <v>118</v>
      </c>
      <c r="K10" s="24">
        <v>19711</v>
      </c>
      <c r="L10" s="24" t="s">
        <v>101</v>
      </c>
      <c r="M10" s="24" t="s">
        <v>39</v>
      </c>
      <c r="N10" s="24" t="s">
        <v>538</v>
      </c>
      <c r="O10" s="24">
        <v>0</v>
      </c>
      <c r="P10" s="24" t="s">
        <v>659</v>
      </c>
    </row>
    <row r="11" spans="1:26" ht="15" customHeight="1">
      <c r="A11" s="24">
        <v>2015</v>
      </c>
      <c r="B11" s="24">
        <v>2015</v>
      </c>
      <c r="C11" s="24">
        <v>3</v>
      </c>
      <c r="D11" s="24" t="s">
        <v>102</v>
      </c>
      <c r="E11" s="24">
        <v>14672995</v>
      </c>
      <c r="F11" s="24" t="s">
        <v>103</v>
      </c>
      <c r="G11" s="24">
        <v>42</v>
      </c>
      <c r="H11" s="24">
        <v>2</v>
      </c>
      <c r="I11" s="24">
        <v>182</v>
      </c>
      <c r="J11" s="24">
        <v>186</v>
      </c>
      <c r="K11" s="24">
        <v>14102</v>
      </c>
      <c r="L11" s="24" t="s">
        <v>104</v>
      </c>
      <c r="M11" s="70" t="s">
        <v>663</v>
      </c>
      <c r="N11" s="24" t="s">
        <v>658</v>
      </c>
      <c r="O11" s="24">
        <v>2</v>
      </c>
      <c r="P11" s="24" t="s">
        <v>664</v>
      </c>
    </row>
  </sheetData>
  <autoFilter ref="A1:P11" xr:uid="{00000000-0009-0000-0000-00000A000000}"/>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E600"/>
  <sheetViews>
    <sheetView workbookViewId="0">
      <selection activeCell="D13" sqref="D13"/>
    </sheetView>
  </sheetViews>
  <sheetFormatPr defaultColWidth="12.625" defaultRowHeight="15" customHeight="1"/>
  <cols>
    <col min="1" max="1" width="43.875" customWidth="1"/>
    <col min="2" max="2" width="16" customWidth="1"/>
    <col min="3" max="3" width="16.625" customWidth="1"/>
    <col min="4" max="4" width="15.25" customWidth="1"/>
  </cols>
  <sheetData>
    <row r="1" spans="1:5">
      <c r="A1" s="71" t="s">
        <v>5</v>
      </c>
      <c r="B1" s="72" t="s">
        <v>665</v>
      </c>
      <c r="C1" s="73" t="s">
        <v>666</v>
      </c>
      <c r="D1" s="33" t="s">
        <v>667</v>
      </c>
      <c r="E1" s="24" t="s">
        <v>4</v>
      </c>
    </row>
    <row r="2" spans="1:5">
      <c r="A2" s="74" t="s">
        <v>149</v>
      </c>
      <c r="B2" s="75">
        <v>7</v>
      </c>
      <c r="C2" s="32"/>
      <c r="D2" s="76" t="s">
        <v>668</v>
      </c>
      <c r="E2" s="77" t="e">
        <f t="array" aca="1" ref="E2" ca="1">_xludf.XLOOKUP(A2,'SJR 2023'!C:C,'SJR 2023'!G:G," ",0)</f>
        <v>#NAME?</v>
      </c>
    </row>
    <row r="3" spans="1:5">
      <c r="A3" s="78" t="s">
        <v>347</v>
      </c>
      <c r="B3" s="79">
        <v>10</v>
      </c>
      <c r="C3" s="32" t="s">
        <v>622</v>
      </c>
      <c r="D3" s="76" t="s">
        <v>462</v>
      </c>
      <c r="E3" s="77" t="e">
        <f t="array" aca="1" ref="E3" ca="1">_xludf.XLOOKUP(A3,'SJR 2023'!C:C,'SJR 2023'!G:G," ",0)</f>
        <v>#NAME?</v>
      </c>
    </row>
    <row r="4" spans="1:5">
      <c r="A4" s="78" t="s">
        <v>204</v>
      </c>
      <c r="B4" s="79">
        <v>8</v>
      </c>
      <c r="C4" s="32" t="s">
        <v>612</v>
      </c>
      <c r="D4" s="76" t="s">
        <v>202</v>
      </c>
      <c r="E4" s="77" t="e">
        <f t="array" aca="1" ref="E4" ca="1">_xludf.XLOOKUP(A4,'SJR 2023'!C:C,'SJR 2023'!G:G," ",0)</f>
        <v>#NAME?</v>
      </c>
    </row>
    <row r="5" spans="1:5">
      <c r="A5" s="78" t="s">
        <v>155</v>
      </c>
      <c r="B5" s="79">
        <v>30</v>
      </c>
      <c r="C5" s="32" t="s">
        <v>638</v>
      </c>
      <c r="D5" s="76" t="s">
        <v>639</v>
      </c>
      <c r="E5" s="77" t="e">
        <f t="array" aca="1" ref="E5" ca="1">_xludf.XLOOKUP(A5,'SJR 2023'!C:C,'SJR 2023'!G:G," ",0)</f>
        <v>#NAME?</v>
      </c>
    </row>
    <row r="6" spans="1:5">
      <c r="A6" s="14"/>
      <c r="B6" s="14"/>
      <c r="C6" s="32"/>
      <c r="D6" s="14"/>
    </row>
    <row r="7" spans="1:5">
      <c r="A7" s="14"/>
      <c r="B7" s="14"/>
      <c r="C7" s="32"/>
      <c r="D7" s="14"/>
    </row>
    <row r="8" spans="1:5">
      <c r="A8" s="14"/>
      <c r="B8" s="14"/>
      <c r="C8" s="32"/>
      <c r="D8" s="14"/>
    </row>
    <row r="9" spans="1:5">
      <c r="A9" s="14"/>
      <c r="B9" s="14"/>
      <c r="C9" s="32"/>
      <c r="D9" s="14"/>
    </row>
    <row r="10" spans="1:5">
      <c r="A10" s="14"/>
      <c r="B10" s="14"/>
      <c r="C10" s="32"/>
      <c r="D10" s="14"/>
    </row>
    <row r="11" spans="1:5">
      <c r="A11" s="14"/>
      <c r="B11" s="14"/>
      <c r="C11" s="32"/>
      <c r="D11" s="14"/>
    </row>
    <row r="12" spans="1:5">
      <c r="A12" s="14"/>
      <c r="B12" s="14"/>
      <c r="C12" s="32"/>
      <c r="D12" s="14"/>
    </row>
    <row r="13" spans="1:5">
      <c r="A13" s="14"/>
      <c r="B13" s="14"/>
      <c r="C13" s="32"/>
      <c r="D13" s="14"/>
    </row>
    <row r="14" spans="1:5">
      <c r="A14" s="14"/>
      <c r="B14" s="14"/>
      <c r="C14" s="32"/>
      <c r="D14" s="14"/>
    </row>
    <row r="15" spans="1:5">
      <c r="A15" s="14"/>
      <c r="B15" s="14"/>
      <c r="C15" s="32"/>
      <c r="D15" s="14"/>
    </row>
    <row r="16" spans="1:5">
      <c r="A16" s="14"/>
      <c r="B16" s="14"/>
      <c r="C16" s="32"/>
      <c r="D16" s="14"/>
    </row>
    <row r="17" spans="1:4">
      <c r="A17" s="14"/>
      <c r="B17" s="14"/>
      <c r="C17" s="32"/>
      <c r="D17" s="14"/>
    </row>
    <row r="18" spans="1:4">
      <c r="A18" s="14"/>
      <c r="B18" s="14"/>
      <c r="C18" s="32"/>
      <c r="D18" s="14"/>
    </row>
    <row r="19" spans="1:4">
      <c r="A19" s="14"/>
      <c r="B19" s="14"/>
      <c r="C19" s="32"/>
      <c r="D19" s="14"/>
    </row>
    <row r="20" spans="1:4">
      <c r="A20" s="14"/>
      <c r="B20" s="14"/>
      <c r="C20" s="32"/>
      <c r="D20" s="14"/>
    </row>
    <row r="21" spans="1:4">
      <c r="A21" s="14"/>
      <c r="B21" s="14"/>
      <c r="C21" s="32"/>
      <c r="D21" s="14"/>
    </row>
    <row r="22" spans="1:4">
      <c r="A22" s="14"/>
      <c r="B22" s="14"/>
      <c r="C22" s="32"/>
      <c r="D22" s="14"/>
    </row>
    <row r="23" spans="1:4">
      <c r="A23" s="14"/>
      <c r="B23" s="14"/>
      <c r="C23" s="32"/>
      <c r="D23" s="14"/>
    </row>
    <row r="24" spans="1:4">
      <c r="A24" s="14"/>
      <c r="B24" s="14"/>
      <c r="C24" s="32"/>
      <c r="D24" s="14"/>
    </row>
    <row r="25" spans="1:4">
      <c r="A25" s="14"/>
      <c r="B25" s="14"/>
      <c r="C25" s="32"/>
      <c r="D25" s="14"/>
    </row>
    <row r="26" spans="1:4">
      <c r="A26" s="14"/>
      <c r="B26" s="14"/>
      <c r="C26" s="32"/>
      <c r="D26" s="14"/>
    </row>
    <row r="27" spans="1:4">
      <c r="A27" s="14"/>
      <c r="B27" s="14"/>
      <c r="C27" s="32"/>
      <c r="D27" s="14"/>
    </row>
    <row r="28" spans="1:4">
      <c r="A28" s="14"/>
      <c r="B28" s="14"/>
      <c r="C28" s="32"/>
      <c r="D28" s="14"/>
    </row>
    <row r="29" spans="1:4">
      <c r="A29" s="14"/>
      <c r="B29" s="14"/>
      <c r="C29" s="32"/>
      <c r="D29" s="14"/>
    </row>
    <row r="30" spans="1:4">
      <c r="A30" s="14"/>
      <c r="B30" s="14"/>
      <c r="C30" s="32"/>
      <c r="D30" s="14"/>
    </row>
    <row r="31" spans="1:4">
      <c r="A31" s="14"/>
      <c r="B31" s="14"/>
      <c r="C31" s="32"/>
      <c r="D31" s="14"/>
    </row>
    <row r="32" spans="1:4">
      <c r="A32" s="14"/>
      <c r="B32" s="14"/>
      <c r="C32" s="32"/>
      <c r="D32" s="14"/>
    </row>
    <row r="33" spans="1:4">
      <c r="A33" s="14"/>
      <c r="B33" s="14"/>
      <c r="C33" s="32"/>
      <c r="D33" s="14"/>
    </row>
    <row r="34" spans="1:4">
      <c r="A34" s="14"/>
      <c r="B34" s="14"/>
      <c r="C34" s="32"/>
      <c r="D34" s="14"/>
    </row>
    <row r="35" spans="1:4">
      <c r="A35" s="14"/>
      <c r="B35" s="14"/>
      <c r="C35" s="32"/>
      <c r="D35" s="14"/>
    </row>
    <row r="36" spans="1:4">
      <c r="A36" s="14"/>
      <c r="B36" s="14"/>
      <c r="C36" s="32"/>
      <c r="D36" s="14"/>
    </row>
    <row r="37" spans="1:4">
      <c r="A37" s="14"/>
      <c r="B37" s="14"/>
      <c r="C37" s="32"/>
      <c r="D37" s="14"/>
    </row>
    <row r="38" spans="1:4">
      <c r="A38" s="14"/>
      <c r="B38" s="14"/>
      <c r="C38" s="32"/>
      <c r="D38" s="14"/>
    </row>
    <row r="39" spans="1:4">
      <c r="A39" s="14"/>
      <c r="B39" s="14"/>
      <c r="C39" s="32"/>
      <c r="D39" s="14"/>
    </row>
    <row r="40" spans="1:4">
      <c r="A40" s="14"/>
      <c r="B40" s="14"/>
      <c r="C40" s="32"/>
      <c r="D40" s="14"/>
    </row>
    <row r="41" spans="1:4">
      <c r="A41" s="14"/>
      <c r="B41" s="14"/>
      <c r="C41" s="32"/>
      <c r="D41" s="14"/>
    </row>
    <row r="42" spans="1:4">
      <c r="A42" s="14"/>
      <c r="B42" s="14"/>
      <c r="C42" s="32"/>
      <c r="D42" s="14"/>
    </row>
    <row r="43" spans="1:4">
      <c r="A43" s="14"/>
      <c r="B43" s="14"/>
      <c r="C43" s="32"/>
      <c r="D43" s="14"/>
    </row>
    <row r="44" spans="1:4">
      <c r="A44" s="14"/>
      <c r="B44" s="14"/>
      <c r="C44" s="32"/>
      <c r="D44" s="14"/>
    </row>
    <row r="45" spans="1:4">
      <c r="A45" s="14"/>
      <c r="B45" s="14"/>
      <c r="C45" s="32"/>
      <c r="D45" s="14"/>
    </row>
    <row r="46" spans="1:4">
      <c r="A46" s="14"/>
      <c r="B46" s="14"/>
      <c r="C46" s="32"/>
      <c r="D46" s="14"/>
    </row>
    <row r="47" spans="1:4">
      <c r="A47" s="14"/>
      <c r="B47" s="14"/>
      <c r="C47" s="32"/>
      <c r="D47" s="14"/>
    </row>
    <row r="48" spans="1:4">
      <c r="A48" s="14"/>
      <c r="B48" s="14"/>
      <c r="C48" s="32"/>
      <c r="D48" s="14"/>
    </row>
    <row r="49" spans="1:4">
      <c r="A49" s="14"/>
      <c r="B49" s="14"/>
      <c r="C49" s="32"/>
      <c r="D49" s="14"/>
    </row>
    <row r="50" spans="1:4">
      <c r="A50" s="14"/>
      <c r="B50" s="14"/>
      <c r="C50" s="32"/>
      <c r="D50" s="14"/>
    </row>
    <row r="51" spans="1:4">
      <c r="A51" s="14"/>
      <c r="B51" s="14"/>
      <c r="C51" s="32"/>
      <c r="D51" s="14"/>
    </row>
    <row r="52" spans="1:4">
      <c r="A52" s="14"/>
      <c r="B52" s="14"/>
      <c r="C52" s="32"/>
      <c r="D52" s="14"/>
    </row>
    <row r="53" spans="1:4">
      <c r="A53" s="14"/>
      <c r="B53" s="14"/>
      <c r="C53" s="32"/>
      <c r="D53" s="14"/>
    </row>
    <row r="54" spans="1:4">
      <c r="A54" s="14"/>
      <c r="B54" s="14"/>
      <c r="C54" s="32"/>
      <c r="D54" s="14"/>
    </row>
    <row r="55" spans="1:4">
      <c r="A55" s="14"/>
      <c r="B55" s="14"/>
      <c r="C55" s="32"/>
      <c r="D55" s="14"/>
    </row>
    <row r="56" spans="1:4">
      <c r="A56" s="14"/>
      <c r="B56" s="14"/>
      <c r="C56" s="32"/>
      <c r="D56" s="14"/>
    </row>
    <row r="57" spans="1:4">
      <c r="A57" s="14"/>
      <c r="B57" s="14"/>
      <c r="C57" s="32"/>
      <c r="D57" s="14"/>
    </row>
    <row r="58" spans="1:4">
      <c r="A58" s="14"/>
      <c r="B58" s="14"/>
      <c r="C58" s="32"/>
      <c r="D58" s="14"/>
    </row>
    <row r="59" spans="1:4">
      <c r="A59" s="14"/>
      <c r="B59" s="14"/>
      <c r="C59" s="32"/>
      <c r="D59" s="14"/>
    </row>
    <row r="60" spans="1:4">
      <c r="A60" s="14"/>
      <c r="B60" s="14"/>
      <c r="C60" s="32"/>
      <c r="D60" s="14"/>
    </row>
    <row r="61" spans="1:4">
      <c r="A61" s="14"/>
      <c r="B61" s="14"/>
      <c r="C61" s="32"/>
      <c r="D61" s="14"/>
    </row>
    <row r="62" spans="1:4">
      <c r="A62" s="14"/>
      <c r="B62" s="14"/>
      <c r="C62" s="32"/>
      <c r="D62" s="14"/>
    </row>
    <row r="63" spans="1:4">
      <c r="A63" s="14"/>
      <c r="B63" s="14"/>
      <c r="C63" s="32"/>
      <c r="D63" s="14"/>
    </row>
    <row r="64" spans="1:4">
      <c r="A64" s="14"/>
      <c r="B64" s="14"/>
      <c r="C64" s="32"/>
      <c r="D64" s="14"/>
    </row>
    <row r="65" spans="1:4">
      <c r="A65" s="14"/>
      <c r="B65" s="14"/>
      <c r="C65" s="32"/>
      <c r="D65" s="14"/>
    </row>
    <row r="66" spans="1:4">
      <c r="A66" s="14"/>
      <c r="B66" s="14"/>
      <c r="C66" s="32"/>
      <c r="D66" s="14"/>
    </row>
    <row r="67" spans="1:4">
      <c r="A67" s="14"/>
      <c r="B67" s="14"/>
      <c r="C67" s="32"/>
      <c r="D67" s="14"/>
    </row>
    <row r="68" spans="1:4">
      <c r="A68" s="14"/>
      <c r="B68" s="14"/>
      <c r="C68" s="32"/>
      <c r="D68" s="14"/>
    </row>
    <row r="69" spans="1:4">
      <c r="A69" s="14"/>
      <c r="B69" s="14"/>
      <c r="C69" s="32"/>
      <c r="D69" s="14"/>
    </row>
    <row r="70" spans="1:4">
      <c r="A70" s="14"/>
      <c r="B70" s="14"/>
      <c r="C70" s="32"/>
      <c r="D70" s="14"/>
    </row>
    <row r="71" spans="1:4">
      <c r="A71" s="14"/>
      <c r="B71" s="14"/>
      <c r="C71" s="32"/>
      <c r="D71" s="14"/>
    </row>
    <row r="72" spans="1:4">
      <c r="A72" s="14"/>
      <c r="B72" s="14"/>
      <c r="C72" s="32"/>
      <c r="D72" s="14"/>
    </row>
    <row r="73" spans="1:4">
      <c r="A73" s="14"/>
      <c r="B73" s="14"/>
      <c r="C73" s="32"/>
      <c r="D73" s="14"/>
    </row>
    <row r="74" spans="1:4">
      <c r="A74" s="14"/>
      <c r="B74" s="14"/>
      <c r="C74" s="32"/>
      <c r="D74" s="14"/>
    </row>
    <row r="75" spans="1:4">
      <c r="A75" s="14"/>
      <c r="B75" s="14"/>
      <c r="C75" s="32"/>
      <c r="D75" s="14"/>
    </row>
    <row r="76" spans="1:4">
      <c r="A76" s="14"/>
      <c r="B76" s="14"/>
      <c r="C76" s="32"/>
      <c r="D76" s="14"/>
    </row>
    <row r="77" spans="1:4">
      <c r="A77" s="14"/>
      <c r="B77" s="14"/>
      <c r="C77" s="32"/>
      <c r="D77" s="14"/>
    </row>
    <row r="78" spans="1:4">
      <c r="A78" s="14"/>
      <c r="B78" s="14"/>
      <c r="C78" s="32"/>
      <c r="D78" s="14"/>
    </row>
    <row r="79" spans="1:4">
      <c r="A79" s="14"/>
      <c r="B79" s="14"/>
      <c r="C79" s="32"/>
      <c r="D79" s="14"/>
    </row>
    <row r="80" spans="1:4">
      <c r="A80" s="14"/>
      <c r="B80" s="14"/>
      <c r="C80" s="32"/>
      <c r="D80" s="14"/>
    </row>
    <row r="81" spans="1:4">
      <c r="A81" s="14"/>
      <c r="B81" s="14"/>
      <c r="C81" s="32"/>
      <c r="D81" s="14"/>
    </row>
    <row r="82" spans="1:4">
      <c r="A82" s="14"/>
      <c r="B82" s="14"/>
      <c r="C82" s="32"/>
      <c r="D82" s="14"/>
    </row>
    <row r="83" spans="1:4">
      <c r="A83" s="14"/>
      <c r="B83" s="14"/>
      <c r="C83" s="32"/>
      <c r="D83" s="14"/>
    </row>
    <row r="84" spans="1:4">
      <c r="A84" s="14"/>
      <c r="B84" s="14"/>
      <c r="C84" s="32"/>
      <c r="D84" s="14"/>
    </row>
    <row r="85" spans="1:4">
      <c r="A85" s="14"/>
      <c r="B85" s="14"/>
      <c r="C85" s="32"/>
      <c r="D85" s="14"/>
    </row>
    <row r="86" spans="1:4">
      <c r="A86" s="14"/>
      <c r="B86" s="14"/>
      <c r="C86" s="32"/>
      <c r="D86" s="14"/>
    </row>
    <row r="87" spans="1:4">
      <c r="A87" s="14"/>
      <c r="B87" s="14"/>
      <c r="C87" s="32"/>
      <c r="D87" s="14"/>
    </row>
    <row r="88" spans="1:4">
      <c r="A88" s="14"/>
      <c r="B88" s="14"/>
      <c r="C88" s="32"/>
      <c r="D88" s="14"/>
    </row>
    <row r="89" spans="1:4">
      <c r="A89" s="14"/>
      <c r="B89" s="14"/>
      <c r="C89" s="32"/>
      <c r="D89" s="14"/>
    </row>
    <row r="90" spans="1:4">
      <c r="A90" s="14"/>
      <c r="B90" s="14"/>
      <c r="C90" s="32"/>
      <c r="D90" s="14"/>
    </row>
    <row r="91" spans="1:4">
      <c r="A91" s="14"/>
      <c r="B91" s="14"/>
      <c r="C91" s="32"/>
      <c r="D91" s="14"/>
    </row>
    <row r="92" spans="1:4">
      <c r="A92" s="14"/>
      <c r="B92" s="14"/>
      <c r="C92" s="32"/>
      <c r="D92" s="14"/>
    </row>
    <row r="93" spans="1:4">
      <c r="A93" s="14"/>
      <c r="B93" s="14"/>
      <c r="C93" s="32"/>
      <c r="D93" s="14"/>
    </row>
    <row r="94" spans="1:4">
      <c r="A94" s="14"/>
      <c r="B94" s="14"/>
      <c r="C94" s="32"/>
      <c r="D94" s="14"/>
    </row>
    <row r="95" spans="1:4">
      <c r="A95" s="14"/>
      <c r="B95" s="14"/>
      <c r="C95" s="32"/>
      <c r="D95" s="14"/>
    </row>
    <row r="96" spans="1:4">
      <c r="A96" s="14"/>
      <c r="B96" s="14"/>
      <c r="C96" s="32"/>
      <c r="D96" s="14"/>
    </row>
    <row r="97" spans="1:4">
      <c r="A97" s="14"/>
      <c r="B97" s="14"/>
      <c r="C97" s="32"/>
      <c r="D97" s="14"/>
    </row>
    <row r="98" spans="1:4">
      <c r="A98" s="14"/>
      <c r="B98" s="14"/>
      <c r="C98" s="32"/>
      <c r="D98" s="14"/>
    </row>
    <row r="99" spans="1:4">
      <c r="A99" s="14"/>
      <c r="B99" s="14"/>
      <c r="C99" s="32"/>
      <c r="D99" s="14"/>
    </row>
    <row r="100" spans="1:4">
      <c r="A100" s="14"/>
      <c r="B100" s="14"/>
      <c r="C100" s="32"/>
      <c r="D100" s="14"/>
    </row>
    <row r="101" spans="1:4">
      <c r="A101" s="14"/>
      <c r="B101" s="14"/>
      <c r="C101" s="32"/>
      <c r="D101" s="14"/>
    </row>
    <row r="102" spans="1:4">
      <c r="A102" s="14"/>
      <c r="B102" s="14"/>
      <c r="C102" s="32"/>
      <c r="D102" s="14"/>
    </row>
    <row r="103" spans="1:4">
      <c r="A103" s="14"/>
      <c r="B103" s="14"/>
      <c r="C103" s="32"/>
      <c r="D103" s="14"/>
    </row>
    <row r="104" spans="1:4">
      <c r="A104" s="14"/>
      <c r="B104" s="14"/>
      <c r="C104" s="32"/>
      <c r="D104" s="14"/>
    </row>
    <row r="105" spans="1:4">
      <c r="A105" s="14"/>
      <c r="B105" s="14"/>
      <c r="C105" s="32"/>
      <c r="D105" s="14"/>
    </row>
    <row r="106" spans="1:4">
      <c r="A106" s="14"/>
      <c r="B106" s="14"/>
      <c r="C106" s="32"/>
      <c r="D106" s="14"/>
    </row>
    <row r="107" spans="1:4">
      <c r="A107" s="14"/>
      <c r="B107" s="14"/>
      <c r="C107" s="32"/>
      <c r="D107" s="14"/>
    </row>
    <row r="108" spans="1:4">
      <c r="A108" s="14"/>
      <c r="B108" s="14"/>
      <c r="C108" s="32"/>
      <c r="D108" s="14"/>
    </row>
    <row r="109" spans="1:4">
      <c r="A109" s="14"/>
      <c r="B109" s="14"/>
      <c r="C109" s="32"/>
      <c r="D109" s="14"/>
    </row>
    <row r="110" spans="1:4">
      <c r="A110" s="14"/>
      <c r="B110" s="14"/>
      <c r="C110" s="32"/>
      <c r="D110" s="14"/>
    </row>
    <row r="111" spans="1:4">
      <c r="A111" s="14"/>
      <c r="B111" s="14"/>
      <c r="C111" s="32"/>
      <c r="D111" s="14"/>
    </row>
    <row r="112" spans="1:4">
      <c r="A112" s="14"/>
      <c r="B112" s="14"/>
      <c r="C112" s="32"/>
      <c r="D112" s="14"/>
    </row>
    <row r="113" spans="1:4">
      <c r="A113" s="14"/>
      <c r="B113" s="14"/>
      <c r="C113" s="32"/>
      <c r="D113" s="14"/>
    </row>
    <row r="114" spans="1:4">
      <c r="A114" s="14"/>
      <c r="B114" s="14"/>
      <c r="C114" s="32"/>
      <c r="D114" s="14"/>
    </row>
    <row r="115" spans="1:4">
      <c r="A115" s="14"/>
      <c r="B115" s="14"/>
      <c r="C115" s="32"/>
      <c r="D115" s="14"/>
    </row>
    <row r="116" spans="1:4">
      <c r="A116" s="14"/>
      <c r="B116" s="14"/>
      <c r="C116" s="32"/>
      <c r="D116" s="14"/>
    </row>
    <row r="117" spans="1:4">
      <c r="A117" s="14"/>
      <c r="B117" s="14"/>
      <c r="C117" s="32"/>
      <c r="D117" s="14"/>
    </row>
    <row r="118" spans="1:4">
      <c r="A118" s="14"/>
      <c r="B118" s="14"/>
      <c r="C118" s="32"/>
      <c r="D118" s="14"/>
    </row>
    <row r="119" spans="1:4">
      <c r="A119" s="14"/>
      <c r="B119" s="14"/>
      <c r="C119" s="32"/>
      <c r="D119" s="14"/>
    </row>
    <row r="120" spans="1:4">
      <c r="A120" s="14"/>
      <c r="B120" s="14"/>
      <c r="C120" s="32"/>
      <c r="D120" s="14"/>
    </row>
    <row r="121" spans="1:4">
      <c r="A121" s="14"/>
      <c r="B121" s="14"/>
      <c r="C121" s="32"/>
      <c r="D121" s="14"/>
    </row>
    <row r="122" spans="1:4">
      <c r="A122" s="14"/>
      <c r="B122" s="14"/>
      <c r="C122" s="32"/>
      <c r="D122" s="14"/>
    </row>
    <row r="123" spans="1:4">
      <c r="A123" s="14"/>
      <c r="B123" s="14"/>
      <c r="C123" s="32"/>
      <c r="D123" s="14"/>
    </row>
    <row r="124" spans="1:4">
      <c r="A124" s="14"/>
      <c r="B124" s="14"/>
      <c r="C124" s="32"/>
      <c r="D124" s="14"/>
    </row>
    <row r="125" spans="1:4">
      <c r="A125" s="14"/>
      <c r="B125" s="14"/>
      <c r="C125" s="32"/>
      <c r="D125" s="14"/>
    </row>
    <row r="126" spans="1:4">
      <c r="A126" s="14"/>
      <c r="B126" s="14"/>
      <c r="C126" s="32"/>
      <c r="D126" s="14"/>
    </row>
    <row r="127" spans="1:4">
      <c r="A127" s="14"/>
      <c r="B127" s="14"/>
      <c r="C127" s="32"/>
      <c r="D127" s="14"/>
    </row>
    <row r="128" spans="1:4">
      <c r="A128" s="14"/>
      <c r="B128" s="14"/>
      <c r="C128" s="32"/>
      <c r="D128" s="14"/>
    </row>
    <row r="129" spans="1:4">
      <c r="A129" s="14"/>
      <c r="B129" s="14"/>
      <c r="C129" s="32"/>
      <c r="D129" s="14"/>
    </row>
    <row r="130" spans="1:4">
      <c r="A130" s="14"/>
      <c r="B130" s="14"/>
      <c r="C130" s="32"/>
      <c r="D130" s="14"/>
    </row>
    <row r="131" spans="1:4">
      <c r="A131" s="14"/>
      <c r="B131" s="14"/>
      <c r="C131" s="32"/>
      <c r="D131" s="14"/>
    </row>
    <row r="132" spans="1:4">
      <c r="A132" s="14"/>
      <c r="B132" s="14"/>
      <c r="C132" s="32"/>
      <c r="D132" s="14"/>
    </row>
    <row r="133" spans="1:4">
      <c r="A133" s="14"/>
      <c r="B133" s="14"/>
      <c r="C133" s="32"/>
      <c r="D133" s="14"/>
    </row>
    <row r="134" spans="1:4">
      <c r="A134" s="14"/>
      <c r="B134" s="14"/>
      <c r="C134" s="32"/>
      <c r="D134" s="14"/>
    </row>
    <row r="135" spans="1:4">
      <c r="A135" s="14"/>
      <c r="B135" s="14"/>
      <c r="C135" s="32"/>
      <c r="D135" s="14"/>
    </row>
    <row r="136" spans="1:4">
      <c r="A136" s="14"/>
      <c r="B136" s="14"/>
      <c r="C136" s="32"/>
      <c r="D136" s="14"/>
    </row>
    <row r="137" spans="1:4">
      <c r="A137" s="14"/>
      <c r="B137" s="14"/>
      <c r="C137" s="32"/>
      <c r="D137" s="14"/>
    </row>
    <row r="138" spans="1:4">
      <c r="A138" s="14"/>
      <c r="B138" s="14"/>
      <c r="C138" s="32"/>
      <c r="D138" s="14"/>
    </row>
    <row r="139" spans="1:4">
      <c r="A139" s="14"/>
      <c r="B139" s="14"/>
      <c r="C139" s="32"/>
      <c r="D139" s="14"/>
    </row>
    <row r="140" spans="1:4">
      <c r="A140" s="14"/>
      <c r="B140" s="14"/>
      <c r="C140" s="32"/>
      <c r="D140" s="14"/>
    </row>
    <row r="141" spans="1:4">
      <c r="A141" s="14"/>
      <c r="B141" s="14"/>
      <c r="C141" s="32"/>
      <c r="D141" s="14"/>
    </row>
    <row r="142" spans="1:4">
      <c r="A142" s="14"/>
      <c r="B142" s="14"/>
      <c r="C142" s="32"/>
      <c r="D142" s="14"/>
    </row>
    <row r="143" spans="1:4">
      <c r="A143" s="14"/>
      <c r="B143" s="14"/>
      <c r="C143" s="32"/>
      <c r="D143" s="14"/>
    </row>
    <row r="144" spans="1:4">
      <c r="A144" s="14"/>
      <c r="B144" s="14"/>
      <c r="C144" s="32"/>
      <c r="D144" s="14"/>
    </row>
    <row r="145" spans="1:4">
      <c r="A145" s="14"/>
      <c r="B145" s="14"/>
      <c r="C145" s="32"/>
      <c r="D145" s="14"/>
    </row>
    <row r="146" spans="1:4">
      <c r="A146" s="14"/>
      <c r="B146" s="14"/>
      <c r="C146" s="32"/>
      <c r="D146" s="14"/>
    </row>
    <row r="147" spans="1:4">
      <c r="A147" s="14"/>
      <c r="B147" s="14"/>
      <c r="C147" s="32"/>
      <c r="D147" s="14"/>
    </row>
    <row r="148" spans="1:4">
      <c r="A148" s="14"/>
      <c r="B148" s="14"/>
      <c r="C148" s="32"/>
      <c r="D148" s="14"/>
    </row>
    <row r="149" spans="1:4">
      <c r="A149" s="14"/>
      <c r="B149" s="14"/>
      <c r="C149" s="32"/>
      <c r="D149" s="14"/>
    </row>
    <row r="150" spans="1:4">
      <c r="A150" s="14"/>
      <c r="B150" s="14"/>
      <c r="C150" s="32"/>
      <c r="D150" s="14"/>
    </row>
    <row r="151" spans="1:4">
      <c r="A151" s="14"/>
      <c r="B151" s="14"/>
      <c r="C151" s="32"/>
      <c r="D151" s="14"/>
    </row>
    <row r="152" spans="1:4">
      <c r="A152" s="14"/>
      <c r="B152" s="14"/>
      <c r="C152" s="32"/>
      <c r="D152" s="14"/>
    </row>
    <row r="153" spans="1:4">
      <c r="A153" s="14"/>
      <c r="B153" s="14"/>
      <c r="C153" s="32"/>
      <c r="D153" s="14"/>
    </row>
    <row r="154" spans="1:4">
      <c r="A154" s="14"/>
      <c r="B154" s="14"/>
      <c r="C154" s="32"/>
      <c r="D154" s="14"/>
    </row>
    <row r="155" spans="1:4">
      <c r="A155" s="14"/>
      <c r="B155" s="14"/>
      <c r="C155" s="32"/>
      <c r="D155" s="14"/>
    </row>
    <row r="156" spans="1:4">
      <c r="A156" s="14"/>
      <c r="B156" s="14"/>
      <c r="C156" s="32"/>
      <c r="D156" s="14"/>
    </row>
    <row r="157" spans="1:4">
      <c r="A157" s="14"/>
      <c r="B157" s="14"/>
      <c r="C157" s="32"/>
      <c r="D157" s="14"/>
    </row>
    <row r="158" spans="1:4">
      <c r="A158" s="14"/>
      <c r="B158" s="14"/>
      <c r="C158" s="32"/>
      <c r="D158" s="14"/>
    </row>
    <row r="159" spans="1:4">
      <c r="A159" s="14"/>
      <c r="B159" s="14"/>
      <c r="C159" s="32"/>
      <c r="D159" s="14"/>
    </row>
    <row r="160" spans="1:4">
      <c r="A160" s="14"/>
      <c r="B160" s="14"/>
      <c r="C160" s="32"/>
      <c r="D160" s="14"/>
    </row>
    <row r="161" spans="1:4">
      <c r="A161" s="14"/>
      <c r="B161" s="14"/>
      <c r="C161" s="32"/>
      <c r="D161" s="14"/>
    </row>
    <row r="162" spans="1:4">
      <c r="A162" s="14"/>
      <c r="B162" s="14"/>
      <c r="C162" s="32"/>
      <c r="D162" s="14"/>
    </row>
    <row r="163" spans="1:4">
      <c r="A163" s="14"/>
      <c r="B163" s="14"/>
      <c r="C163" s="32"/>
      <c r="D163" s="14"/>
    </row>
    <row r="164" spans="1:4">
      <c r="A164" s="14"/>
      <c r="B164" s="14"/>
      <c r="C164" s="32"/>
      <c r="D164" s="14"/>
    </row>
    <row r="165" spans="1:4">
      <c r="A165" s="14"/>
      <c r="B165" s="14"/>
      <c r="C165" s="32"/>
      <c r="D165" s="14"/>
    </row>
    <row r="166" spans="1:4">
      <c r="A166" s="14"/>
      <c r="B166" s="14"/>
      <c r="C166" s="32"/>
      <c r="D166" s="14"/>
    </row>
    <row r="167" spans="1:4">
      <c r="A167" s="14"/>
      <c r="B167" s="14"/>
      <c r="C167" s="32"/>
      <c r="D167" s="14"/>
    </row>
    <row r="168" spans="1:4">
      <c r="A168" s="14"/>
      <c r="B168" s="14"/>
      <c r="C168" s="32"/>
      <c r="D168" s="14"/>
    </row>
    <row r="169" spans="1:4">
      <c r="A169" s="14"/>
      <c r="B169" s="14"/>
      <c r="C169" s="32"/>
      <c r="D169" s="14"/>
    </row>
    <row r="170" spans="1:4">
      <c r="A170" s="14"/>
      <c r="B170" s="14"/>
      <c r="C170" s="32"/>
      <c r="D170" s="14"/>
    </row>
    <row r="171" spans="1:4">
      <c r="A171" s="14"/>
      <c r="B171" s="14"/>
      <c r="C171" s="32"/>
      <c r="D171" s="14"/>
    </row>
    <row r="172" spans="1:4">
      <c r="A172" s="14"/>
      <c r="B172" s="14"/>
      <c r="C172" s="32"/>
      <c r="D172" s="14"/>
    </row>
    <row r="173" spans="1:4">
      <c r="A173" s="14"/>
      <c r="B173" s="14"/>
      <c r="C173" s="32"/>
      <c r="D173" s="14"/>
    </row>
    <row r="174" spans="1:4">
      <c r="A174" s="14"/>
      <c r="B174" s="14"/>
      <c r="C174" s="32"/>
      <c r="D174" s="14"/>
    </row>
    <row r="175" spans="1:4">
      <c r="A175" s="14"/>
      <c r="B175" s="14"/>
      <c r="C175" s="32"/>
      <c r="D175" s="14"/>
    </row>
    <row r="176" spans="1:4">
      <c r="A176" s="14"/>
      <c r="B176" s="14"/>
      <c r="C176" s="32"/>
      <c r="D176" s="14"/>
    </row>
    <row r="177" spans="1:4">
      <c r="A177" s="14"/>
      <c r="B177" s="14"/>
      <c r="C177" s="32"/>
      <c r="D177" s="14"/>
    </row>
    <row r="178" spans="1:4">
      <c r="A178" s="14"/>
      <c r="B178" s="14"/>
      <c r="C178" s="32"/>
      <c r="D178" s="14"/>
    </row>
    <row r="179" spans="1:4">
      <c r="A179" s="14"/>
      <c r="B179" s="14"/>
      <c r="C179" s="32"/>
      <c r="D179" s="14"/>
    </row>
    <row r="180" spans="1:4">
      <c r="A180" s="14"/>
      <c r="B180" s="14"/>
      <c r="C180" s="32"/>
      <c r="D180" s="14"/>
    </row>
    <row r="181" spans="1:4">
      <c r="A181" s="14"/>
      <c r="B181" s="14"/>
      <c r="C181" s="32"/>
      <c r="D181" s="14"/>
    </row>
    <row r="182" spans="1:4">
      <c r="A182" s="14"/>
      <c r="B182" s="14"/>
      <c r="C182" s="32"/>
      <c r="D182" s="14"/>
    </row>
    <row r="183" spans="1:4">
      <c r="A183" s="14"/>
      <c r="B183" s="14"/>
      <c r="C183" s="32"/>
      <c r="D183" s="14"/>
    </row>
    <row r="184" spans="1:4">
      <c r="A184" s="14"/>
      <c r="B184" s="14"/>
      <c r="C184" s="32"/>
      <c r="D184" s="14"/>
    </row>
    <row r="185" spans="1:4">
      <c r="A185" s="14"/>
      <c r="B185" s="14"/>
      <c r="C185" s="32"/>
      <c r="D185" s="14"/>
    </row>
    <row r="186" spans="1:4">
      <c r="A186" s="14"/>
      <c r="B186" s="14"/>
      <c r="C186" s="32"/>
      <c r="D186" s="14"/>
    </row>
    <row r="187" spans="1:4">
      <c r="A187" s="14"/>
      <c r="B187" s="14"/>
      <c r="C187" s="32"/>
      <c r="D187" s="14"/>
    </row>
    <row r="188" spans="1:4">
      <c r="A188" s="14"/>
      <c r="B188" s="14"/>
      <c r="C188" s="32"/>
      <c r="D188" s="14"/>
    </row>
    <row r="189" spans="1:4">
      <c r="A189" s="14"/>
      <c r="B189" s="14"/>
      <c r="C189" s="32"/>
      <c r="D189" s="14"/>
    </row>
    <row r="190" spans="1:4">
      <c r="A190" s="14"/>
      <c r="B190" s="14"/>
      <c r="C190" s="32"/>
      <c r="D190" s="14"/>
    </row>
    <row r="191" spans="1:4">
      <c r="A191" s="14"/>
      <c r="B191" s="14"/>
      <c r="C191" s="32"/>
      <c r="D191" s="14"/>
    </row>
    <row r="192" spans="1:4">
      <c r="A192" s="14"/>
      <c r="B192" s="14"/>
      <c r="C192" s="32"/>
      <c r="D192" s="14"/>
    </row>
    <row r="193" spans="1:4">
      <c r="A193" s="14"/>
      <c r="B193" s="14"/>
      <c r="C193" s="32"/>
      <c r="D193" s="14"/>
    </row>
    <row r="194" spans="1:4">
      <c r="A194" s="14"/>
      <c r="B194" s="14"/>
      <c r="C194" s="32"/>
      <c r="D194" s="14"/>
    </row>
    <row r="195" spans="1:4">
      <c r="A195" s="14"/>
      <c r="B195" s="14"/>
      <c r="C195" s="32"/>
      <c r="D195" s="14"/>
    </row>
    <row r="196" spans="1:4">
      <c r="A196" s="14"/>
      <c r="B196" s="14"/>
      <c r="C196" s="32"/>
      <c r="D196" s="14"/>
    </row>
    <row r="197" spans="1:4">
      <c r="A197" s="14"/>
      <c r="B197" s="14"/>
      <c r="C197" s="32"/>
      <c r="D197" s="14"/>
    </row>
    <row r="198" spans="1:4">
      <c r="A198" s="14"/>
      <c r="B198" s="14"/>
      <c r="C198" s="32"/>
      <c r="D198" s="14"/>
    </row>
    <row r="199" spans="1:4">
      <c r="A199" s="14"/>
      <c r="B199" s="14"/>
      <c r="C199" s="32"/>
      <c r="D199" s="14"/>
    </row>
    <row r="200" spans="1:4">
      <c r="A200" s="14"/>
      <c r="B200" s="14"/>
      <c r="C200" s="32"/>
      <c r="D200" s="14"/>
    </row>
    <row r="201" spans="1:4">
      <c r="A201" s="14"/>
      <c r="B201" s="14"/>
      <c r="C201" s="32"/>
      <c r="D201" s="14"/>
    </row>
    <row r="202" spans="1:4">
      <c r="A202" s="14"/>
      <c r="B202" s="14"/>
      <c r="C202" s="32"/>
      <c r="D202" s="14"/>
    </row>
    <row r="203" spans="1:4">
      <c r="A203" s="14"/>
      <c r="B203" s="14"/>
      <c r="C203" s="32"/>
      <c r="D203" s="14"/>
    </row>
    <row r="204" spans="1:4">
      <c r="A204" s="14"/>
      <c r="B204" s="14"/>
      <c r="C204" s="32"/>
      <c r="D204" s="14"/>
    </row>
    <row r="205" spans="1:4">
      <c r="A205" s="14"/>
      <c r="B205" s="14"/>
      <c r="C205" s="32"/>
      <c r="D205" s="14"/>
    </row>
    <row r="206" spans="1:4">
      <c r="A206" s="14"/>
      <c r="B206" s="14"/>
      <c r="C206" s="32"/>
      <c r="D206" s="14"/>
    </row>
    <row r="207" spans="1:4">
      <c r="A207" s="14"/>
      <c r="B207" s="14"/>
      <c r="C207" s="32"/>
      <c r="D207" s="14"/>
    </row>
    <row r="208" spans="1:4">
      <c r="A208" s="14"/>
      <c r="B208" s="14"/>
      <c r="C208" s="32"/>
      <c r="D208" s="14"/>
    </row>
    <row r="209" spans="1:4">
      <c r="A209" s="14"/>
      <c r="B209" s="14"/>
      <c r="C209" s="32"/>
      <c r="D209" s="14"/>
    </row>
    <row r="210" spans="1:4">
      <c r="A210" s="14"/>
      <c r="B210" s="14"/>
      <c r="C210" s="32"/>
      <c r="D210" s="14"/>
    </row>
    <row r="211" spans="1:4">
      <c r="A211" s="14"/>
      <c r="B211" s="14"/>
      <c r="C211" s="32"/>
      <c r="D211" s="14"/>
    </row>
    <row r="212" spans="1:4">
      <c r="A212" s="14"/>
      <c r="B212" s="14"/>
      <c r="C212" s="32"/>
      <c r="D212" s="14"/>
    </row>
    <row r="213" spans="1:4">
      <c r="A213" s="14"/>
      <c r="B213" s="14"/>
      <c r="C213" s="32"/>
      <c r="D213" s="14"/>
    </row>
    <row r="214" spans="1:4">
      <c r="A214" s="14"/>
      <c r="B214" s="14"/>
      <c r="C214" s="32"/>
      <c r="D214" s="14"/>
    </row>
    <row r="215" spans="1:4">
      <c r="A215" s="14"/>
      <c r="B215" s="14"/>
      <c r="C215" s="32"/>
      <c r="D215" s="14"/>
    </row>
    <row r="216" spans="1:4">
      <c r="A216" s="14"/>
      <c r="B216" s="14"/>
      <c r="C216" s="32"/>
      <c r="D216" s="14"/>
    </row>
    <row r="217" spans="1:4">
      <c r="A217" s="14"/>
      <c r="B217" s="14"/>
      <c r="C217" s="32"/>
      <c r="D217" s="14"/>
    </row>
    <row r="218" spans="1:4">
      <c r="A218" s="14"/>
      <c r="B218" s="14"/>
      <c r="C218" s="32"/>
      <c r="D218" s="14"/>
    </row>
    <row r="219" spans="1:4">
      <c r="A219" s="14"/>
      <c r="B219" s="14"/>
      <c r="C219" s="32"/>
      <c r="D219" s="14"/>
    </row>
    <row r="220" spans="1:4">
      <c r="A220" s="14"/>
      <c r="B220" s="14"/>
      <c r="C220" s="32"/>
      <c r="D220" s="14"/>
    </row>
    <row r="221" spans="1:4">
      <c r="A221" s="14"/>
      <c r="B221" s="14"/>
      <c r="C221" s="32"/>
      <c r="D221" s="14"/>
    </row>
    <row r="222" spans="1:4">
      <c r="A222" s="14"/>
      <c r="B222" s="14"/>
      <c r="C222" s="32"/>
      <c r="D222" s="14"/>
    </row>
    <row r="223" spans="1:4">
      <c r="A223" s="14"/>
      <c r="B223" s="14"/>
      <c r="C223" s="32"/>
      <c r="D223" s="14"/>
    </row>
    <row r="224" spans="1:4">
      <c r="A224" s="14"/>
      <c r="B224" s="14"/>
      <c r="C224" s="32"/>
      <c r="D224" s="14"/>
    </row>
    <row r="225" spans="1:4">
      <c r="A225" s="14"/>
      <c r="B225" s="14"/>
      <c r="C225" s="32"/>
      <c r="D225" s="14"/>
    </row>
    <row r="226" spans="1:4">
      <c r="A226" s="14"/>
      <c r="B226" s="14"/>
      <c r="C226" s="32"/>
      <c r="D226" s="14"/>
    </row>
    <row r="227" spans="1:4">
      <c r="A227" s="14"/>
      <c r="B227" s="14"/>
      <c r="C227" s="32"/>
      <c r="D227" s="14"/>
    </row>
    <row r="228" spans="1:4">
      <c r="A228" s="14"/>
      <c r="B228" s="14"/>
      <c r="C228" s="32"/>
      <c r="D228" s="14"/>
    </row>
    <row r="229" spans="1:4">
      <c r="A229" s="14"/>
      <c r="B229" s="14"/>
      <c r="C229" s="32"/>
      <c r="D229" s="14"/>
    </row>
    <row r="230" spans="1:4">
      <c r="A230" s="14"/>
      <c r="B230" s="14"/>
      <c r="C230" s="32"/>
      <c r="D230" s="14"/>
    </row>
    <row r="231" spans="1:4">
      <c r="A231" s="14"/>
      <c r="B231" s="14"/>
      <c r="C231" s="32"/>
      <c r="D231" s="14"/>
    </row>
    <row r="232" spans="1:4">
      <c r="A232" s="14"/>
      <c r="B232" s="14"/>
      <c r="C232" s="32"/>
      <c r="D232" s="14"/>
    </row>
    <row r="233" spans="1:4">
      <c r="A233" s="14"/>
      <c r="B233" s="14"/>
      <c r="C233" s="32"/>
      <c r="D233" s="14"/>
    </row>
    <row r="234" spans="1:4">
      <c r="A234" s="14"/>
      <c r="B234" s="14"/>
      <c r="C234" s="32"/>
      <c r="D234" s="14"/>
    </row>
    <row r="235" spans="1:4">
      <c r="A235" s="14"/>
      <c r="B235" s="14"/>
      <c r="C235" s="32"/>
      <c r="D235" s="14"/>
    </row>
    <row r="236" spans="1:4">
      <c r="A236" s="14"/>
      <c r="B236" s="14"/>
      <c r="C236" s="32"/>
      <c r="D236" s="14"/>
    </row>
    <row r="237" spans="1:4">
      <c r="A237" s="14"/>
      <c r="B237" s="14"/>
      <c r="C237" s="32"/>
      <c r="D237" s="14"/>
    </row>
    <row r="238" spans="1:4">
      <c r="A238" s="14"/>
      <c r="B238" s="14"/>
      <c r="C238" s="32"/>
      <c r="D238" s="14"/>
    </row>
    <row r="239" spans="1:4">
      <c r="A239" s="14"/>
      <c r="B239" s="14"/>
      <c r="C239" s="32"/>
      <c r="D239" s="14"/>
    </row>
    <row r="240" spans="1:4">
      <c r="A240" s="14"/>
      <c r="B240" s="14"/>
      <c r="C240" s="32"/>
      <c r="D240" s="14"/>
    </row>
    <row r="241" spans="1:4">
      <c r="A241" s="14"/>
      <c r="B241" s="14"/>
      <c r="C241" s="32"/>
      <c r="D241" s="14"/>
    </row>
    <row r="242" spans="1:4">
      <c r="A242" s="14"/>
      <c r="B242" s="14"/>
      <c r="C242" s="32"/>
      <c r="D242" s="14"/>
    </row>
    <row r="243" spans="1:4">
      <c r="A243" s="14"/>
      <c r="B243" s="14"/>
      <c r="C243" s="32"/>
      <c r="D243" s="14"/>
    </row>
    <row r="244" spans="1:4">
      <c r="A244" s="14"/>
      <c r="B244" s="14"/>
      <c r="C244" s="32"/>
      <c r="D244" s="14"/>
    </row>
    <row r="245" spans="1:4">
      <c r="A245" s="14"/>
      <c r="B245" s="14"/>
      <c r="C245" s="32"/>
      <c r="D245" s="14"/>
    </row>
    <row r="246" spans="1:4">
      <c r="A246" s="14"/>
      <c r="B246" s="14"/>
      <c r="C246" s="32"/>
      <c r="D246" s="14"/>
    </row>
    <row r="247" spans="1:4">
      <c r="A247" s="14"/>
      <c r="B247" s="14"/>
      <c r="C247" s="32"/>
      <c r="D247" s="14"/>
    </row>
    <row r="248" spans="1:4">
      <c r="A248" s="14"/>
      <c r="B248" s="14"/>
      <c r="C248" s="32"/>
      <c r="D248" s="14"/>
    </row>
    <row r="249" spans="1:4">
      <c r="A249" s="14"/>
      <c r="B249" s="14"/>
      <c r="C249" s="32"/>
      <c r="D249" s="14"/>
    </row>
    <row r="250" spans="1:4">
      <c r="A250" s="14"/>
      <c r="B250" s="14"/>
      <c r="C250" s="32"/>
      <c r="D250" s="14"/>
    </row>
    <row r="251" spans="1:4">
      <c r="A251" s="14"/>
      <c r="B251" s="14"/>
      <c r="C251" s="32"/>
      <c r="D251" s="14"/>
    </row>
    <row r="252" spans="1:4">
      <c r="A252" s="14"/>
      <c r="B252" s="14"/>
      <c r="C252" s="32"/>
      <c r="D252" s="14"/>
    </row>
    <row r="253" spans="1:4">
      <c r="A253" s="14"/>
      <c r="B253" s="14"/>
      <c r="C253" s="32"/>
      <c r="D253" s="14"/>
    </row>
    <row r="254" spans="1:4">
      <c r="A254" s="14"/>
      <c r="B254" s="14"/>
      <c r="C254" s="32"/>
      <c r="D254" s="14"/>
    </row>
    <row r="255" spans="1:4">
      <c r="A255" s="14"/>
      <c r="B255" s="14"/>
      <c r="C255" s="32"/>
      <c r="D255" s="14"/>
    </row>
    <row r="256" spans="1:4">
      <c r="A256" s="14"/>
      <c r="B256" s="14"/>
      <c r="C256" s="32"/>
      <c r="D256" s="14"/>
    </row>
    <row r="257" spans="1:4">
      <c r="A257" s="14"/>
      <c r="B257" s="14"/>
      <c r="C257" s="32"/>
      <c r="D257" s="14"/>
    </row>
    <row r="258" spans="1:4">
      <c r="A258" s="14"/>
      <c r="B258" s="14"/>
      <c r="C258" s="32"/>
      <c r="D258" s="14"/>
    </row>
    <row r="259" spans="1:4">
      <c r="A259" s="14"/>
      <c r="B259" s="14"/>
      <c r="C259" s="32"/>
      <c r="D259" s="14"/>
    </row>
    <row r="260" spans="1:4">
      <c r="A260" s="14"/>
      <c r="B260" s="14"/>
      <c r="C260" s="32"/>
      <c r="D260" s="14"/>
    </row>
    <row r="261" spans="1:4">
      <c r="A261" s="14"/>
      <c r="B261" s="14"/>
      <c r="C261" s="32"/>
      <c r="D261" s="14"/>
    </row>
    <row r="262" spans="1:4">
      <c r="A262" s="14"/>
      <c r="B262" s="14"/>
      <c r="C262" s="32"/>
      <c r="D262" s="14"/>
    </row>
    <row r="263" spans="1:4">
      <c r="A263" s="14"/>
      <c r="B263" s="14"/>
      <c r="C263" s="32"/>
      <c r="D263" s="14"/>
    </row>
    <row r="264" spans="1:4">
      <c r="A264" s="14"/>
      <c r="B264" s="14"/>
      <c r="C264" s="32"/>
      <c r="D264" s="14"/>
    </row>
    <row r="265" spans="1:4">
      <c r="A265" s="14"/>
      <c r="B265" s="14"/>
      <c r="C265" s="32"/>
      <c r="D265" s="14"/>
    </row>
    <row r="266" spans="1:4">
      <c r="A266" s="14"/>
      <c r="B266" s="14"/>
      <c r="C266" s="32"/>
      <c r="D266" s="14"/>
    </row>
    <row r="267" spans="1:4">
      <c r="A267" s="14"/>
      <c r="B267" s="14"/>
      <c r="C267" s="32"/>
      <c r="D267" s="14"/>
    </row>
    <row r="268" spans="1:4">
      <c r="A268" s="14"/>
      <c r="B268" s="14"/>
      <c r="C268" s="32"/>
      <c r="D268" s="14"/>
    </row>
    <row r="269" spans="1:4">
      <c r="A269" s="14"/>
      <c r="B269" s="14"/>
      <c r="C269" s="32"/>
      <c r="D269" s="14"/>
    </row>
    <row r="270" spans="1:4">
      <c r="A270" s="14"/>
      <c r="B270" s="14"/>
      <c r="C270" s="32"/>
      <c r="D270" s="14"/>
    </row>
    <row r="271" spans="1:4">
      <c r="A271" s="14"/>
      <c r="B271" s="14"/>
      <c r="C271" s="32"/>
      <c r="D271" s="14"/>
    </row>
    <row r="272" spans="1:4">
      <c r="A272" s="14"/>
      <c r="B272" s="14"/>
      <c r="C272" s="32"/>
      <c r="D272" s="14"/>
    </row>
    <row r="273" spans="1:4">
      <c r="A273" s="14"/>
      <c r="B273" s="14"/>
      <c r="C273" s="32"/>
      <c r="D273" s="14"/>
    </row>
    <row r="274" spans="1:4">
      <c r="A274" s="14"/>
      <c r="B274" s="14"/>
      <c r="C274" s="32"/>
      <c r="D274" s="14"/>
    </row>
    <row r="275" spans="1:4">
      <c r="A275" s="14"/>
      <c r="B275" s="14"/>
      <c r="C275" s="32"/>
      <c r="D275" s="14"/>
    </row>
    <row r="276" spans="1:4">
      <c r="A276" s="14"/>
      <c r="B276" s="14"/>
      <c r="C276" s="32"/>
      <c r="D276" s="14"/>
    </row>
    <row r="277" spans="1:4">
      <c r="A277" s="14"/>
      <c r="B277" s="14"/>
      <c r="C277" s="32"/>
      <c r="D277" s="14"/>
    </row>
    <row r="278" spans="1:4">
      <c r="A278" s="14"/>
      <c r="B278" s="14"/>
      <c r="C278" s="32"/>
      <c r="D278" s="14"/>
    </row>
    <row r="279" spans="1:4">
      <c r="A279" s="14"/>
      <c r="B279" s="14"/>
      <c r="C279" s="32"/>
      <c r="D279" s="14"/>
    </row>
    <row r="280" spans="1:4">
      <c r="A280" s="14"/>
      <c r="B280" s="14"/>
      <c r="C280" s="32"/>
      <c r="D280" s="14"/>
    </row>
    <row r="281" spans="1:4">
      <c r="A281" s="14"/>
      <c r="B281" s="14"/>
      <c r="C281" s="32"/>
      <c r="D281" s="14"/>
    </row>
    <row r="282" spans="1:4">
      <c r="A282" s="14"/>
      <c r="B282" s="14"/>
      <c r="C282" s="32"/>
      <c r="D282" s="14"/>
    </row>
    <row r="283" spans="1:4">
      <c r="A283" s="14"/>
      <c r="B283" s="14"/>
      <c r="C283" s="32"/>
      <c r="D283" s="14"/>
    </row>
    <row r="284" spans="1:4">
      <c r="A284" s="14"/>
      <c r="B284" s="14"/>
      <c r="C284" s="32"/>
      <c r="D284" s="14"/>
    </row>
    <row r="285" spans="1:4">
      <c r="A285" s="14"/>
      <c r="B285" s="14"/>
      <c r="C285" s="32"/>
      <c r="D285" s="14"/>
    </row>
    <row r="286" spans="1:4">
      <c r="A286" s="14"/>
      <c r="B286" s="14"/>
      <c r="C286" s="32"/>
      <c r="D286" s="14"/>
    </row>
    <row r="287" spans="1:4">
      <c r="A287" s="14"/>
      <c r="B287" s="14"/>
      <c r="C287" s="32"/>
      <c r="D287" s="14"/>
    </row>
    <row r="288" spans="1:4">
      <c r="A288" s="14"/>
      <c r="B288" s="14"/>
      <c r="C288" s="32"/>
      <c r="D288" s="14"/>
    </row>
    <row r="289" spans="1:4">
      <c r="A289" s="14"/>
      <c r="B289" s="14"/>
      <c r="C289" s="32"/>
      <c r="D289" s="14"/>
    </row>
    <row r="290" spans="1:4">
      <c r="A290" s="14"/>
      <c r="B290" s="14"/>
      <c r="C290" s="32"/>
      <c r="D290" s="14"/>
    </row>
    <row r="291" spans="1:4">
      <c r="A291" s="14"/>
      <c r="B291" s="14"/>
      <c r="C291" s="32"/>
      <c r="D291" s="14"/>
    </row>
    <row r="292" spans="1:4">
      <c r="A292" s="14"/>
      <c r="B292" s="14"/>
      <c r="C292" s="32"/>
      <c r="D292" s="14"/>
    </row>
    <row r="293" spans="1:4">
      <c r="A293" s="14"/>
      <c r="B293" s="14"/>
      <c r="C293" s="32"/>
      <c r="D293" s="14"/>
    </row>
    <row r="294" spans="1:4">
      <c r="A294" s="14"/>
      <c r="B294" s="14"/>
      <c r="C294" s="32"/>
      <c r="D294" s="14"/>
    </row>
    <row r="295" spans="1:4">
      <c r="A295" s="14"/>
      <c r="B295" s="14"/>
      <c r="C295" s="32"/>
      <c r="D295" s="14"/>
    </row>
    <row r="296" spans="1:4">
      <c r="A296" s="14"/>
      <c r="B296" s="14"/>
      <c r="C296" s="32"/>
      <c r="D296" s="14"/>
    </row>
    <row r="297" spans="1:4">
      <c r="A297" s="14"/>
      <c r="B297" s="14"/>
      <c r="C297" s="32"/>
      <c r="D297" s="14"/>
    </row>
    <row r="298" spans="1:4">
      <c r="A298" s="14"/>
      <c r="B298" s="14"/>
      <c r="C298" s="32"/>
      <c r="D298" s="14"/>
    </row>
    <row r="299" spans="1:4">
      <c r="A299" s="14"/>
      <c r="B299" s="14"/>
      <c r="C299" s="32"/>
      <c r="D299" s="14"/>
    </row>
    <row r="300" spans="1:4">
      <c r="A300" s="14"/>
      <c r="B300" s="14"/>
      <c r="C300" s="32"/>
      <c r="D300" s="14"/>
    </row>
    <row r="301" spans="1:4">
      <c r="A301" s="14"/>
      <c r="B301" s="14"/>
      <c r="C301" s="32"/>
      <c r="D301" s="14"/>
    </row>
    <row r="302" spans="1:4">
      <c r="A302" s="14"/>
      <c r="B302" s="14"/>
      <c r="C302" s="32"/>
      <c r="D302" s="14"/>
    </row>
    <row r="303" spans="1:4">
      <c r="A303" s="14"/>
      <c r="B303" s="14"/>
      <c r="C303" s="32"/>
      <c r="D303" s="14"/>
    </row>
    <row r="304" spans="1:4">
      <c r="A304" s="14"/>
      <c r="B304" s="14"/>
      <c r="C304" s="32"/>
      <c r="D304" s="14"/>
    </row>
    <row r="305" spans="1:4">
      <c r="A305" s="14"/>
      <c r="B305" s="14"/>
      <c r="C305" s="32"/>
      <c r="D305" s="14"/>
    </row>
    <row r="306" spans="1:4">
      <c r="A306" s="14"/>
      <c r="B306" s="14"/>
      <c r="C306" s="32"/>
      <c r="D306" s="14"/>
    </row>
    <row r="307" spans="1:4">
      <c r="A307" s="14"/>
      <c r="B307" s="14"/>
      <c r="C307" s="32"/>
      <c r="D307" s="14"/>
    </row>
    <row r="308" spans="1:4">
      <c r="A308" s="14"/>
      <c r="B308" s="14"/>
      <c r="C308" s="32"/>
      <c r="D308" s="14"/>
    </row>
    <row r="309" spans="1:4">
      <c r="A309" s="14"/>
      <c r="B309" s="14"/>
      <c r="C309" s="32"/>
      <c r="D309" s="14"/>
    </row>
    <row r="310" spans="1:4">
      <c r="A310" s="14"/>
      <c r="B310" s="14"/>
      <c r="C310" s="32"/>
      <c r="D310" s="14"/>
    </row>
    <row r="311" spans="1:4">
      <c r="A311" s="14"/>
      <c r="B311" s="14"/>
      <c r="C311" s="32"/>
      <c r="D311" s="14"/>
    </row>
    <row r="312" spans="1:4">
      <c r="A312" s="14"/>
      <c r="B312" s="14"/>
      <c r="C312" s="32"/>
      <c r="D312" s="14"/>
    </row>
    <row r="313" spans="1:4">
      <c r="A313" s="14"/>
      <c r="B313" s="14"/>
      <c r="C313" s="32"/>
      <c r="D313" s="14"/>
    </row>
    <row r="314" spans="1:4">
      <c r="A314" s="14"/>
      <c r="B314" s="14"/>
      <c r="C314" s="32"/>
      <c r="D314" s="14"/>
    </row>
    <row r="315" spans="1:4">
      <c r="A315" s="14"/>
      <c r="B315" s="14"/>
      <c r="C315" s="32"/>
      <c r="D315" s="14"/>
    </row>
    <row r="316" spans="1:4">
      <c r="A316" s="14"/>
      <c r="B316" s="14"/>
      <c r="C316" s="32"/>
      <c r="D316" s="14"/>
    </row>
    <row r="317" spans="1:4">
      <c r="A317" s="14"/>
      <c r="B317" s="14"/>
      <c r="C317" s="32"/>
      <c r="D317" s="14"/>
    </row>
    <row r="318" spans="1:4">
      <c r="A318" s="14"/>
      <c r="B318" s="14"/>
      <c r="C318" s="32"/>
      <c r="D318" s="14"/>
    </row>
    <row r="319" spans="1:4">
      <c r="A319" s="14"/>
      <c r="B319" s="14"/>
      <c r="C319" s="32"/>
      <c r="D319" s="14"/>
    </row>
    <row r="320" spans="1:4">
      <c r="A320" s="14"/>
      <c r="B320" s="14"/>
      <c r="C320" s="32"/>
      <c r="D320" s="14"/>
    </row>
    <row r="321" spans="1:4">
      <c r="A321" s="14"/>
      <c r="B321" s="14"/>
      <c r="C321" s="32"/>
      <c r="D321" s="14"/>
    </row>
    <row r="322" spans="1:4">
      <c r="A322" s="14"/>
      <c r="B322" s="14"/>
      <c r="C322" s="32"/>
      <c r="D322" s="14"/>
    </row>
    <row r="323" spans="1:4">
      <c r="A323" s="14"/>
      <c r="B323" s="14"/>
      <c r="C323" s="32"/>
      <c r="D323" s="14"/>
    </row>
    <row r="324" spans="1:4">
      <c r="A324" s="14"/>
      <c r="B324" s="14"/>
      <c r="C324" s="32"/>
      <c r="D324" s="14"/>
    </row>
    <row r="325" spans="1:4">
      <c r="A325" s="14"/>
      <c r="B325" s="14"/>
      <c r="C325" s="32"/>
      <c r="D325" s="14"/>
    </row>
    <row r="326" spans="1:4">
      <c r="A326" s="14"/>
      <c r="B326" s="14"/>
      <c r="C326" s="32"/>
      <c r="D326" s="14"/>
    </row>
    <row r="327" spans="1:4">
      <c r="A327" s="14"/>
      <c r="B327" s="14"/>
      <c r="C327" s="32"/>
      <c r="D327" s="14"/>
    </row>
    <row r="328" spans="1:4">
      <c r="A328" s="14"/>
      <c r="B328" s="14"/>
      <c r="C328" s="32"/>
      <c r="D328" s="14"/>
    </row>
    <row r="329" spans="1:4">
      <c r="A329" s="14"/>
      <c r="B329" s="14"/>
      <c r="C329" s="32"/>
      <c r="D329" s="14"/>
    </row>
    <row r="330" spans="1:4">
      <c r="A330" s="14"/>
      <c r="B330" s="14"/>
      <c r="C330" s="32"/>
      <c r="D330" s="14"/>
    </row>
    <row r="331" spans="1:4">
      <c r="A331" s="14"/>
      <c r="B331" s="14"/>
      <c r="C331" s="32"/>
      <c r="D331" s="14"/>
    </row>
    <row r="332" spans="1:4">
      <c r="A332" s="14"/>
      <c r="B332" s="14"/>
      <c r="C332" s="32"/>
      <c r="D332" s="14"/>
    </row>
    <row r="333" spans="1:4">
      <c r="A333" s="14"/>
      <c r="B333" s="14"/>
      <c r="C333" s="32"/>
      <c r="D333" s="14"/>
    </row>
    <row r="334" spans="1:4">
      <c r="A334" s="14"/>
      <c r="B334" s="14"/>
      <c r="C334" s="32"/>
      <c r="D334" s="14"/>
    </row>
    <row r="335" spans="1:4">
      <c r="A335" s="14"/>
      <c r="B335" s="14"/>
      <c r="C335" s="32"/>
      <c r="D335" s="14"/>
    </row>
    <row r="336" spans="1:4">
      <c r="A336" s="14"/>
      <c r="B336" s="14"/>
      <c r="C336" s="32"/>
      <c r="D336" s="14"/>
    </row>
    <row r="337" spans="1:4">
      <c r="A337" s="14"/>
      <c r="B337" s="14"/>
      <c r="C337" s="32"/>
      <c r="D337" s="14"/>
    </row>
    <row r="338" spans="1:4">
      <c r="A338" s="14"/>
      <c r="B338" s="14"/>
      <c r="C338" s="32"/>
      <c r="D338" s="14"/>
    </row>
    <row r="339" spans="1:4">
      <c r="A339" s="14"/>
      <c r="B339" s="14"/>
      <c r="C339" s="32"/>
      <c r="D339" s="14"/>
    </row>
    <row r="340" spans="1:4">
      <c r="A340" s="14"/>
      <c r="B340" s="14"/>
      <c r="C340" s="32"/>
      <c r="D340" s="14"/>
    </row>
    <row r="341" spans="1:4">
      <c r="A341" s="14"/>
      <c r="B341" s="14"/>
      <c r="C341" s="32"/>
      <c r="D341" s="14"/>
    </row>
    <row r="342" spans="1:4">
      <c r="A342" s="14"/>
      <c r="B342" s="14"/>
      <c r="C342" s="32"/>
      <c r="D342" s="14"/>
    </row>
    <row r="343" spans="1:4">
      <c r="A343" s="14"/>
      <c r="B343" s="14"/>
      <c r="C343" s="32"/>
      <c r="D343" s="14"/>
    </row>
    <row r="344" spans="1:4">
      <c r="A344" s="14"/>
      <c r="B344" s="14"/>
      <c r="C344" s="32"/>
      <c r="D344" s="14"/>
    </row>
    <row r="345" spans="1:4">
      <c r="A345" s="14"/>
      <c r="B345" s="14"/>
      <c r="C345" s="32"/>
      <c r="D345" s="14"/>
    </row>
    <row r="346" spans="1:4">
      <c r="A346" s="14"/>
      <c r="B346" s="14"/>
      <c r="C346" s="32"/>
      <c r="D346" s="14"/>
    </row>
    <row r="347" spans="1:4">
      <c r="A347" s="14"/>
      <c r="B347" s="14"/>
      <c r="C347" s="32"/>
      <c r="D347" s="14"/>
    </row>
    <row r="348" spans="1:4">
      <c r="A348" s="14"/>
      <c r="B348" s="14"/>
      <c r="C348" s="32"/>
      <c r="D348" s="14"/>
    </row>
    <row r="349" spans="1:4">
      <c r="A349" s="14"/>
      <c r="B349" s="14"/>
      <c r="C349" s="32"/>
      <c r="D349" s="14"/>
    </row>
    <row r="350" spans="1:4">
      <c r="A350" s="14"/>
      <c r="B350" s="14"/>
      <c r="C350" s="32"/>
      <c r="D350" s="14"/>
    </row>
    <row r="351" spans="1:4">
      <c r="A351" s="14"/>
      <c r="B351" s="14"/>
      <c r="C351" s="32"/>
      <c r="D351" s="14"/>
    </row>
    <row r="352" spans="1:4">
      <c r="A352" s="14"/>
      <c r="B352" s="14"/>
      <c r="C352" s="32"/>
      <c r="D352" s="14"/>
    </row>
    <row r="353" spans="1:4">
      <c r="A353" s="14"/>
      <c r="B353" s="14"/>
      <c r="C353" s="32"/>
      <c r="D353" s="14"/>
    </row>
    <row r="354" spans="1:4">
      <c r="A354" s="14"/>
      <c r="B354" s="14"/>
      <c r="C354" s="32"/>
      <c r="D354" s="14"/>
    </row>
    <row r="355" spans="1:4">
      <c r="A355" s="14"/>
      <c r="B355" s="14"/>
      <c r="C355" s="32"/>
      <c r="D355" s="14"/>
    </row>
    <row r="356" spans="1:4">
      <c r="A356" s="14"/>
      <c r="B356" s="14"/>
      <c r="C356" s="32"/>
      <c r="D356" s="14"/>
    </row>
    <row r="357" spans="1:4">
      <c r="A357" s="14"/>
      <c r="B357" s="14"/>
      <c r="C357" s="32"/>
      <c r="D357" s="14"/>
    </row>
    <row r="358" spans="1:4">
      <c r="A358" s="14"/>
      <c r="B358" s="14"/>
      <c r="C358" s="32"/>
      <c r="D358" s="14"/>
    </row>
    <row r="359" spans="1:4">
      <c r="A359" s="14"/>
      <c r="B359" s="14"/>
      <c r="C359" s="32"/>
      <c r="D359" s="14"/>
    </row>
    <row r="360" spans="1:4">
      <c r="A360" s="14"/>
      <c r="B360" s="14"/>
      <c r="C360" s="32"/>
      <c r="D360" s="14"/>
    </row>
    <row r="361" spans="1:4">
      <c r="A361" s="14"/>
      <c r="B361" s="14"/>
      <c r="C361" s="32"/>
      <c r="D361" s="14"/>
    </row>
    <row r="362" spans="1:4">
      <c r="A362" s="14"/>
      <c r="B362" s="14"/>
      <c r="C362" s="32"/>
      <c r="D362" s="14"/>
    </row>
    <row r="363" spans="1:4">
      <c r="A363" s="14"/>
      <c r="B363" s="14"/>
      <c r="C363" s="32"/>
      <c r="D363" s="14"/>
    </row>
    <row r="364" spans="1:4">
      <c r="A364" s="14"/>
      <c r="B364" s="14"/>
      <c r="C364" s="32"/>
      <c r="D364" s="14"/>
    </row>
    <row r="365" spans="1:4">
      <c r="A365" s="14"/>
      <c r="B365" s="14"/>
      <c r="C365" s="32"/>
      <c r="D365" s="14"/>
    </row>
    <row r="366" spans="1:4">
      <c r="A366" s="14"/>
      <c r="B366" s="14"/>
      <c r="C366" s="32"/>
      <c r="D366" s="14"/>
    </row>
    <row r="367" spans="1:4">
      <c r="A367" s="14"/>
      <c r="B367" s="14"/>
      <c r="C367" s="32"/>
      <c r="D367" s="14"/>
    </row>
    <row r="368" spans="1:4">
      <c r="A368" s="14"/>
      <c r="B368" s="14"/>
      <c r="C368" s="32"/>
      <c r="D368" s="14"/>
    </row>
    <row r="369" spans="1:4">
      <c r="A369" s="14"/>
      <c r="B369" s="14"/>
      <c r="C369" s="32"/>
      <c r="D369" s="14"/>
    </row>
    <row r="370" spans="1:4">
      <c r="A370" s="14"/>
      <c r="B370" s="14"/>
      <c r="C370" s="32"/>
      <c r="D370" s="14"/>
    </row>
    <row r="371" spans="1:4">
      <c r="A371" s="14"/>
      <c r="B371" s="14"/>
      <c r="C371" s="32"/>
      <c r="D371" s="14"/>
    </row>
    <row r="372" spans="1:4">
      <c r="A372" s="14"/>
      <c r="B372" s="14"/>
      <c r="C372" s="32"/>
      <c r="D372" s="14"/>
    </row>
    <row r="373" spans="1:4">
      <c r="A373" s="14"/>
      <c r="B373" s="14"/>
      <c r="C373" s="32"/>
      <c r="D373" s="14"/>
    </row>
    <row r="374" spans="1:4">
      <c r="A374" s="14"/>
      <c r="B374" s="14"/>
      <c r="C374" s="32"/>
      <c r="D374" s="14"/>
    </row>
    <row r="375" spans="1:4">
      <c r="A375" s="14"/>
      <c r="B375" s="14"/>
      <c r="C375" s="32"/>
      <c r="D375" s="14"/>
    </row>
    <row r="376" spans="1:4">
      <c r="A376" s="14"/>
      <c r="B376" s="14"/>
      <c r="C376" s="32"/>
      <c r="D376" s="14"/>
    </row>
    <row r="377" spans="1:4">
      <c r="A377" s="14"/>
      <c r="B377" s="14"/>
      <c r="C377" s="32"/>
      <c r="D377" s="14"/>
    </row>
    <row r="378" spans="1:4">
      <c r="A378" s="14"/>
      <c r="B378" s="14"/>
      <c r="C378" s="32"/>
      <c r="D378" s="14"/>
    </row>
    <row r="379" spans="1:4">
      <c r="A379" s="14"/>
      <c r="B379" s="14"/>
      <c r="C379" s="32"/>
      <c r="D379" s="14"/>
    </row>
    <row r="380" spans="1:4">
      <c r="A380" s="14"/>
      <c r="B380" s="14"/>
      <c r="C380" s="32"/>
      <c r="D380" s="14"/>
    </row>
    <row r="381" spans="1:4">
      <c r="A381" s="14"/>
      <c r="B381" s="14"/>
      <c r="C381" s="32"/>
      <c r="D381" s="14"/>
    </row>
    <row r="382" spans="1:4">
      <c r="A382" s="14"/>
      <c r="B382" s="14"/>
      <c r="C382" s="32"/>
      <c r="D382" s="14"/>
    </row>
    <row r="383" spans="1:4">
      <c r="A383" s="14"/>
      <c r="B383" s="14"/>
      <c r="C383" s="32"/>
      <c r="D383" s="14"/>
    </row>
    <row r="384" spans="1:4">
      <c r="A384" s="14"/>
      <c r="B384" s="14"/>
      <c r="C384" s="32"/>
      <c r="D384" s="14"/>
    </row>
    <row r="385" spans="1:4">
      <c r="A385" s="14"/>
      <c r="B385" s="14"/>
      <c r="C385" s="32"/>
      <c r="D385" s="14"/>
    </row>
    <row r="386" spans="1:4">
      <c r="A386" s="14"/>
      <c r="B386" s="14"/>
      <c r="C386" s="32"/>
      <c r="D386" s="14"/>
    </row>
    <row r="387" spans="1:4">
      <c r="A387" s="14"/>
      <c r="B387" s="14"/>
      <c r="C387" s="32"/>
      <c r="D387" s="14"/>
    </row>
    <row r="388" spans="1:4">
      <c r="A388" s="14"/>
      <c r="B388" s="14"/>
      <c r="C388" s="32"/>
      <c r="D388" s="14"/>
    </row>
    <row r="389" spans="1:4">
      <c r="A389" s="14"/>
      <c r="B389" s="14"/>
      <c r="C389" s="32"/>
      <c r="D389" s="14"/>
    </row>
    <row r="390" spans="1:4">
      <c r="A390" s="14"/>
      <c r="B390" s="14"/>
      <c r="C390" s="32"/>
      <c r="D390" s="14"/>
    </row>
    <row r="391" spans="1:4">
      <c r="A391" s="14"/>
      <c r="B391" s="14"/>
      <c r="C391" s="32"/>
      <c r="D391" s="14"/>
    </row>
    <row r="392" spans="1:4">
      <c r="A392" s="14"/>
      <c r="B392" s="14"/>
      <c r="C392" s="32"/>
      <c r="D392" s="14"/>
    </row>
    <row r="393" spans="1:4">
      <c r="A393" s="14"/>
      <c r="B393" s="14"/>
      <c r="C393" s="32"/>
      <c r="D393" s="14"/>
    </row>
    <row r="394" spans="1:4">
      <c r="A394" s="14"/>
      <c r="B394" s="14"/>
      <c r="C394" s="32"/>
      <c r="D394" s="14"/>
    </row>
    <row r="395" spans="1:4">
      <c r="A395" s="14"/>
      <c r="B395" s="14"/>
      <c r="C395" s="32"/>
      <c r="D395" s="14"/>
    </row>
    <row r="396" spans="1:4">
      <c r="A396" s="14"/>
      <c r="B396" s="14"/>
      <c r="C396" s="32"/>
      <c r="D396" s="14"/>
    </row>
    <row r="397" spans="1:4">
      <c r="A397" s="14"/>
      <c r="B397" s="14"/>
      <c r="C397" s="32"/>
      <c r="D397" s="14"/>
    </row>
    <row r="398" spans="1:4">
      <c r="A398" s="14"/>
      <c r="B398" s="14"/>
      <c r="C398" s="32"/>
      <c r="D398" s="14"/>
    </row>
    <row r="399" spans="1:4">
      <c r="A399" s="14"/>
      <c r="B399" s="14"/>
      <c r="C399" s="32"/>
      <c r="D399" s="14"/>
    </row>
    <row r="400" spans="1:4">
      <c r="A400" s="14"/>
      <c r="B400" s="14"/>
      <c r="C400" s="32"/>
      <c r="D400" s="14"/>
    </row>
    <row r="401" spans="1:4">
      <c r="A401" s="14"/>
      <c r="B401" s="14"/>
      <c r="C401" s="32"/>
      <c r="D401" s="14"/>
    </row>
    <row r="402" spans="1:4">
      <c r="A402" s="14"/>
      <c r="B402" s="14"/>
      <c r="C402" s="32"/>
      <c r="D402" s="14"/>
    </row>
    <row r="403" spans="1:4">
      <c r="A403" s="14"/>
      <c r="B403" s="14"/>
      <c r="C403" s="32"/>
      <c r="D403" s="14"/>
    </row>
    <row r="404" spans="1:4">
      <c r="A404" s="14"/>
      <c r="B404" s="14"/>
      <c r="C404" s="32"/>
      <c r="D404" s="14"/>
    </row>
    <row r="405" spans="1:4">
      <c r="A405" s="14"/>
      <c r="B405" s="14"/>
      <c r="C405" s="32"/>
      <c r="D405" s="14"/>
    </row>
    <row r="406" spans="1:4">
      <c r="A406" s="14"/>
      <c r="B406" s="14"/>
      <c r="C406" s="32"/>
      <c r="D406" s="14"/>
    </row>
    <row r="407" spans="1:4">
      <c r="A407" s="14"/>
      <c r="B407" s="14"/>
      <c r="C407" s="32"/>
      <c r="D407" s="14"/>
    </row>
    <row r="408" spans="1:4">
      <c r="A408" s="14"/>
      <c r="B408" s="14"/>
      <c r="C408" s="32"/>
      <c r="D408" s="14"/>
    </row>
    <row r="409" spans="1:4">
      <c r="A409" s="14"/>
      <c r="B409" s="14"/>
      <c r="C409" s="32"/>
      <c r="D409" s="14"/>
    </row>
    <row r="410" spans="1:4">
      <c r="A410" s="14"/>
      <c r="B410" s="14"/>
      <c r="C410" s="32"/>
      <c r="D410" s="14"/>
    </row>
    <row r="411" spans="1:4">
      <c r="A411" s="14"/>
      <c r="B411" s="14"/>
      <c r="C411" s="32"/>
      <c r="D411" s="14"/>
    </row>
    <row r="412" spans="1:4">
      <c r="A412" s="14"/>
      <c r="B412" s="14"/>
      <c r="C412" s="32"/>
      <c r="D412" s="14"/>
    </row>
    <row r="413" spans="1:4">
      <c r="A413" s="14"/>
      <c r="B413" s="14"/>
      <c r="C413" s="32"/>
      <c r="D413" s="14"/>
    </row>
    <row r="414" spans="1:4">
      <c r="A414" s="14"/>
      <c r="B414" s="14"/>
      <c r="C414" s="32"/>
      <c r="D414" s="14"/>
    </row>
    <row r="415" spans="1:4">
      <c r="A415" s="14"/>
      <c r="B415" s="14"/>
      <c r="C415" s="32"/>
      <c r="D415" s="14"/>
    </row>
    <row r="416" spans="1:4">
      <c r="A416" s="14"/>
      <c r="B416" s="14"/>
      <c r="C416" s="32"/>
      <c r="D416" s="14"/>
    </row>
    <row r="417" spans="1:4">
      <c r="A417" s="14"/>
      <c r="B417" s="14"/>
      <c r="C417" s="32"/>
      <c r="D417" s="14"/>
    </row>
    <row r="418" spans="1:4">
      <c r="A418" s="14"/>
      <c r="B418" s="14"/>
      <c r="C418" s="32"/>
      <c r="D418" s="14"/>
    </row>
    <row r="419" spans="1:4">
      <c r="A419" s="14"/>
      <c r="B419" s="14"/>
      <c r="C419" s="32"/>
      <c r="D419" s="14"/>
    </row>
    <row r="420" spans="1:4">
      <c r="A420" s="14"/>
      <c r="B420" s="14"/>
      <c r="C420" s="32"/>
      <c r="D420" s="14"/>
    </row>
    <row r="421" spans="1:4">
      <c r="A421" s="14"/>
      <c r="B421" s="14"/>
      <c r="C421" s="32"/>
      <c r="D421" s="14"/>
    </row>
    <row r="422" spans="1:4">
      <c r="A422" s="14"/>
      <c r="B422" s="14"/>
      <c r="C422" s="32"/>
      <c r="D422" s="14"/>
    </row>
    <row r="423" spans="1:4">
      <c r="A423" s="14"/>
      <c r="B423" s="14"/>
      <c r="C423" s="32"/>
      <c r="D423" s="14"/>
    </row>
    <row r="424" spans="1:4">
      <c r="A424" s="14"/>
      <c r="B424" s="14"/>
      <c r="C424" s="32"/>
      <c r="D424" s="14"/>
    </row>
    <row r="425" spans="1:4">
      <c r="A425" s="14"/>
      <c r="B425" s="14"/>
      <c r="C425" s="32"/>
      <c r="D425" s="14"/>
    </row>
    <row r="426" spans="1:4">
      <c r="A426" s="14"/>
      <c r="B426" s="14"/>
      <c r="C426" s="32"/>
      <c r="D426" s="14"/>
    </row>
    <row r="427" spans="1:4">
      <c r="A427" s="14"/>
      <c r="B427" s="14"/>
      <c r="C427" s="32"/>
      <c r="D427" s="14"/>
    </row>
    <row r="428" spans="1:4">
      <c r="A428" s="14"/>
      <c r="B428" s="14"/>
      <c r="C428" s="32"/>
      <c r="D428" s="14"/>
    </row>
    <row r="429" spans="1:4">
      <c r="A429" s="14"/>
      <c r="B429" s="14"/>
      <c r="C429" s="32"/>
      <c r="D429" s="14"/>
    </row>
    <row r="430" spans="1:4">
      <c r="A430" s="14"/>
      <c r="B430" s="14"/>
      <c r="C430" s="32"/>
      <c r="D430" s="14"/>
    </row>
    <row r="431" spans="1:4">
      <c r="A431" s="14"/>
      <c r="B431" s="14"/>
      <c r="C431" s="32"/>
      <c r="D431" s="14"/>
    </row>
    <row r="432" spans="1:4">
      <c r="A432" s="14"/>
      <c r="B432" s="14"/>
      <c r="C432" s="32"/>
      <c r="D432" s="14"/>
    </row>
    <row r="433" spans="1:4">
      <c r="A433" s="14"/>
      <c r="B433" s="14"/>
      <c r="C433" s="32"/>
      <c r="D433" s="14"/>
    </row>
    <row r="434" spans="1:4">
      <c r="A434" s="14"/>
      <c r="B434" s="14"/>
      <c r="C434" s="32"/>
      <c r="D434" s="14"/>
    </row>
    <row r="435" spans="1:4">
      <c r="A435" s="14"/>
      <c r="B435" s="14"/>
      <c r="C435" s="32"/>
      <c r="D435" s="14"/>
    </row>
    <row r="436" spans="1:4">
      <c r="A436" s="14"/>
      <c r="B436" s="14"/>
      <c r="C436" s="32"/>
      <c r="D436" s="14"/>
    </row>
    <row r="437" spans="1:4">
      <c r="A437" s="14"/>
      <c r="B437" s="14"/>
      <c r="C437" s="32"/>
      <c r="D437" s="14"/>
    </row>
    <row r="438" spans="1:4">
      <c r="A438" s="14"/>
      <c r="B438" s="14"/>
      <c r="C438" s="32"/>
      <c r="D438" s="14"/>
    </row>
    <row r="439" spans="1:4">
      <c r="A439" s="14"/>
      <c r="B439" s="14"/>
      <c r="C439" s="32"/>
      <c r="D439" s="14"/>
    </row>
    <row r="440" spans="1:4">
      <c r="A440" s="14"/>
      <c r="B440" s="14"/>
      <c r="C440" s="32"/>
      <c r="D440" s="14"/>
    </row>
    <row r="441" spans="1:4">
      <c r="A441" s="14"/>
      <c r="B441" s="14"/>
      <c r="C441" s="32"/>
      <c r="D441" s="14"/>
    </row>
    <row r="442" spans="1:4">
      <c r="A442" s="14"/>
      <c r="B442" s="14"/>
      <c r="C442" s="32"/>
      <c r="D442" s="14"/>
    </row>
    <row r="443" spans="1:4">
      <c r="A443" s="14"/>
      <c r="B443" s="14"/>
      <c r="C443" s="32"/>
      <c r="D443" s="14"/>
    </row>
    <row r="444" spans="1:4">
      <c r="A444" s="14"/>
      <c r="B444" s="14"/>
      <c r="C444" s="32"/>
      <c r="D444" s="14"/>
    </row>
    <row r="445" spans="1:4">
      <c r="A445" s="14"/>
      <c r="B445" s="14"/>
      <c r="C445" s="32"/>
      <c r="D445" s="14"/>
    </row>
    <row r="446" spans="1:4">
      <c r="A446" s="14"/>
      <c r="B446" s="14"/>
      <c r="C446" s="32"/>
      <c r="D446" s="14"/>
    </row>
    <row r="447" spans="1:4">
      <c r="A447" s="14"/>
      <c r="B447" s="14"/>
      <c r="C447" s="32"/>
      <c r="D447" s="14"/>
    </row>
    <row r="448" spans="1:4">
      <c r="A448" s="14"/>
      <c r="B448" s="14"/>
      <c r="C448" s="32"/>
      <c r="D448" s="14"/>
    </row>
    <row r="449" spans="1:4">
      <c r="A449" s="14"/>
      <c r="B449" s="14"/>
      <c r="C449" s="32"/>
      <c r="D449" s="14"/>
    </row>
    <row r="450" spans="1:4">
      <c r="A450" s="14"/>
      <c r="B450" s="14"/>
      <c r="C450" s="32"/>
      <c r="D450" s="14"/>
    </row>
    <row r="451" spans="1:4">
      <c r="A451" s="14"/>
      <c r="B451" s="14"/>
      <c r="C451" s="32"/>
      <c r="D451" s="14"/>
    </row>
    <row r="452" spans="1:4">
      <c r="A452" s="14"/>
      <c r="B452" s="14"/>
      <c r="C452" s="32"/>
      <c r="D452" s="14"/>
    </row>
    <row r="453" spans="1:4">
      <c r="A453" s="14"/>
      <c r="B453" s="14"/>
      <c r="C453" s="32"/>
      <c r="D453" s="14"/>
    </row>
    <row r="454" spans="1:4">
      <c r="A454" s="14"/>
      <c r="B454" s="14"/>
      <c r="C454" s="32"/>
      <c r="D454" s="14"/>
    </row>
    <row r="455" spans="1:4">
      <c r="A455" s="14"/>
      <c r="B455" s="14"/>
      <c r="C455" s="32"/>
      <c r="D455" s="14"/>
    </row>
    <row r="456" spans="1:4">
      <c r="A456" s="14"/>
      <c r="B456" s="14"/>
      <c r="C456" s="32"/>
      <c r="D456" s="14"/>
    </row>
    <row r="457" spans="1:4">
      <c r="A457" s="14"/>
      <c r="B457" s="14"/>
      <c r="C457" s="32"/>
      <c r="D457" s="14"/>
    </row>
    <row r="458" spans="1:4">
      <c r="A458" s="14"/>
      <c r="B458" s="14"/>
      <c r="C458" s="32"/>
      <c r="D458" s="14"/>
    </row>
    <row r="459" spans="1:4">
      <c r="A459" s="14"/>
      <c r="B459" s="14"/>
      <c r="C459" s="32"/>
      <c r="D459" s="14"/>
    </row>
    <row r="460" spans="1:4">
      <c r="A460" s="14"/>
      <c r="B460" s="14"/>
      <c r="C460" s="32"/>
      <c r="D460" s="14"/>
    </row>
    <row r="461" spans="1:4">
      <c r="A461" s="14"/>
      <c r="B461" s="14"/>
      <c r="C461" s="32"/>
      <c r="D461" s="14"/>
    </row>
    <row r="462" spans="1:4">
      <c r="A462" s="14"/>
      <c r="B462" s="14"/>
      <c r="C462" s="32"/>
      <c r="D462" s="14"/>
    </row>
    <row r="463" spans="1:4">
      <c r="A463" s="14"/>
      <c r="B463" s="14"/>
      <c r="C463" s="32"/>
      <c r="D463" s="14"/>
    </row>
    <row r="464" spans="1:4">
      <c r="A464" s="14"/>
      <c r="B464" s="14"/>
      <c r="C464" s="32"/>
      <c r="D464" s="14"/>
    </row>
    <row r="465" spans="1:4">
      <c r="A465" s="14"/>
      <c r="B465" s="14"/>
      <c r="C465" s="32"/>
      <c r="D465" s="14"/>
    </row>
    <row r="466" spans="1:4">
      <c r="A466" s="14"/>
      <c r="B466" s="14"/>
      <c r="C466" s="32"/>
      <c r="D466" s="14"/>
    </row>
    <row r="467" spans="1:4">
      <c r="A467" s="14"/>
      <c r="B467" s="14"/>
      <c r="C467" s="32"/>
      <c r="D467" s="14"/>
    </row>
    <row r="468" spans="1:4">
      <c r="A468" s="14"/>
      <c r="B468" s="14"/>
      <c r="C468" s="32"/>
      <c r="D468" s="14"/>
    </row>
    <row r="469" spans="1:4">
      <c r="A469" s="14"/>
      <c r="B469" s="14"/>
      <c r="C469" s="32"/>
      <c r="D469" s="14"/>
    </row>
    <row r="470" spans="1:4">
      <c r="A470" s="14"/>
      <c r="B470" s="14"/>
      <c r="C470" s="32"/>
      <c r="D470" s="14"/>
    </row>
    <row r="471" spans="1:4">
      <c r="A471" s="14"/>
      <c r="B471" s="14"/>
      <c r="C471" s="32"/>
      <c r="D471" s="14"/>
    </row>
    <row r="472" spans="1:4">
      <c r="A472" s="14"/>
      <c r="B472" s="14"/>
      <c r="C472" s="32"/>
      <c r="D472" s="14"/>
    </row>
    <row r="473" spans="1:4">
      <c r="A473" s="14"/>
      <c r="B473" s="14"/>
      <c r="C473" s="32"/>
      <c r="D473" s="14"/>
    </row>
    <row r="474" spans="1:4">
      <c r="A474" s="14"/>
      <c r="B474" s="14"/>
      <c r="C474" s="32"/>
      <c r="D474" s="14"/>
    </row>
    <row r="475" spans="1:4">
      <c r="A475" s="14"/>
      <c r="B475" s="14"/>
      <c r="C475" s="32"/>
      <c r="D475" s="14"/>
    </row>
    <row r="476" spans="1:4">
      <c r="A476" s="14"/>
      <c r="B476" s="14"/>
      <c r="C476" s="32"/>
      <c r="D476" s="14"/>
    </row>
    <row r="477" spans="1:4">
      <c r="A477" s="14"/>
      <c r="B477" s="14"/>
      <c r="C477" s="32"/>
      <c r="D477" s="14"/>
    </row>
    <row r="478" spans="1:4">
      <c r="A478" s="14"/>
      <c r="B478" s="14"/>
      <c r="C478" s="32"/>
      <c r="D478" s="14"/>
    </row>
    <row r="479" spans="1:4">
      <c r="A479" s="14"/>
      <c r="B479" s="14"/>
      <c r="C479" s="32"/>
      <c r="D479" s="14"/>
    </row>
    <row r="480" spans="1:4">
      <c r="A480" s="14"/>
      <c r="B480" s="14"/>
      <c r="C480" s="32"/>
      <c r="D480" s="14"/>
    </row>
    <row r="481" spans="1:4">
      <c r="A481" s="14"/>
      <c r="B481" s="14"/>
      <c r="C481" s="32"/>
      <c r="D481" s="14"/>
    </row>
    <row r="482" spans="1:4">
      <c r="A482" s="14"/>
      <c r="B482" s="14"/>
      <c r="C482" s="32"/>
      <c r="D482" s="14"/>
    </row>
    <row r="483" spans="1:4">
      <c r="A483" s="14"/>
      <c r="B483" s="14"/>
      <c r="C483" s="32"/>
      <c r="D483" s="14"/>
    </row>
    <row r="484" spans="1:4">
      <c r="A484" s="14"/>
      <c r="B484" s="14"/>
      <c r="C484" s="32"/>
      <c r="D484" s="14"/>
    </row>
    <row r="485" spans="1:4">
      <c r="A485" s="14"/>
      <c r="B485" s="14"/>
      <c r="C485" s="32"/>
      <c r="D485" s="14"/>
    </row>
    <row r="486" spans="1:4">
      <c r="A486" s="14"/>
      <c r="B486" s="14"/>
      <c r="C486" s="32"/>
      <c r="D486" s="14"/>
    </row>
    <row r="487" spans="1:4">
      <c r="A487" s="14"/>
      <c r="B487" s="14"/>
      <c r="C487" s="32"/>
      <c r="D487" s="14"/>
    </row>
    <row r="488" spans="1:4">
      <c r="A488" s="14"/>
      <c r="B488" s="14"/>
      <c r="C488" s="32"/>
      <c r="D488" s="14"/>
    </row>
    <row r="489" spans="1:4">
      <c r="A489" s="14"/>
      <c r="B489" s="14"/>
      <c r="C489" s="32"/>
      <c r="D489" s="14"/>
    </row>
    <row r="490" spans="1:4">
      <c r="A490" s="14"/>
      <c r="B490" s="14"/>
      <c r="C490" s="32"/>
      <c r="D490" s="14"/>
    </row>
    <row r="491" spans="1:4">
      <c r="A491" s="14"/>
      <c r="B491" s="14"/>
      <c r="C491" s="32"/>
      <c r="D491" s="14"/>
    </row>
    <row r="492" spans="1:4">
      <c r="A492" s="14"/>
      <c r="B492" s="14"/>
      <c r="C492" s="32"/>
      <c r="D492" s="14"/>
    </row>
    <row r="493" spans="1:4">
      <c r="A493" s="14"/>
      <c r="B493" s="14"/>
      <c r="C493" s="32"/>
      <c r="D493" s="14"/>
    </row>
    <row r="494" spans="1:4">
      <c r="A494" s="14"/>
      <c r="B494" s="14"/>
      <c r="C494" s="32"/>
      <c r="D494" s="14"/>
    </row>
    <row r="495" spans="1:4">
      <c r="A495" s="14"/>
      <c r="B495" s="14"/>
      <c r="C495" s="32"/>
      <c r="D495" s="14"/>
    </row>
    <row r="496" spans="1:4">
      <c r="A496" s="14"/>
      <c r="B496" s="14"/>
      <c r="C496" s="32"/>
      <c r="D496" s="14"/>
    </row>
    <row r="497" spans="1:4">
      <c r="A497" s="14"/>
      <c r="B497" s="14"/>
      <c r="C497" s="32"/>
      <c r="D497" s="14"/>
    </row>
    <row r="498" spans="1:4">
      <c r="A498" s="14"/>
      <c r="B498" s="14"/>
      <c r="C498" s="32"/>
      <c r="D498" s="14"/>
    </row>
    <row r="499" spans="1:4">
      <c r="A499" s="14"/>
      <c r="B499" s="14"/>
      <c r="C499" s="32"/>
      <c r="D499" s="14"/>
    </row>
    <row r="500" spans="1:4">
      <c r="A500" s="14"/>
      <c r="B500" s="14"/>
      <c r="C500" s="32"/>
      <c r="D500" s="14"/>
    </row>
    <row r="501" spans="1:4">
      <c r="A501" s="14"/>
      <c r="B501" s="14"/>
      <c r="C501" s="32"/>
      <c r="D501" s="14"/>
    </row>
    <row r="502" spans="1:4">
      <c r="A502" s="14"/>
      <c r="B502" s="14"/>
      <c r="C502" s="32"/>
      <c r="D502" s="14"/>
    </row>
    <row r="503" spans="1:4">
      <c r="A503" s="14"/>
      <c r="B503" s="14"/>
      <c r="C503" s="32"/>
      <c r="D503" s="14"/>
    </row>
    <row r="504" spans="1:4">
      <c r="A504" s="14"/>
      <c r="B504" s="14"/>
      <c r="C504" s="32"/>
      <c r="D504" s="14"/>
    </row>
    <row r="505" spans="1:4">
      <c r="A505" s="14"/>
      <c r="B505" s="14"/>
      <c r="C505" s="32"/>
      <c r="D505" s="14"/>
    </row>
    <row r="506" spans="1:4">
      <c r="A506" s="14"/>
      <c r="B506" s="14"/>
      <c r="C506" s="32"/>
      <c r="D506" s="14"/>
    </row>
    <row r="507" spans="1:4">
      <c r="A507" s="14"/>
      <c r="B507" s="14"/>
      <c r="C507" s="32"/>
      <c r="D507" s="14"/>
    </row>
    <row r="508" spans="1:4">
      <c r="A508" s="14"/>
      <c r="B508" s="14"/>
      <c r="C508" s="32"/>
      <c r="D508" s="14"/>
    </row>
    <row r="509" spans="1:4">
      <c r="A509" s="14"/>
      <c r="B509" s="14"/>
      <c r="C509" s="32"/>
      <c r="D509" s="14"/>
    </row>
    <row r="510" spans="1:4">
      <c r="A510" s="14"/>
      <c r="B510" s="14"/>
      <c r="C510" s="32"/>
      <c r="D510" s="14"/>
    </row>
    <row r="511" spans="1:4">
      <c r="A511" s="14"/>
      <c r="B511" s="14"/>
      <c r="C511" s="32"/>
      <c r="D511" s="14"/>
    </row>
    <row r="512" spans="1:4">
      <c r="A512" s="14"/>
      <c r="B512" s="14"/>
      <c r="C512" s="32"/>
      <c r="D512" s="14"/>
    </row>
    <row r="513" spans="1:4">
      <c r="A513" s="14"/>
      <c r="B513" s="14"/>
      <c r="C513" s="32"/>
      <c r="D513" s="14"/>
    </row>
    <row r="514" spans="1:4">
      <c r="A514" s="14"/>
      <c r="B514" s="14"/>
      <c r="C514" s="32"/>
      <c r="D514" s="14"/>
    </row>
    <row r="515" spans="1:4">
      <c r="A515" s="14"/>
      <c r="B515" s="14"/>
      <c r="C515" s="32"/>
      <c r="D515" s="14"/>
    </row>
    <row r="516" spans="1:4">
      <c r="A516" s="14"/>
      <c r="B516" s="14"/>
      <c r="C516" s="32"/>
      <c r="D516" s="14"/>
    </row>
    <row r="517" spans="1:4">
      <c r="A517" s="14"/>
      <c r="B517" s="14"/>
      <c r="C517" s="32"/>
      <c r="D517" s="14"/>
    </row>
    <row r="518" spans="1:4">
      <c r="A518" s="14"/>
      <c r="B518" s="14"/>
      <c r="C518" s="32"/>
      <c r="D518" s="14"/>
    </row>
    <row r="519" spans="1:4">
      <c r="A519" s="14"/>
      <c r="B519" s="14"/>
      <c r="C519" s="32"/>
      <c r="D519" s="14"/>
    </row>
    <row r="520" spans="1:4">
      <c r="A520" s="14"/>
      <c r="B520" s="14"/>
      <c r="C520" s="32"/>
      <c r="D520" s="14"/>
    </row>
    <row r="521" spans="1:4">
      <c r="A521" s="14"/>
      <c r="B521" s="14"/>
      <c r="C521" s="32"/>
      <c r="D521" s="14"/>
    </row>
    <row r="522" spans="1:4">
      <c r="A522" s="14"/>
      <c r="B522" s="14"/>
      <c r="C522" s="32"/>
      <c r="D522" s="14"/>
    </row>
    <row r="523" spans="1:4">
      <c r="A523" s="14"/>
      <c r="B523" s="14"/>
      <c r="C523" s="32"/>
      <c r="D523" s="14"/>
    </row>
    <row r="524" spans="1:4">
      <c r="A524" s="14"/>
      <c r="B524" s="14"/>
      <c r="C524" s="32"/>
      <c r="D524" s="14"/>
    </row>
    <row r="525" spans="1:4">
      <c r="A525" s="14"/>
      <c r="B525" s="14"/>
      <c r="C525" s="32"/>
      <c r="D525" s="14"/>
    </row>
    <row r="526" spans="1:4">
      <c r="A526" s="14"/>
      <c r="B526" s="14"/>
      <c r="C526" s="32"/>
      <c r="D526" s="14"/>
    </row>
    <row r="527" spans="1:4">
      <c r="A527" s="14"/>
      <c r="B527" s="14"/>
      <c r="C527" s="32"/>
      <c r="D527" s="14"/>
    </row>
    <row r="528" spans="1:4">
      <c r="A528" s="14"/>
      <c r="B528" s="14"/>
      <c r="C528" s="32"/>
      <c r="D528" s="14"/>
    </row>
    <row r="529" spans="1:4">
      <c r="A529" s="14"/>
      <c r="B529" s="14"/>
      <c r="C529" s="32"/>
      <c r="D529" s="14"/>
    </row>
    <row r="530" spans="1:4">
      <c r="A530" s="14"/>
      <c r="B530" s="14"/>
      <c r="C530" s="32"/>
      <c r="D530" s="14"/>
    </row>
    <row r="531" spans="1:4">
      <c r="A531" s="14"/>
      <c r="B531" s="14"/>
      <c r="C531" s="32"/>
      <c r="D531" s="14"/>
    </row>
    <row r="532" spans="1:4">
      <c r="A532" s="14"/>
      <c r="B532" s="14"/>
      <c r="C532" s="32"/>
      <c r="D532" s="14"/>
    </row>
    <row r="533" spans="1:4">
      <c r="A533" s="14"/>
      <c r="B533" s="14"/>
      <c r="C533" s="32"/>
      <c r="D533" s="14"/>
    </row>
    <row r="534" spans="1:4">
      <c r="A534" s="14"/>
      <c r="B534" s="14"/>
      <c r="C534" s="32"/>
      <c r="D534" s="14"/>
    </row>
    <row r="535" spans="1:4">
      <c r="A535" s="14"/>
      <c r="B535" s="14"/>
      <c r="C535" s="32"/>
      <c r="D535" s="14"/>
    </row>
    <row r="536" spans="1:4">
      <c r="A536" s="14"/>
      <c r="B536" s="14"/>
      <c r="C536" s="32"/>
      <c r="D536" s="14"/>
    </row>
    <row r="537" spans="1:4">
      <c r="A537" s="14"/>
      <c r="B537" s="14"/>
      <c r="C537" s="32"/>
      <c r="D537" s="14"/>
    </row>
    <row r="538" spans="1:4">
      <c r="A538" s="14"/>
      <c r="B538" s="14"/>
      <c r="C538" s="32"/>
      <c r="D538" s="14"/>
    </row>
    <row r="539" spans="1:4">
      <c r="A539" s="14"/>
      <c r="B539" s="14"/>
      <c r="C539" s="32"/>
      <c r="D539" s="14"/>
    </row>
    <row r="540" spans="1:4">
      <c r="A540" s="14"/>
      <c r="B540" s="14"/>
      <c r="C540" s="32"/>
      <c r="D540" s="14"/>
    </row>
    <row r="541" spans="1:4">
      <c r="A541" s="14"/>
      <c r="B541" s="14"/>
      <c r="C541" s="32"/>
      <c r="D541" s="14"/>
    </row>
    <row r="542" spans="1:4">
      <c r="A542" s="14"/>
      <c r="B542" s="14"/>
      <c r="C542" s="32"/>
      <c r="D542" s="14"/>
    </row>
    <row r="543" spans="1:4">
      <c r="A543" s="14"/>
      <c r="B543" s="14"/>
      <c r="C543" s="32"/>
      <c r="D543" s="14"/>
    </row>
    <row r="544" spans="1:4">
      <c r="A544" s="14"/>
      <c r="B544" s="14"/>
      <c r="C544" s="32"/>
      <c r="D544" s="14"/>
    </row>
    <row r="545" spans="1:4">
      <c r="A545" s="14"/>
      <c r="B545" s="14"/>
      <c r="C545" s="32"/>
      <c r="D545" s="14"/>
    </row>
    <row r="546" spans="1:4">
      <c r="A546" s="14"/>
      <c r="B546" s="14"/>
      <c r="C546" s="32"/>
      <c r="D546" s="14"/>
    </row>
    <row r="547" spans="1:4">
      <c r="A547" s="14"/>
      <c r="B547" s="14"/>
      <c r="C547" s="32"/>
      <c r="D547" s="14"/>
    </row>
    <row r="548" spans="1:4">
      <c r="A548" s="14"/>
      <c r="B548" s="14"/>
      <c r="C548" s="32"/>
      <c r="D548" s="14"/>
    </row>
    <row r="549" spans="1:4">
      <c r="A549" s="14"/>
      <c r="B549" s="14"/>
      <c r="C549" s="32"/>
      <c r="D549" s="14"/>
    </row>
    <row r="550" spans="1:4">
      <c r="A550" s="14"/>
      <c r="B550" s="14"/>
      <c r="C550" s="32"/>
      <c r="D550" s="14"/>
    </row>
    <row r="551" spans="1:4">
      <c r="A551" s="14"/>
      <c r="B551" s="14"/>
      <c r="C551" s="32"/>
      <c r="D551" s="14"/>
    </row>
    <row r="552" spans="1:4">
      <c r="A552" s="14"/>
      <c r="B552" s="14"/>
      <c r="C552" s="32"/>
      <c r="D552" s="14"/>
    </row>
    <row r="553" spans="1:4">
      <c r="A553" s="14"/>
      <c r="B553" s="14"/>
      <c r="C553" s="32"/>
      <c r="D553" s="14"/>
    </row>
    <row r="554" spans="1:4">
      <c r="A554" s="14"/>
      <c r="B554" s="14"/>
      <c r="C554" s="32"/>
      <c r="D554" s="14"/>
    </row>
    <row r="555" spans="1:4">
      <c r="A555" s="14"/>
      <c r="B555" s="14"/>
      <c r="C555" s="32"/>
      <c r="D555" s="14"/>
    </row>
    <row r="556" spans="1:4">
      <c r="A556" s="14"/>
      <c r="B556" s="14"/>
      <c r="C556" s="32"/>
      <c r="D556" s="14"/>
    </row>
    <row r="557" spans="1:4">
      <c r="A557" s="14"/>
      <c r="B557" s="14"/>
      <c r="C557" s="32"/>
      <c r="D557" s="14"/>
    </row>
    <row r="558" spans="1:4">
      <c r="A558" s="14"/>
      <c r="B558" s="14"/>
      <c r="C558" s="32"/>
      <c r="D558" s="14"/>
    </row>
    <row r="559" spans="1:4">
      <c r="A559" s="14"/>
      <c r="B559" s="14"/>
      <c r="C559" s="32"/>
      <c r="D559" s="14"/>
    </row>
    <row r="560" spans="1:4">
      <c r="A560" s="14"/>
      <c r="B560" s="14"/>
      <c r="C560" s="32"/>
      <c r="D560" s="14"/>
    </row>
    <row r="561" spans="1:4">
      <c r="A561" s="14"/>
      <c r="B561" s="14"/>
      <c r="C561" s="32"/>
      <c r="D561" s="14"/>
    </row>
    <row r="562" spans="1:4">
      <c r="A562" s="14"/>
      <c r="B562" s="14"/>
      <c r="C562" s="32"/>
      <c r="D562" s="14"/>
    </row>
    <row r="563" spans="1:4">
      <c r="A563" s="14"/>
      <c r="B563" s="14"/>
      <c r="C563" s="32"/>
      <c r="D563" s="14"/>
    </row>
    <row r="564" spans="1:4">
      <c r="A564" s="14"/>
      <c r="B564" s="14"/>
      <c r="C564" s="32"/>
      <c r="D564" s="14"/>
    </row>
    <row r="565" spans="1:4">
      <c r="A565" s="14"/>
      <c r="B565" s="14"/>
      <c r="C565" s="32"/>
      <c r="D565" s="14"/>
    </row>
    <row r="566" spans="1:4">
      <c r="A566" s="14"/>
      <c r="B566" s="14"/>
      <c r="C566" s="32"/>
      <c r="D566" s="14"/>
    </row>
    <row r="567" spans="1:4">
      <c r="A567" s="14"/>
      <c r="B567" s="14"/>
      <c r="C567" s="32"/>
      <c r="D567" s="14"/>
    </row>
    <row r="568" spans="1:4">
      <c r="A568" s="14"/>
      <c r="B568" s="14"/>
      <c r="C568" s="32"/>
      <c r="D568" s="14"/>
    </row>
    <row r="569" spans="1:4">
      <c r="A569" s="14"/>
      <c r="B569" s="14"/>
      <c r="C569" s="32"/>
      <c r="D569" s="14"/>
    </row>
    <row r="570" spans="1:4">
      <c r="A570" s="14"/>
      <c r="B570" s="14"/>
      <c r="C570" s="32"/>
      <c r="D570" s="14"/>
    </row>
    <row r="571" spans="1:4">
      <c r="A571" s="14"/>
      <c r="B571" s="14"/>
      <c r="C571" s="32"/>
      <c r="D571" s="14"/>
    </row>
    <row r="572" spans="1:4">
      <c r="A572" s="14"/>
      <c r="B572" s="14"/>
      <c r="C572" s="32"/>
      <c r="D572" s="14"/>
    </row>
    <row r="573" spans="1:4">
      <c r="A573" s="14"/>
      <c r="B573" s="14"/>
      <c r="C573" s="32"/>
      <c r="D573" s="14"/>
    </row>
    <row r="574" spans="1:4">
      <c r="A574" s="14"/>
      <c r="B574" s="14"/>
      <c r="C574" s="32"/>
      <c r="D574" s="14"/>
    </row>
    <row r="575" spans="1:4">
      <c r="A575" s="14"/>
      <c r="B575" s="14"/>
      <c r="C575" s="32"/>
      <c r="D575" s="14"/>
    </row>
    <row r="576" spans="1:4">
      <c r="A576" s="14"/>
      <c r="B576" s="14"/>
      <c r="C576" s="32"/>
      <c r="D576" s="14"/>
    </row>
    <row r="577" spans="1:4">
      <c r="A577" s="14"/>
      <c r="B577" s="14"/>
      <c r="C577" s="32"/>
      <c r="D577" s="14"/>
    </row>
    <row r="578" spans="1:4">
      <c r="A578" s="14"/>
      <c r="B578" s="14"/>
      <c r="C578" s="32"/>
      <c r="D578" s="14"/>
    </row>
    <row r="579" spans="1:4">
      <c r="A579" s="14"/>
      <c r="B579" s="14"/>
      <c r="C579" s="32"/>
      <c r="D579" s="14"/>
    </row>
    <row r="580" spans="1:4">
      <c r="A580" s="14"/>
      <c r="B580" s="14"/>
      <c r="C580" s="32"/>
      <c r="D580" s="14"/>
    </row>
    <row r="581" spans="1:4">
      <c r="A581" s="14"/>
      <c r="B581" s="14"/>
      <c r="C581" s="32"/>
      <c r="D581" s="14"/>
    </row>
    <row r="582" spans="1:4">
      <c r="A582" s="14"/>
      <c r="B582" s="14"/>
      <c r="C582" s="32"/>
      <c r="D582" s="14"/>
    </row>
    <row r="583" spans="1:4">
      <c r="A583" s="14"/>
      <c r="B583" s="14"/>
      <c r="C583" s="32"/>
      <c r="D583" s="14"/>
    </row>
    <row r="584" spans="1:4">
      <c r="A584" s="14"/>
      <c r="B584" s="14"/>
      <c r="C584" s="32"/>
      <c r="D584" s="14"/>
    </row>
    <row r="585" spans="1:4">
      <c r="A585" s="14"/>
      <c r="B585" s="14"/>
      <c r="C585" s="32"/>
      <c r="D585" s="14"/>
    </row>
    <row r="586" spans="1:4">
      <c r="A586" s="14"/>
      <c r="B586" s="14"/>
      <c r="C586" s="32"/>
      <c r="D586" s="14"/>
    </row>
    <row r="587" spans="1:4">
      <c r="A587" s="14"/>
      <c r="B587" s="14"/>
      <c r="C587" s="32"/>
      <c r="D587" s="14"/>
    </row>
    <row r="588" spans="1:4">
      <c r="A588" s="14"/>
      <c r="B588" s="14"/>
      <c r="C588" s="32"/>
      <c r="D588" s="14"/>
    </row>
    <row r="589" spans="1:4">
      <c r="A589" s="14"/>
      <c r="B589" s="14"/>
      <c r="C589" s="32"/>
      <c r="D589" s="14"/>
    </row>
    <row r="590" spans="1:4">
      <c r="A590" s="14"/>
      <c r="B590" s="14"/>
      <c r="C590" s="32"/>
      <c r="D590" s="14"/>
    </row>
    <row r="591" spans="1:4">
      <c r="A591" s="14"/>
      <c r="B591" s="14"/>
      <c r="C591" s="32"/>
      <c r="D591" s="14"/>
    </row>
    <row r="592" spans="1:4">
      <c r="A592" s="14"/>
      <c r="B592" s="14"/>
      <c r="C592" s="32"/>
      <c r="D592" s="14"/>
    </row>
    <row r="593" spans="1:4">
      <c r="A593" s="14"/>
      <c r="B593" s="14"/>
      <c r="C593" s="32"/>
      <c r="D593" s="14"/>
    </row>
    <row r="594" spans="1:4">
      <c r="A594" s="14"/>
      <c r="B594" s="14"/>
      <c r="C594" s="32"/>
      <c r="D594" s="14"/>
    </row>
    <row r="595" spans="1:4">
      <c r="A595" s="14"/>
      <c r="B595" s="14"/>
      <c r="C595" s="32"/>
      <c r="D595" s="14"/>
    </row>
    <row r="596" spans="1:4">
      <c r="A596" s="14"/>
      <c r="B596" s="14"/>
      <c r="C596" s="32"/>
      <c r="D596" s="14"/>
    </row>
    <row r="597" spans="1:4">
      <c r="A597" s="14"/>
      <c r="B597" s="14"/>
      <c r="C597" s="32"/>
      <c r="D597" s="14"/>
    </row>
    <row r="598" spans="1:4">
      <c r="A598" s="14"/>
      <c r="B598" s="14"/>
      <c r="C598" s="32"/>
      <c r="D598" s="14"/>
    </row>
    <row r="599" spans="1:4">
      <c r="A599" s="14"/>
      <c r="B599" s="14"/>
      <c r="C599" s="32"/>
      <c r="D599" s="14"/>
    </row>
    <row r="600" spans="1:4">
      <c r="A600" s="14"/>
      <c r="B600" s="14"/>
      <c r="C600" s="32"/>
      <c r="D600" s="14"/>
    </row>
  </sheetData>
  <autoFilter ref="A1:E5" xr:uid="{00000000-0009-0000-0000-00000B000000}"/>
  <dataValidations count="2">
    <dataValidation type="list" allowBlank="1" showErrorMessage="1" sqref="D2:D5" xr:uid="{00000000-0002-0000-0B00-000000000000}">
      <formula1>"ไม่พบ,Q2,Q1,Q3,Q4,0"</formula1>
    </dataValidation>
    <dataValidation type="list" allowBlank="1" showErrorMessage="1" sqref="C2:C5" xr:uid="{00000000-0002-0000-0B00-000002000000}">
      <formula1>"Switzerland,United States,Germany,Brazil,Netherlands,Pakistan,Thailand,United Kingdom,South Korea,India,Colombia,Romania,Austria,Malaysia,Japan,Indonesia,Canada,Egypt,Czech Republic,United Kingdom
,New Zealand,China,Spain,Iran,Israel,France,Taiwan,Ireland"&amp;",Australia,Turkey,Libya"</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1000"/>
  <sheetViews>
    <sheetView showGridLines="0" workbookViewId="0">
      <selection activeCell="B25" sqref="B25"/>
    </sheetView>
  </sheetViews>
  <sheetFormatPr defaultColWidth="12.625" defaultRowHeight="15" customHeight="1"/>
  <cols>
    <col min="1" max="1" width="50" customWidth="1"/>
    <col min="2" max="2" width="66.625" customWidth="1"/>
  </cols>
  <sheetData>
    <row r="1" spans="1:1">
      <c r="A1" s="88" t="s">
        <v>5</v>
      </c>
    </row>
    <row r="2" spans="1:1">
      <c r="A2" s="81" t="s">
        <v>347</v>
      </c>
    </row>
    <row r="3" spans="1:1">
      <c r="A3" s="89" t="s">
        <v>204</v>
      </c>
    </row>
    <row r="4" spans="1:1">
      <c r="A4" s="89" t="s">
        <v>155</v>
      </c>
    </row>
    <row r="5" spans="1:1">
      <c r="A5" s="89" t="s">
        <v>290</v>
      </c>
    </row>
    <row r="6" spans="1:1">
      <c r="A6" s="89" t="s">
        <v>213</v>
      </c>
    </row>
    <row r="7" spans="1:1">
      <c r="A7" s="89" t="s">
        <v>397</v>
      </c>
    </row>
    <row r="8" spans="1:1">
      <c r="A8" s="89" t="s">
        <v>295</v>
      </c>
    </row>
    <row r="9" spans="1:1">
      <c r="A9" s="89" t="s">
        <v>192</v>
      </c>
    </row>
    <row r="10" spans="1:1">
      <c r="A10" s="89" t="s">
        <v>269</v>
      </c>
    </row>
    <row r="11" spans="1:1">
      <c r="A11" s="89" t="s">
        <v>266</v>
      </c>
    </row>
    <row r="12" spans="1:1">
      <c r="A12" s="89" t="s">
        <v>283</v>
      </c>
    </row>
    <row r="13" spans="1:1">
      <c r="A13" s="89" t="s">
        <v>142</v>
      </c>
    </row>
    <row r="14" spans="1:1">
      <c r="A14" s="89" t="s">
        <v>129</v>
      </c>
    </row>
    <row r="15" spans="1:1">
      <c r="A15" s="89" t="s">
        <v>297</v>
      </c>
    </row>
    <row r="16" spans="1:1">
      <c r="A16" s="89" t="s">
        <v>427</v>
      </c>
    </row>
    <row r="17" spans="1:1">
      <c r="A17" s="89" t="s">
        <v>486</v>
      </c>
    </row>
    <row r="18" spans="1:1">
      <c r="A18" s="89" t="s">
        <v>380</v>
      </c>
    </row>
    <row r="19" spans="1:1">
      <c r="A19" s="89" t="s">
        <v>300</v>
      </c>
    </row>
    <row r="20" spans="1:1">
      <c r="A20" s="89" t="s">
        <v>276</v>
      </c>
    </row>
    <row r="21" spans="1:1">
      <c r="A21" s="89" t="s">
        <v>445</v>
      </c>
    </row>
    <row r="22" spans="1:1">
      <c r="A22" s="89" t="s">
        <v>336</v>
      </c>
    </row>
    <row r="23" spans="1:1">
      <c r="A23" s="89" t="s">
        <v>438</v>
      </c>
    </row>
    <row r="24" spans="1:1">
      <c r="A24" s="89" t="s">
        <v>345</v>
      </c>
    </row>
    <row r="25" spans="1:1">
      <c r="A25" s="89" t="s">
        <v>358</v>
      </c>
    </row>
    <row r="26" spans="1:1">
      <c r="A26" s="89" t="s">
        <v>441</v>
      </c>
    </row>
    <row r="27" spans="1:1">
      <c r="A27" s="89" t="s">
        <v>373</v>
      </c>
    </row>
    <row r="28" spans="1:1">
      <c r="A28" s="89" t="s">
        <v>329</v>
      </c>
    </row>
    <row r="29" spans="1:1">
      <c r="A29" s="89" t="s">
        <v>284</v>
      </c>
    </row>
    <row r="30" spans="1:1">
      <c r="A30" s="89" t="s">
        <v>144</v>
      </c>
    </row>
    <row r="31" spans="1:1">
      <c r="A31" s="89" t="s">
        <v>233</v>
      </c>
    </row>
    <row r="32" spans="1:1">
      <c r="A32" s="89" t="s">
        <v>321</v>
      </c>
    </row>
    <row r="33" spans="1:1">
      <c r="A33" s="89" t="s">
        <v>246</v>
      </c>
    </row>
    <row r="34" spans="1:1">
      <c r="A34" s="89" t="s">
        <v>178</v>
      </c>
    </row>
    <row r="35" spans="1:1">
      <c r="A35" s="89" t="s">
        <v>40</v>
      </c>
    </row>
    <row r="36" spans="1:1">
      <c r="A36" s="89" t="s">
        <v>478</v>
      </c>
    </row>
    <row r="37" spans="1:1">
      <c r="A37" s="89" t="s">
        <v>365</v>
      </c>
    </row>
    <row r="38" spans="1:1">
      <c r="A38" s="89" t="s">
        <v>249</v>
      </c>
    </row>
    <row r="39" spans="1:1">
      <c r="A39" s="89" t="s">
        <v>67</v>
      </c>
    </row>
    <row r="40" spans="1:1">
      <c r="A40" s="89" t="s">
        <v>285</v>
      </c>
    </row>
    <row r="41" spans="1:1">
      <c r="A41" s="89" t="s">
        <v>158</v>
      </c>
    </row>
    <row r="42" spans="1:1">
      <c r="A42" s="89" t="s">
        <v>423</v>
      </c>
    </row>
    <row r="43" spans="1:1">
      <c r="A43" s="89" t="s">
        <v>310</v>
      </c>
    </row>
    <row r="44" spans="1:1">
      <c r="A44" s="89" t="s">
        <v>450</v>
      </c>
    </row>
    <row r="45" spans="1:1">
      <c r="A45" s="89" t="s">
        <v>138</v>
      </c>
    </row>
    <row r="46" spans="1:1">
      <c r="A46" s="89" t="s">
        <v>467</v>
      </c>
    </row>
    <row r="47" spans="1:1">
      <c r="A47" s="89" t="s">
        <v>435</v>
      </c>
    </row>
    <row r="48" spans="1:1">
      <c r="A48" s="89" t="s">
        <v>472</v>
      </c>
    </row>
    <row r="49" spans="1:1">
      <c r="A49" s="89" t="s">
        <v>162</v>
      </c>
    </row>
    <row r="50" spans="1:1">
      <c r="A50" s="89" t="s">
        <v>343</v>
      </c>
    </row>
    <row r="51" spans="1:1">
      <c r="A51" s="89" t="s">
        <v>263</v>
      </c>
    </row>
    <row r="52" spans="1:1">
      <c r="A52" s="89" t="s">
        <v>370</v>
      </c>
    </row>
    <row r="53" spans="1:1">
      <c r="A53" s="89" t="s">
        <v>444</v>
      </c>
    </row>
    <row r="54" spans="1:1">
      <c r="A54" s="89" t="s">
        <v>361</v>
      </c>
    </row>
    <row r="55" spans="1:1">
      <c r="A55" s="89" t="s">
        <v>49</v>
      </c>
    </row>
    <row r="56" spans="1:1">
      <c r="A56" s="89" t="s">
        <v>289</v>
      </c>
    </row>
    <row r="57" spans="1:1">
      <c r="A57" s="89" t="s">
        <v>465</v>
      </c>
    </row>
    <row r="58" spans="1:1">
      <c r="A58" s="89" t="s">
        <v>281</v>
      </c>
    </row>
    <row r="59" spans="1:1">
      <c r="A59" s="89" t="s">
        <v>381</v>
      </c>
    </row>
    <row r="60" spans="1:1">
      <c r="A60" s="89" t="s">
        <v>232</v>
      </c>
    </row>
    <row r="61" spans="1:1">
      <c r="A61" s="89" t="s">
        <v>352</v>
      </c>
    </row>
    <row r="62" spans="1:1">
      <c r="A62" s="89" t="s">
        <v>426</v>
      </c>
    </row>
    <row r="63" spans="1:1">
      <c r="A63" s="89" t="s">
        <v>383</v>
      </c>
    </row>
    <row r="64" spans="1:1">
      <c r="A64" s="89" t="s">
        <v>271</v>
      </c>
    </row>
    <row r="65" spans="1:1">
      <c r="A65" s="89" t="s">
        <v>229</v>
      </c>
    </row>
    <row r="66" spans="1:1">
      <c r="A66" s="89" t="s">
        <v>146</v>
      </c>
    </row>
    <row r="67" spans="1:1">
      <c r="A67" s="89" t="s">
        <v>422</v>
      </c>
    </row>
    <row r="68" spans="1:1">
      <c r="A68" s="89" t="s">
        <v>208</v>
      </c>
    </row>
    <row r="69" spans="1:1">
      <c r="A69" s="89" t="s">
        <v>420</v>
      </c>
    </row>
    <row r="70" spans="1:1">
      <c r="A70" s="89" t="s">
        <v>251</v>
      </c>
    </row>
    <row r="71" spans="1:1">
      <c r="A71" s="89" t="s">
        <v>141</v>
      </c>
    </row>
    <row r="72" spans="1:1">
      <c r="A72" s="89" t="s">
        <v>391</v>
      </c>
    </row>
    <row r="73" spans="1:1">
      <c r="A73" s="89" t="s">
        <v>253</v>
      </c>
    </row>
    <row r="74" spans="1:1">
      <c r="A74" s="89" t="s">
        <v>440</v>
      </c>
    </row>
    <row r="75" spans="1:1">
      <c r="A75" s="89" t="s">
        <v>325</v>
      </c>
    </row>
    <row r="76" spans="1:1">
      <c r="A76" s="89" t="s">
        <v>393</v>
      </c>
    </row>
    <row r="77" spans="1:1">
      <c r="A77" s="89" t="s">
        <v>150</v>
      </c>
    </row>
    <row r="78" spans="1:1">
      <c r="A78" s="89" t="s">
        <v>463</v>
      </c>
    </row>
    <row r="79" spans="1:1">
      <c r="A79" s="89" t="s">
        <v>442</v>
      </c>
    </row>
    <row r="80" spans="1:1">
      <c r="A80" s="89" t="s">
        <v>179</v>
      </c>
    </row>
    <row r="81" spans="1:1">
      <c r="A81" s="89" t="s">
        <v>415</v>
      </c>
    </row>
    <row r="82" spans="1:1">
      <c r="A82" s="89" t="s">
        <v>259</v>
      </c>
    </row>
    <row r="83" spans="1:1">
      <c r="A83" s="89" t="s">
        <v>221</v>
      </c>
    </row>
    <row r="84" spans="1:1">
      <c r="A84" s="89" t="s">
        <v>388</v>
      </c>
    </row>
    <row r="85" spans="1:1">
      <c r="A85" s="89" t="s">
        <v>402</v>
      </c>
    </row>
    <row r="86" spans="1:1">
      <c r="A86" s="89" t="s">
        <v>400</v>
      </c>
    </row>
    <row r="87" spans="1:1">
      <c r="A87" s="89" t="s">
        <v>425</v>
      </c>
    </row>
    <row r="88" spans="1:1">
      <c r="A88" s="89" t="s">
        <v>205</v>
      </c>
    </row>
    <row r="89" spans="1:1">
      <c r="A89" s="89" t="s">
        <v>227</v>
      </c>
    </row>
    <row r="90" spans="1:1">
      <c r="A90" s="89" t="s">
        <v>151</v>
      </c>
    </row>
    <row r="91" spans="1:1">
      <c r="A91" s="89" t="s">
        <v>172</v>
      </c>
    </row>
    <row r="92" spans="1:1">
      <c r="A92" s="89" t="s">
        <v>136</v>
      </c>
    </row>
    <row r="93" spans="1:1">
      <c r="A93" s="89" t="s">
        <v>418</v>
      </c>
    </row>
    <row r="94" spans="1:1">
      <c r="A94" s="89" t="s">
        <v>376</v>
      </c>
    </row>
    <row r="95" spans="1:1">
      <c r="A95" s="89" t="s">
        <v>154</v>
      </c>
    </row>
    <row r="96" spans="1:1">
      <c r="A96" s="89" t="s">
        <v>117</v>
      </c>
    </row>
    <row r="97" spans="1:1">
      <c r="A97" s="89" t="s">
        <v>452</v>
      </c>
    </row>
    <row r="98" spans="1:1">
      <c r="A98" s="89" t="s">
        <v>209</v>
      </c>
    </row>
    <row r="99" spans="1:1">
      <c r="A99" s="89" t="s">
        <v>454</v>
      </c>
    </row>
    <row r="100" spans="1:1">
      <c r="A100" s="89" t="s">
        <v>362</v>
      </c>
    </row>
    <row r="101" spans="1:1">
      <c r="A101" s="89" t="s">
        <v>456</v>
      </c>
    </row>
    <row r="102" spans="1:1">
      <c r="A102" s="89" t="s">
        <v>412</v>
      </c>
    </row>
    <row r="103" spans="1:1">
      <c r="A103" s="89" t="s">
        <v>392</v>
      </c>
    </row>
    <row r="104" spans="1:1">
      <c r="A104" s="89" t="s">
        <v>341</v>
      </c>
    </row>
    <row r="105" spans="1:1">
      <c r="A105" s="89" t="s">
        <v>351</v>
      </c>
    </row>
    <row r="106" spans="1:1">
      <c r="A106" s="89" t="s">
        <v>409</v>
      </c>
    </row>
    <row r="107" spans="1:1">
      <c r="A107" s="89" t="s">
        <v>437</v>
      </c>
    </row>
    <row r="108" spans="1:1">
      <c r="A108" s="89" t="s">
        <v>433</v>
      </c>
    </row>
    <row r="109" spans="1:1">
      <c r="A109" s="89" t="s">
        <v>458</v>
      </c>
    </row>
    <row r="110" spans="1:1">
      <c r="A110" s="89" t="s">
        <v>406</v>
      </c>
    </row>
    <row r="111" spans="1:1">
      <c r="A111" s="89" t="s">
        <v>342</v>
      </c>
    </row>
    <row r="112" spans="1:1">
      <c r="A112" s="89" t="s">
        <v>474</v>
      </c>
    </row>
    <row r="113" spans="1:1">
      <c r="A113" s="89" t="s">
        <v>413</v>
      </c>
    </row>
    <row r="114" spans="1:1">
      <c r="A114" s="89" t="s">
        <v>334</v>
      </c>
    </row>
    <row r="115" spans="1:1">
      <c r="A115" s="89" t="s">
        <v>470</v>
      </c>
    </row>
    <row r="116" spans="1:1">
      <c r="A116" s="89" t="s">
        <v>447</v>
      </c>
    </row>
    <row r="117" spans="1:1">
      <c r="A117" s="89" t="s">
        <v>469</v>
      </c>
    </row>
    <row r="118" spans="1:1">
      <c r="A118" s="89" t="s">
        <v>135</v>
      </c>
    </row>
    <row r="119" spans="1:1">
      <c r="A119" s="89" t="s">
        <v>333</v>
      </c>
    </row>
    <row r="120" spans="1:1">
      <c r="A120" s="89" t="s">
        <v>483</v>
      </c>
    </row>
    <row r="121" spans="1:1">
      <c r="A121" s="89" t="s">
        <v>355</v>
      </c>
    </row>
    <row r="122" spans="1:1">
      <c r="A122" s="89" t="s">
        <v>307</v>
      </c>
    </row>
    <row r="123" spans="1:1">
      <c r="A123" s="89" t="s">
        <v>177</v>
      </c>
    </row>
    <row r="124" spans="1:1">
      <c r="A124" s="89" t="s">
        <v>372</v>
      </c>
    </row>
    <row r="125" spans="1:1">
      <c r="A125" s="89" t="s">
        <v>360</v>
      </c>
    </row>
    <row r="126" spans="1:1">
      <c r="A126" s="89" t="s">
        <v>398</v>
      </c>
    </row>
    <row r="127" spans="1:1">
      <c r="A127" s="89" t="s">
        <v>369</v>
      </c>
    </row>
    <row r="128" spans="1:1">
      <c r="A128" s="89" t="s">
        <v>339</v>
      </c>
    </row>
    <row r="129" spans="1:1">
      <c r="A129" s="89" t="s">
        <v>210</v>
      </c>
    </row>
    <row r="130" spans="1:1">
      <c r="A130" s="89" t="s">
        <v>387</v>
      </c>
    </row>
    <row r="131" spans="1:1">
      <c r="A131" s="89" t="s">
        <v>378</v>
      </c>
    </row>
    <row r="132" spans="1:1">
      <c r="A132" s="89" t="s">
        <v>405</v>
      </c>
    </row>
    <row r="133" spans="1:1">
      <c r="A133" s="89" t="s">
        <v>340</v>
      </c>
    </row>
    <row r="134" spans="1:1">
      <c r="A134" s="89" t="s">
        <v>371</v>
      </c>
    </row>
    <row r="135" spans="1:1">
      <c r="A135" s="89" t="s">
        <v>302</v>
      </c>
    </row>
    <row r="136" spans="1:1">
      <c r="A136" s="89" t="s">
        <v>419</v>
      </c>
    </row>
    <row r="137" spans="1:1">
      <c r="A137" s="89" t="s">
        <v>394</v>
      </c>
    </row>
    <row r="138" spans="1:1">
      <c r="A138" s="89" t="s">
        <v>143</v>
      </c>
    </row>
    <row r="139" spans="1:1">
      <c r="A139" s="89" t="s">
        <v>235</v>
      </c>
    </row>
    <row r="140" spans="1:1">
      <c r="A140" s="89" t="s">
        <v>374</v>
      </c>
    </row>
    <row r="141" spans="1:1">
      <c r="A141" s="89" t="s">
        <v>231</v>
      </c>
    </row>
    <row r="142" spans="1:1">
      <c r="A142" s="89" t="s">
        <v>279</v>
      </c>
    </row>
    <row r="143" spans="1:1">
      <c r="A143" s="89" t="s">
        <v>404</v>
      </c>
    </row>
    <row r="144" spans="1:1">
      <c r="A144" s="89" t="s">
        <v>292</v>
      </c>
    </row>
    <row r="145" spans="1:1">
      <c r="A145" s="89" t="s">
        <v>331</v>
      </c>
    </row>
    <row r="146" spans="1:1">
      <c r="A146" s="89" t="s">
        <v>446</v>
      </c>
    </row>
    <row r="147" spans="1:1">
      <c r="A147" s="89" t="s">
        <v>350</v>
      </c>
    </row>
    <row r="148" spans="1:1">
      <c r="A148" s="89" t="s">
        <v>198</v>
      </c>
    </row>
    <row r="149" spans="1:1">
      <c r="A149" s="89" t="s">
        <v>163</v>
      </c>
    </row>
    <row r="150" spans="1:1">
      <c r="A150" s="89" t="s">
        <v>145</v>
      </c>
    </row>
    <row r="151" spans="1:1">
      <c r="A151" s="89" t="s">
        <v>428</v>
      </c>
    </row>
    <row r="152" spans="1:1">
      <c r="A152" s="89" t="s">
        <v>396</v>
      </c>
    </row>
    <row r="153" spans="1:1">
      <c r="A153" s="89" t="s">
        <v>320</v>
      </c>
    </row>
    <row r="154" spans="1:1">
      <c r="A154" s="89" t="s">
        <v>304</v>
      </c>
    </row>
    <row r="155" spans="1:1">
      <c r="A155" s="89" t="s">
        <v>267</v>
      </c>
    </row>
    <row r="156" spans="1:1">
      <c r="A156" s="89" t="s">
        <v>390</v>
      </c>
    </row>
    <row r="157" spans="1:1">
      <c r="A157" s="89" t="s">
        <v>332</v>
      </c>
    </row>
    <row r="158" spans="1:1">
      <c r="A158" s="89" t="s">
        <v>189</v>
      </c>
    </row>
    <row r="159" spans="1:1">
      <c r="A159" s="89" t="s">
        <v>385</v>
      </c>
    </row>
    <row r="160" spans="1:1">
      <c r="A160" s="89" t="s">
        <v>377</v>
      </c>
    </row>
    <row r="161" spans="1:1">
      <c r="A161" s="89" t="s">
        <v>479</v>
      </c>
    </row>
    <row r="162" spans="1:1">
      <c r="A162" s="89" t="s">
        <v>268</v>
      </c>
    </row>
    <row r="163" spans="1:1">
      <c r="A163" s="89" t="s">
        <v>194</v>
      </c>
    </row>
    <row r="164" spans="1:1">
      <c r="A164" s="89" t="s">
        <v>200</v>
      </c>
    </row>
    <row r="165" spans="1:1">
      <c r="A165" s="89" t="s">
        <v>424</v>
      </c>
    </row>
    <row r="166" spans="1:1">
      <c r="A166" s="89" t="s">
        <v>337</v>
      </c>
    </row>
    <row r="167" spans="1:1">
      <c r="A167" s="89" t="s">
        <v>384</v>
      </c>
    </row>
    <row r="168" spans="1:1">
      <c r="A168" s="89" t="s">
        <v>401</v>
      </c>
    </row>
    <row r="169" spans="1:1">
      <c r="A169" s="89" t="s">
        <v>130</v>
      </c>
    </row>
    <row r="170" spans="1:1">
      <c r="A170" s="89" t="s">
        <v>477</v>
      </c>
    </row>
    <row r="171" spans="1:1">
      <c r="A171" s="89" t="s">
        <v>480</v>
      </c>
    </row>
    <row r="172" spans="1:1">
      <c r="A172" s="89" t="s">
        <v>252</v>
      </c>
    </row>
    <row r="173" spans="1:1">
      <c r="A173" s="89" t="s">
        <v>323</v>
      </c>
    </row>
    <row r="174" spans="1:1">
      <c r="A174" s="89" t="s">
        <v>215</v>
      </c>
    </row>
    <row r="175" spans="1:1">
      <c r="A175" s="89" t="s">
        <v>473</v>
      </c>
    </row>
    <row r="176" spans="1:1">
      <c r="A176" s="89" t="s">
        <v>399</v>
      </c>
    </row>
    <row r="177" spans="1:1">
      <c r="A177" s="89" t="s">
        <v>464</v>
      </c>
    </row>
    <row r="178" spans="1:1">
      <c r="A178" s="89" t="s">
        <v>349</v>
      </c>
    </row>
    <row r="179" spans="1:1">
      <c r="A179" s="89" t="s">
        <v>264</v>
      </c>
    </row>
    <row r="180" spans="1:1">
      <c r="A180" s="89" t="s">
        <v>153</v>
      </c>
    </row>
    <row r="181" spans="1:1">
      <c r="A181" s="89" t="s">
        <v>403</v>
      </c>
    </row>
    <row r="182" spans="1:1">
      <c r="A182" s="89" t="s">
        <v>328</v>
      </c>
    </row>
    <row r="183" spans="1:1">
      <c r="A183" s="89" t="s">
        <v>309</v>
      </c>
    </row>
    <row r="184" spans="1:1">
      <c r="A184" s="89" t="s">
        <v>164</v>
      </c>
    </row>
    <row r="185" spans="1:1">
      <c r="A185" s="89" t="s">
        <v>240</v>
      </c>
    </row>
    <row r="186" spans="1:1">
      <c r="A186" s="89" t="s">
        <v>184</v>
      </c>
    </row>
    <row r="187" spans="1:1">
      <c r="A187" s="89" t="s">
        <v>254</v>
      </c>
    </row>
    <row r="188" spans="1:1">
      <c r="A188" s="89" t="s">
        <v>354</v>
      </c>
    </row>
    <row r="189" spans="1:1">
      <c r="A189" s="89" t="s">
        <v>274</v>
      </c>
    </row>
    <row r="190" spans="1:1">
      <c r="A190" s="89" t="s">
        <v>156</v>
      </c>
    </row>
    <row r="191" spans="1:1">
      <c r="A191" s="89" t="s">
        <v>183</v>
      </c>
    </row>
    <row r="192" spans="1:1">
      <c r="A192" s="89" t="s">
        <v>375</v>
      </c>
    </row>
    <row r="193" spans="1:1">
      <c r="A193" s="89" t="s">
        <v>191</v>
      </c>
    </row>
    <row r="194" spans="1:1">
      <c r="A194" s="89" t="s">
        <v>236</v>
      </c>
    </row>
    <row r="195" spans="1:1">
      <c r="A195" s="89" t="s">
        <v>95</v>
      </c>
    </row>
    <row r="196" spans="1:1">
      <c r="A196" s="89" t="s">
        <v>416</v>
      </c>
    </row>
    <row r="197" spans="1:1">
      <c r="A197" s="89" t="s">
        <v>258</v>
      </c>
    </row>
    <row r="198" spans="1:1">
      <c r="A198" s="89" t="s">
        <v>170</v>
      </c>
    </row>
    <row r="199" spans="1:1">
      <c r="A199" s="89" t="s">
        <v>216</v>
      </c>
    </row>
    <row r="200" spans="1:1">
      <c r="A200" s="89" t="s">
        <v>338</v>
      </c>
    </row>
    <row r="201" spans="1:1">
      <c r="A201" s="89" t="s">
        <v>186</v>
      </c>
    </row>
    <row r="202" spans="1:1">
      <c r="A202" s="89" t="s">
        <v>436</v>
      </c>
    </row>
    <row r="203" spans="1:1">
      <c r="A203" s="89" t="s">
        <v>160</v>
      </c>
    </row>
    <row r="204" spans="1:1">
      <c r="A204" s="89" t="s">
        <v>324</v>
      </c>
    </row>
    <row r="205" spans="1:1">
      <c r="A205" s="89" t="s">
        <v>72</v>
      </c>
    </row>
    <row r="206" spans="1:1">
      <c r="A206" s="89" t="s">
        <v>111</v>
      </c>
    </row>
    <row r="207" spans="1:1">
      <c r="A207" s="89" t="s">
        <v>199</v>
      </c>
    </row>
    <row r="208" spans="1:1">
      <c r="A208" s="89" t="s">
        <v>318</v>
      </c>
    </row>
    <row r="209" spans="1:1">
      <c r="A209" s="89" t="s">
        <v>278</v>
      </c>
    </row>
    <row r="210" spans="1:1">
      <c r="A210" s="89" t="s">
        <v>238</v>
      </c>
    </row>
    <row r="211" spans="1:1">
      <c r="A211" s="89" t="s">
        <v>296</v>
      </c>
    </row>
    <row r="212" spans="1:1">
      <c r="A212" s="89" t="s">
        <v>174</v>
      </c>
    </row>
    <row r="213" spans="1:1">
      <c r="A213" s="89" t="s">
        <v>70</v>
      </c>
    </row>
    <row r="214" spans="1:1">
      <c r="A214" s="89" t="s">
        <v>222</v>
      </c>
    </row>
    <row r="215" spans="1:1">
      <c r="A215" s="89" t="s">
        <v>275</v>
      </c>
    </row>
    <row r="216" spans="1:1">
      <c r="A216" s="89" t="s">
        <v>171</v>
      </c>
    </row>
    <row r="217" spans="1:1">
      <c r="A217" s="89" t="s">
        <v>152</v>
      </c>
    </row>
    <row r="218" spans="1:1">
      <c r="A218" s="89" t="s">
        <v>207</v>
      </c>
    </row>
    <row r="219" spans="1:1">
      <c r="A219" s="89" t="s">
        <v>353</v>
      </c>
    </row>
    <row r="220" spans="1:1">
      <c r="A220" s="89" t="s">
        <v>241</v>
      </c>
    </row>
    <row r="221" spans="1:1">
      <c r="A221" s="89" t="s">
        <v>247</v>
      </c>
    </row>
    <row r="222" spans="1:1">
      <c r="A222" s="89" t="s">
        <v>206</v>
      </c>
    </row>
    <row r="223" spans="1:1">
      <c r="A223" s="89" t="s">
        <v>330</v>
      </c>
    </row>
    <row r="224" spans="1:1">
      <c r="A224" s="89" t="s">
        <v>273</v>
      </c>
    </row>
    <row r="225" spans="1:1">
      <c r="A225" s="89" t="s">
        <v>359</v>
      </c>
    </row>
    <row r="226" spans="1:1">
      <c r="A226" s="89" t="s">
        <v>346</v>
      </c>
    </row>
    <row r="227" spans="1:1">
      <c r="A227" s="89" t="s">
        <v>461</v>
      </c>
    </row>
    <row r="228" spans="1:1">
      <c r="A228" s="89" t="s">
        <v>411</v>
      </c>
    </row>
    <row r="229" spans="1:1">
      <c r="A229" s="89" t="s">
        <v>185</v>
      </c>
    </row>
    <row r="230" spans="1:1">
      <c r="A230" s="89" t="s">
        <v>261</v>
      </c>
    </row>
    <row r="231" spans="1:1">
      <c r="A231" s="89" t="s">
        <v>180</v>
      </c>
    </row>
    <row r="232" spans="1:1">
      <c r="A232" s="89" t="s">
        <v>201</v>
      </c>
    </row>
    <row r="233" spans="1:1">
      <c r="A233" s="89" t="s">
        <v>203</v>
      </c>
    </row>
    <row r="234" spans="1:1">
      <c r="A234" s="89" t="s">
        <v>270</v>
      </c>
    </row>
    <row r="235" spans="1:1">
      <c r="A235" s="89" t="s">
        <v>237</v>
      </c>
    </row>
    <row r="236" spans="1:1">
      <c r="A236" s="89" t="s">
        <v>228</v>
      </c>
    </row>
    <row r="237" spans="1:1">
      <c r="A237" s="89" t="s">
        <v>225</v>
      </c>
    </row>
    <row r="238" spans="1:1">
      <c r="A238" s="89" t="s">
        <v>188</v>
      </c>
    </row>
    <row r="239" spans="1:1">
      <c r="A239" s="89" t="s">
        <v>432</v>
      </c>
    </row>
    <row r="240" spans="1:1">
      <c r="A240" s="89" t="s">
        <v>182</v>
      </c>
    </row>
    <row r="241" spans="1:1">
      <c r="A241" s="89" t="s">
        <v>312</v>
      </c>
    </row>
    <row r="242" spans="1:1">
      <c r="A242" s="89" t="s">
        <v>316</v>
      </c>
    </row>
    <row r="243" spans="1:1">
      <c r="A243" s="89" t="s">
        <v>187</v>
      </c>
    </row>
    <row r="244" spans="1:1">
      <c r="A244" s="89" t="s">
        <v>439</v>
      </c>
    </row>
    <row r="245" spans="1:1">
      <c r="A245" s="89" t="s">
        <v>133</v>
      </c>
    </row>
    <row r="246" spans="1:1">
      <c r="A246" s="89" t="s">
        <v>429</v>
      </c>
    </row>
    <row r="247" spans="1:1">
      <c r="A247" s="89" t="s">
        <v>291</v>
      </c>
    </row>
    <row r="248" spans="1:1">
      <c r="A248" s="89" t="s">
        <v>243</v>
      </c>
    </row>
    <row r="249" spans="1:1">
      <c r="A249" s="89" t="s">
        <v>344</v>
      </c>
    </row>
    <row r="250" spans="1:1">
      <c r="A250" s="89" t="s">
        <v>363</v>
      </c>
    </row>
    <row r="251" spans="1:1">
      <c r="A251" s="89" t="s">
        <v>322</v>
      </c>
    </row>
    <row r="252" spans="1:1">
      <c r="A252" s="89" t="s">
        <v>176</v>
      </c>
    </row>
    <row r="253" spans="1:1">
      <c r="A253" s="89" t="s">
        <v>265</v>
      </c>
    </row>
    <row r="254" spans="1:1">
      <c r="A254" s="89" t="s">
        <v>244</v>
      </c>
    </row>
    <row r="255" spans="1:1">
      <c r="A255" s="89" t="s">
        <v>131</v>
      </c>
    </row>
    <row r="256" spans="1:1">
      <c r="A256" s="89" t="s">
        <v>134</v>
      </c>
    </row>
    <row r="257" spans="1:1">
      <c r="A257" s="89" t="s">
        <v>242</v>
      </c>
    </row>
    <row r="258" spans="1:1">
      <c r="A258" s="89" t="s">
        <v>680</v>
      </c>
    </row>
    <row r="259" spans="1:1">
      <c r="A259" s="89" t="s">
        <v>288</v>
      </c>
    </row>
    <row r="260" spans="1:1">
      <c r="A260" s="89" t="s">
        <v>367</v>
      </c>
    </row>
    <row r="261" spans="1:1">
      <c r="A261" s="89" t="s">
        <v>211</v>
      </c>
    </row>
    <row r="262" spans="1:1">
      <c r="A262" s="89" t="s">
        <v>315</v>
      </c>
    </row>
    <row r="263" spans="1:1">
      <c r="A263" s="89" t="s">
        <v>173</v>
      </c>
    </row>
    <row r="264" spans="1:1">
      <c r="A264" s="89" t="s">
        <v>475</v>
      </c>
    </row>
    <row r="265" spans="1:1">
      <c r="A265" s="89" t="s">
        <v>448</v>
      </c>
    </row>
    <row r="266" spans="1:1">
      <c r="A266" s="89" t="s">
        <v>286</v>
      </c>
    </row>
    <row r="267" spans="1:1">
      <c r="A267" s="89" t="s">
        <v>407</v>
      </c>
    </row>
    <row r="268" spans="1:1">
      <c r="A268" s="89" t="s">
        <v>382</v>
      </c>
    </row>
    <row r="269" spans="1:1">
      <c r="A269" s="89" t="s">
        <v>250</v>
      </c>
    </row>
    <row r="270" spans="1:1">
      <c r="A270" s="89" t="s">
        <v>434</v>
      </c>
    </row>
    <row r="271" spans="1:1">
      <c r="A271" s="89" t="s">
        <v>277</v>
      </c>
    </row>
    <row r="272" spans="1:1">
      <c r="A272" s="89" t="s">
        <v>451</v>
      </c>
    </row>
    <row r="273" spans="1:1">
      <c r="A273" s="89" t="s">
        <v>313</v>
      </c>
    </row>
    <row r="274" spans="1:1">
      <c r="A274" s="89" t="s">
        <v>218</v>
      </c>
    </row>
    <row r="275" spans="1:1">
      <c r="A275" s="89" t="s">
        <v>308</v>
      </c>
    </row>
    <row r="276" spans="1:1">
      <c r="A276" s="89" t="s">
        <v>120</v>
      </c>
    </row>
    <row r="277" spans="1:1">
      <c r="A277" s="89" t="s">
        <v>197</v>
      </c>
    </row>
    <row r="278" spans="1:1">
      <c r="A278" s="89" t="s">
        <v>61</v>
      </c>
    </row>
    <row r="279" spans="1:1">
      <c r="A279" s="89" t="s">
        <v>484</v>
      </c>
    </row>
    <row r="280" spans="1:1">
      <c r="A280" s="89" t="s">
        <v>301</v>
      </c>
    </row>
    <row r="281" spans="1:1">
      <c r="A281" s="89" t="s">
        <v>220</v>
      </c>
    </row>
    <row r="282" spans="1:1">
      <c r="A282" s="89" t="s">
        <v>248</v>
      </c>
    </row>
    <row r="283" spans="1:1">
      <c r="A283" s="89" t="s">
        <v>89</v>
      </c>
    </row>
    <row r="284" spans="1:1">
      <c r="A284" s="89" t="s">
        <v>196</v>
      </c>
    </row>
    <row r="285" spans="1:1">
      <c r="A285" s="89" t="s">
        <v>443</v>
      </c>
    </row>
    <row r="286" spans="1:1">
      <c r="A286" s="89" t="s">
        <v>260</v>
      </c>
    </row>
    <row r="287" spans="1:1">
      <c r="A287" s="89" t="s">
        <v>449</v>
      </c>
    </row>
    <row r="288" spans="1:1">
      <c r="A288" s="89" t="s">
        <v>193</v>
      </c>
    </row>
    <row r="289" spans="1:1">
      <c r="A289" s="89" t="s">
        <v>364</v>
      </c>
    </row>
    <row r="290" spans="1:1">
      <c r="A290" s="89" t="s">
        <v>272</v>
      </c>
    </row>
    <row r="291" spans="1:1">
      <c r="A291" s="89" t="s">
        <v>431</v>
      </c>
    </row>
    <row r="292" spans="1:1">
      <c r="A292" s="89" t="s">
        <v>224</v>
      </c>
    </row>
    <row r="293" spans="1:1">
      <c r="A293" s="89" t="s">
        <v>395</v>
      </c>
    </row>
    <row r="294" spans="1:1">
      <c r="A294" s="89" t="s">
        <v>159</v>
      </c>
    </row>
    <row r="295" spans="1:1">
      <c r="A295" s="89" t="s">
        <v>157</v>
      </c>
    </row>
    <row r="296" spans="1:1">
      <c r="A296" s="89" t="s">
        <v>335</v>
      </c>
    </row>
    <row r="297" spans="1:1">
      <c r="A297" s="89" t="s">
        <v>168</v>
      </c>
    </row>
    <row r="298" spans="1:1">
      <c r="A298" s="89" t="s">
        <v>471</v>
      </c>
    </row>
    <row r="299" spans="1:1">
      <c r="A299" s="89" t="s">
        <v>379</v>
      </c>
    </row>
    <row r="300" spans="1:1">
      <c r="A300" s="89" t="s">
        <v>103</v>
      </c>
    </row>
    <row r="301" spans="1:1">
      <c r="A301" s="89" t="s">
        <v>410</v>
      </c>
    </row>
    <row r="302" spans="1:1">
      <c r="A302" s="89" t="s">
        <v>287</v>
      </c>
    </row>
    <row r="303" spans="1:1">
      <c r="A303" s="89" t="s">
        <v>214</v>
      </c>
    </row>
    <row r="304" spans="1:1">
      <c r="A304" s="89" t="s">
        <v>305</v>
      </c>
    </row>
    <row r="305" spans="1:1">
      <c r="A305" s="89" t="s">
        <v>319</v>
      </c>
    </row>
    <row r="306" spans="1:1">
      <c r="A306" s="89" t="s">
        <v>303</v>
      </c>
    </row>
    <row r="307" spans="1:1">
      <c r="A307" s="89" t="s">
        <v>314</v>
      </c>
    </row>
    <row r="308" spans="1:1">
      <c r="A308" s="89" t="s">
        <v>195</v>
      </c>
    </row>
    <row r="309" spans="1:1">
      <c r="A309" s="89" t="s">
        <v>414</v>
      </c>
    </row>
    <row r="310" spans="1:1">
      <c r="A310" s="89" t="s">
        <v>181</v>
      </c>
    </row>
    <row r="311" spans="1:1">
      <c r="A311" s="89" t="s">
        <v>132</v>
      </c>
    </row>
    <row r="312" spans="1:1">
      <c r="A312" s="89" t="s">
        <v>217</v>
      </c>
    </row>
    <row r="313" spans="1:1">
      <c r="A313" s="89" t="s">
        <v>366</v>
      </c>
    </row>
    <row r="314" spans="1:1">
      <c r="A314" s="89" t="s">
        <v>311</v>
      </c>
    </row>
    <row r="315" spans="1:1">
      <c r="A315" s="89" t="s">
        <v>169</v>
      </c>
    </row>
    <row r="316" spans="1:1">
      <c r="A316" s="89" t="s">
        <v>306</v>
      </c>
    </row>
    <row r="317" spans="1:1">
      <c r="A317" s="89" t="s">
        <v>466</v>
      </c>
    </row>
    <row r="318" spans="1:1">
      <c r="A318" s="89" t="s">
        <v>417</v>
      </c>
    </row>
    <row r="319" spans="1:1">
      <c r="A319" s="89" t="s">
        <v>476</v>
      </c>
    </row>
    <row r="320" spans="1:1">
      <c r="A320" s="89" t="s">
        <v>223</v>
      </c>
    </row>
    <row r="321" spans="1:1">
      <c r="A321" s="89" t="s">
        <v>481</v>
      </c>
    </row>
    <row r="322" spans="1:1">
      <c r="A322" s="89" t="s">
        <v>482</v>
      </c>
    </row>
    <row r="323" spans="1:1">
      <c r="A323" s="89" t="s">
        <v>299</v>
      </c>
    </row>
    <row r="324" spans="1:1">
      <c r="A324" s="89" t="s">
        <v>124</v>
      </c>
    </row>
    <row r="325" spans="1:1">
      <c r="A325" s="89" t="s">
        <v>485</v>
      </c>
    </row>
    <row r="326" spans="1:1">
      <c r="A326" s="89" t="s">
        <v>55</v>
      </c>
    </row>
    <row r="327" spans="1:1">
      <c r="A327" s="89" t="s">
        <v>408</v>
      </c>
    </row>
    <row r="328" spans="1:1">
      <c r="A328" s="89" t="s">
        <v>245</v>
      </c>
    </row>
    <row r="329" spans="1:1">
      <c r="A329" s="89" t="s">
        <v>386</v>
      </c>
    </row>
    <row r="330" spans="1:1">
      <c r="A330" s="89" t="s">
        <v>368</v>
      </c>
    </row>
    <row r="331" spans="1:1">
      <c r="A331" s="89" t="s">
        <v>239</v>
      </c>
    </row>
    <row r="332" spans="1:1">
      <c r="A332" s="89" t="s">
        <v>430</v>
      </c>
    </row>
    <row r="333" spans="1:1">
      <c r="A333" s="89" t="s">
        <v>121</v>
      </c>
    </row>
    <row r="334" spans="1:1">
      <c r="A334" s="89" t="s">
        <v>230</v>
      </c>
    </row>
    <row r="335" spans="1:1">
      <c r="A335" s="89" t="s">
        <v>175</v>
      </c>
    </row>
    <row r="336" spans="1:1">
      <c r="A336" s="89" t="s">
        <v>219</v>
      </c>
    </row>
    <row r="337" spans="1:1">
      <c r="A337" s="89" t="s">
        <v>190</v>
      </c>
    </row>
    <row r="338" spans="1:1">
      <c r="A338" s="89" t="s">
        <v>167</v>
      </c>
    </row>
    <row r="339" spans="1:1">
      <c r="A339" s="89" t="s">
        <v>348</v>
      </c>
    </row>
    <row r="340" spans="1:1">
      <c r="A340" s="89" t="s">
        <v>457</v>
      </c>
    </row>
    <row r="341" spans="1:1">
      <c r="A341" s="89" t="s">
        <v>165</v>
      </c>
    </row>
    <row r="342" spans="1:1">
      <c r="A342" s="89" t="s">
        <v>298</v>
      </c>
    </row>
    <row r="343" spans="1:1">
      <c r="A343" s="89" t="s">
        <v>294</v>
      </c>
    </row>
    <row r="344" spans="1:1">
      <c r="A344" s="89" t="s">
        <v>293</v>
      </c>
    </row>
    <row r="345" spans="1:1">
      <c r="A345" s="89" t="s">
        <v>317</v>
      </c>
    </row>
    <row r="346" spans="1:1">
      <c r="A346" s="89" t="s">
        <v>389</v>
      </c>
    </row>
    <row r="347" spans="1:1">
      <c r="A347" s="89" t="s">
        <v>282</v>
      </c>
    </row>
    <row r="348" spans="1:1">
      <c r="A348" s="89" t="s">
        <v>256</v>
      </c>
    </row>
    <row r="349" spans="1:1">
      <c r="A349" s="89" t="s">
        <v>255</v>
      </c>
    </row>
    <row r="350" spans="1:1">
      <c r="A350" s="89" t="s">
        <v>147</v>
      </c>
    </row>
    <row r="351" spans="1:1">
      <c r="A351" s="89" t="s">
        <v>356</v>
      </c>
    </row>
    <row r="352" spans="1:1">
      <c r="A352" s="89" t="s">
        <v>69</v>
      </c>
    </row>
    <row r="353" spans="1:1">
      <c r="A353" s="89" t="s">
        <v>166</v>
      </c>
    </row>
    <row r="354" spans="1:1">
      <c r="A354" s="89" t="s">
        <v>421</v>
      </c>
    </row>
    <row r="355" spans="1:1">
      <c r="A355" s="89" t="s">
        <v>262</v>
      </c>
    </row>
    <row r="356" spans="1:1">
      <c r="A356" s="89" t="s">
        <v>326</v>
      </c>
    </row>
    <row r="357" spans="1:1">
      <c r="A357" s="89" t="s">
        <v>137</v>
      </c>
    </row>
    <row r="358" spans="1:1">
      <c r="A358" s="89" t="s">
        <v>234</v>
      </c>
    </row>
    <row r="359" spans="1:1">
      <c r="A359" s="89" t="s">
        <v>81</v>
      </c>
    </row>
    <row r="360" spans="1:1">
      <c r="A360" s="89" t="s">
        <v>327</v>
      </c>
    </row>
    <row r="361" spans="1:1">
      <c r="A361" s="89" t="s">
        <v>357</v>
      </c>
    </row>
    <row r="362" spans="1:1">
      <c r="A362" s="89" t="s">
        <v>212</v>
      </c>
    </row>
    <row r="363" spans="1:1">
      <c r="A363" s="89" t="s">
        <v>100</v>
      </c>
    </row>
    <row r="364" spans="1:1">
      <c r="A364" s="89" t="s">
        <v>148</v>
      </c>
    </row>
    <row r="365" spans="1:1">
      <c r="A365" s="90" t="s">
        <v>669</v>
      </c>
    </row>
    <row r="366" spans="1:1">
      <c r="A366" s="24"/>
    </row>
    <row r="367" spans="1:1">
      <c r="A367" s="24"/>
    </row>
    <row r="368" spans="1:1">
      <c r="A368" s="24"/>
    </row>
    <row r="369" spans="1:1">
      <c r="A369" s="24"/>
    </row>
    <row r="370" spans="1:1">
      <c r="A370" s="24"/>
    </row>
    <row r="371" spans="1:1">
      <c r="A371" s="24"/>
    </row>
    <row r="372" spans="1:1">
      <c r="A372" s="24"/>
    </row>
    <row r="373" spans="1:1">
      <c r="A373" s="24"/>
    </row>
    <row r="374" spans="1:1">
      <c r="A374" s="24"/>
    </row>
    <row r="375" spans="1:1">
      <c r="A375" s="24"/>
    </row>
    <row r="376" spans="1:1">
      <c r="A376" s="24"/>
    </row>
    <row r="377" spans="1:1">
      <c r="A377" s="24"/>
    </row>
    <row r="378" spans="1:1">
      <c r="A378" s="24"/>
    </row>
    <row r="379" spans="1:1">
      <c r="A379" s="24"/>
    </row>
    <row r="380" spans="1:1">
      <c r="A380" s="24"/>
    </row>
    <row r="381" spans="1:1">
      <c r="A381" s="24"/>
    </row>
    <row r="382" spans="1:1">
      <c r="A382" s="24"/>
    </row>
    <row r="383" spans="1:1">
      <c r="A383" s="24"/>
    </row>
    <row r="384" spans="1:1">
      <c r="A384" s="24"/>
    </row>
    <row r="385" spans="1:1">
      <c r="A385" s="24"/>
    </row>
    <row r="386" spans="1:1">
      <c r="A386" s="24"/>
    </row>
    <row r="387" spans="1:1">
      <c r="A387" s="24"/>
    </row>
    <row r="388" spans="1:1">
      <c r="A388" s="24"/>
    </row>
    <row r="389" spans="1:1">
      <c r="A389" s="24"/>
    </row>
    <row r="390" spans="1:1">
      <c r="A390" s="24"/>
    </row>
    <row r="391" spans="1:1">
      <c r="A391" s="24"/>
    </row>
    <row r="392" spans="1:1">
      <c r="A392" s="24"/>
    </row>
    <row r="393" spans="1:1">
      <c r="A393" s="24"/>
    </row>
    <row r="394" spans="1:1">
      <c r="A394" s="24"/>
    </row>
    <row r="395" spans="1:1">
      <c r="A395" s="24"/>
    </row>
    <row r="396" spans="1:1">
      <c r="A396" s="24"/>
    </row>
    <row r="397" spans="1:1">
      <c r="A397" s="24"/>
    </row>
    <row r="398" spans="1:1">
      <c r="A398" s="24"/>
    </row>
    <row r="399" spans="1:1">
      <c r="A399" s="24"/>
    </row>
    <row r="400" spans="1:1">
      <c r="A400" s="24"/>
    </row>
    <row r="401" spans="1:1">
      <c r="A401" s="24"/>
    </row>
    <row r="402" spans="1:1">
      <c r="A402" s="24"/>
    </row>
    <row r="403" spans="1:1">
      <c r="A403" s="24"/>
    </row>
    <row r="404" spans="1:1">
      <c r="A404" s="24"/>
    </row>
    <row r="405" spans="1:1">
      <c r="A405" s="24"/>
    </row>
    <row r="406" spans="1:1">
      <c r="A406" s="24"/>
    </row>
    <row r="407" spans="1:1">
      <c r="A407" s="24"/>
    </row>
    <row r="408" spans="1:1">
      <c r="A408" s="24"/>
    </row>
    <row r="409" spans="1:1">
      <c r="A409" s="24"/>
    </row>
    <row r="410" spans="1:1">
      <c r="A410" s="24"/>
    </row>
    <row r="411" spans="1:1">
      <c r="A411" s="24"/>
    </row>
    <row r="412" spans="1:1">
      <c r="A412" s="24"/>
    </row>
    <row r="413" spans="1:1">
      <c r="A413" s="24"/>
    </row>
    <row r="414" spans="1:1">
      <c r="A414" s="24"/>
    </row>
    <row r="415" spans="1:1">
      <c r="A415" s="24"/>
    </row>
    <row r="416" spans="1:1">
      <c r="A416" s="24"/>
    </row>
    <row r="417" spans="1:1">
      <c r="A417" s="24"/>
    </row>
    <row r="418" spans="1:1">
      <c r="A418" s="24"/>
    </row>
    <row r="419" spans="1:1">
      <c r="A419" s="24"/>
    </row>
    <row r="420" spans="1:1">
      <c r="A420" s="24"/>
    </row>
    <row r="421" spans="1:1">
      <c r="A421" s="24"/>
    </row>
    <row r="422" spans="1:1">
      <c r="A422" s="24"/>
    </row>
    <row r="423" spans="1:1">
      <c r="A423" s="24"/>
    </row>
    <row r="424" spans="1:1">
      <c r="A424" s="24"/>
    </row>
    <row r="425" spans="1:1">
      <c r="A425" s="24"/>
    </row>
    <row r="426" spans="1:1">
      <c r="A426" s="24"/>
    </row>
    <row r="427" spans="1:1">
      <c r="A427" s="24"/>
    </row>
    <row r="428" spans="1:1">
      <c r="A428" s="24"/>
    </row>
    <row r="429" spans="1:1">
      <c r="A429" s="24"/>
    </row>
    <row r="430" spans="1:1">
      <c r="A430" s="24"/>
    </row>
    <row r="431" spans="1:1">
      <c r="A431" s="24"/>
    </row>
    <row r="432" spans="1:1">
      <c r="A432" s="24"/>
    </row>
    <row r="433" spans="1:1">
      <c r="A433" s="24"/>
    </row>
    <row r="434" spans="1:1">
      <c r="A434" s="24"/>
    </row>
    <row r="435" spans="1:1">
      <c r="A435" s="24"/>
    </row>
    <row r="436" spans="1:1">
      <c r="A436" s="24"/>
    </row>
    <row r="437" spans="1:1">
      <c r="A437" s="24"/>
    </row>
    <row r="438" spans="1:1">
      <c r="A438" s="24"/>
    </row>
    <row r="439" spans="1:1">
      <c r="A439" s="24"/>
    </row>
    <row r="440" spans="1:1">
      <c r="A440" s="24"/>
    </row>
    <row r="441" spans="1:1">
      <c r="A441" s="24"/>
    </row>
    <row r="442" spans="1:1">
      <c r="A442" s="24"/>
    </row>
    <row r="443" spans="1:1">
      <c r="A443" s="24"/>
    </row>
    <row r="444" spans="1:1">
      <c r="A444" s="24"/>
    </row>
    <row r="445" spans="1:1">
      <c r="A445" s="24"/>
    </row>
    <row r="446" spans="1:1">
      <c r="A446" s="24"/>
    </row>
    <row r="447" spans="1:1">
      <c r="A447" s="24"/>
    </row>
    <row r="448" spans="1:1">
      <c r="A448" s="24"/>
    </row>
    <row r="449" spans="1:1">
      <c r="A449" s="24"/>
    </row>
    <row r="450" spans="1:1">
      <c r="A450" s="24"/>
    </row>
    <row r="451" spans="1:1">
      <c r="A451" s="24"/>
    </row>
    <row r="452" spans="1:1">
      <c r="A452" s="24"/>
    </row>
    <row r="453" spans="1:1">
      <c r="A453" s="24"/>
    </row>
    <row r="454" spans="1:1">
      <c r="A454" s="24"/>
    </row>
    <row r="455" spans="1:1">
      <c r="A455" s="24"/>
    </row>
    <row r="456" spans="1:1">
      <c r="A456" s="24"/>
    </row>
    <row r="457" spans="1:1">
      <c r="A457" s="24"/>
    </row>
    <row r="458" spans="1:1">
      <c r="A458" s="24"/>
    </row>
    <row r="459" spans="1:1">
      <c r="A459" s="24"/>
    </row>
    <row r="460" spans="1:1">
      <c r="A460" s="24"/>
    </row>
    <row r="461" spans="1:1">
      <c r="A461" s="24"/>
    </row>
    <row r="462" spans="1:1">
      <c r="A462" s="24"/>
    </row>
    <row r="463" spans="1:1">
      <c r="A463" s="24"/>
    </row>
    <row r="464" spans="1:1">
      <c r="A464" s="24"/>
    </row>
    <row r="465" spans="1:1">
      <c r="A465" s="24"/>
    </row>
    <row r="466" spans="1:1">
      <c r="A466" s="24"/>
    </row>
    <row r="467" spans="1:1">
      <c r="A467" s="24"/>
    </row>
    <row r="468" spans="1:1">
      <c r="A468" s="24"/>
    </row>
    <row r="469" spans="1:1">
      <c r="A469" s="24"/>
    </row>
    <row r="470" spans="1:1">
      <c r="A470" s="24"/>
    </row>
    <row r="471" spans="1:1">
      <c r="A471" s="24"/>
    </row>
    <row r="472" spans="1:1">
      <c r="A472" s="24"/>
    </row>
    <row r="473" spans="1:1">
      <c r="A473" s="24"/>
    </row>
    <row r="474" spans="1:1">
      <c r="A474" s="24"/>
    </row>
    <row r="475" spans="1:1">
      <c r="A475" s="24"/>
    </row>
    <row r="476" spans="1:1">
      <c r="A476" s="24"/>
    </row>
    <row r="477" spans="1:1">
      <c r="A477" s="24"/>
    </row>
    <row r="478" spans="1:1">
      <c r="A478" s="24"/>
    </row>
    <row r="479" spans="1:1">
      <c r="A479" s="24"/>
    </row>
    <row r="480" spans="1:1">
      <c r="A480" s="24"/>
    </row>
    <row r="481" spans="1:1">
      <c r="A481" s="24"/>
    </row>
    <row r="482" spans="1:1">
      <c r="A482" s="24"/>
    </row>
    <row r="483" spans="1:1">
      <c r="A483" s="24"/>
    </row>
    <row r="484" spans="1:1">
      <c r="A484" s="24"/>
    </row>
    <row r="485" spans="1:1">
      <c r="A485" s="24"/>
    </row>
    <row r="486" spans="1:1">
      <c r="A486" s="24"/>
    </row>
    <row r="487" spans="1:1">
      <c r="A487" s="24"/>
    </row>
    <row r="488" spans="1:1">
      <c r="A488" s="24"/>
    </row>
    <row r="489" spans="1:1">
      <c r="A489" s="24"/>
    </row>
    <row r="490" spans="1:1">
      <c r="A490" s="24"/>
    </row>
    <row r="491" spans="1:1">
      <c r="A491" s="24"/>
    </row>
    <row r="492" spans="1:1">
      <c r="A492" s="24"/>
    </row>
    <row r="493" spans="1:1">
      <c r="A493" s="24"/>
    </row>
    <row r="494" spans="1:1">
      <c r="A494" s="24"/>
    </row>
    <row r="495" spans="1:1">
      <c r="A495" s="24"/>
    </row>
    <row r="496" spans="1:1">
      <c r="A496" s="24"/>
    </row>
    <row r="497" spans="1:1">
      <c r="A497" s="24"/>
    </row>
    <row r="498" spans="1:1">
      <c r="A498" s="24"/>
    </row>
    <row r="499" spans="1:1">
      <c r="A499" s="24"/>
    </row>
    <row r="500" spans="1:1">
      <c r="A500" s="24"/>
    </row>
    <row r="501" spans="1:1">
      <c r="A501" s="24"/>
    </row>
    <row r="502" spans="1:1">
      <c r="A502" s="24"/>
    </row>
    <row r="503" spans="1:1">
      <c r="A503" s="24"/>
    </row>
    <row r="504" spans="1:1">
      <c r="A504" s="24"/>
    </row>
    <row r="505" spans="1:1">
      <c r="A505" s="24"/>
    </row>
    <row r="506" spans="1:1">
      <c r="A506" s="24"/>
    </row>
    <row r="507" spans="1:1">
      <c r="A507" s="24"/>
    </row>
    <row r="508" spans="1:1">
      <c r="A508" s="24"/>
    </row>
    <row r="509" spans="1:1">
      <c r="A509" s="24"/>
    </row>
    <row r="510" spans="1:1">
      <c r="A510" s="24"/>
    </row>
    <row r="511" spans="1:1">
      <c r="A511" s="24"/>
    </row>
    <row r="512" spans="1:1">
      <c r="A512" s="24"/>
    </row>
    <row r="513" spans="1:1">
      <c r="A513" s="24"/>
    </row>
    <row r="514" spans="1:1">
      <c r="A514" s="24"/>
    </row>
    <row r="515" spans="1:1">
      <c r="A515" s="24"/>
    </row>
    <row r="516" spans="1:1">
      <c r="A516" s="24"/>
    </row>
    <row r="517" spans="1:1">
      <c r="A517" s="24"/>
    </row>
    <row r="518" spans="1:1">
      <c r="A518" s="24"/>
    </row>
    <row r="519" spans="1:1">
      <c r="A519" s="24"/>
    </row>
    <row r="520" spans="1:1">
      <c r="A520" s="24"/>
    </row>
    <row r="521" spans="1:1">
      <c r="A521" s="24"/>
    </row>
    <row r="522" spans="1:1">
      <c r="A522" s="24"/>
    </row>
    <row r="523" spans="1:1">
      <c r="A523" s="24"/>
    </row>
    <row r="524" spans="1:1">
      <c r="A524" s="24"/>
    </row>
    <row r="525" spans="1:1">
      <c r="A525" s="24"/>
    </row>
    <row r="526" spans="1:1">
      <c r="A526" s="24"/>
    </row>
    <row r="527" spans="1:1">
      <c r="A527" s="24"/>
    </row>
    <row r="528" spans="1:1">
      <c r="A528" s="24"/>
    </row>
    <row r="529" spans="1:1">
      <c r="A529" s="24"/>
    </row>
    <row r="530" spans="1:1">
      <c r="A530" s="24"/>
    </row>
    <row r="531" spans="1:1">
      <c r="A531" s="24"/>
    </row>
    <row r="532" spans="1:1">
      <c r="A532" s="24"/>
    </row>
    <row r="533" spans="1:1">
      <c r="A533" s="24"/>
    </row>
    <row r="534" spans="1:1">
      <c r="A534" s="24"/>
    </row>
    <row r="535" spans="1:1">
      <c r="A535" s="24"/>
    </row>
    <row r="536" spans="1:1">
      <c r="A536" s="24"/>
    </row>
    <row r="537" spans="1:1">
      <c r="A537" s="24"/>
    </row>
    <row r="538" spans="1:1">
      <c r="A538" s="24"/>
    </row>
    <row r="539" spans="1:1">
      <c r="A539" s="24"/>
    </row>
    <row r="540" spans="1:1">
      <c r="A540" s="24"/>
    </row>
    <row r="541" spans="1:1">
      <c r="A541" s="24"/>
    </row>
    <row r="542" spans="1:1">
      <c r="A542" s="24"/>
    </row>
    <row r="543" spans="1:1">
      <c r="A543" s="24"/>
    </row>
    <row r="544" spans="1:1">
      <c r="A544" s="24"/>
    </row>
    <row r="545" spans="1:1">
      <c r="A545" s="24"/>
    </row>
    <row r="546" spans="1:1">
      <c r="A546" s="24"/>
    </row>
    <row r="547" spans="1:1">
      <c r="A547" s="24"/>
    </row>
    <row r="548" spans="1:1">
      <c r="A548" s="24"/>
    </row>
    <row r="549" spans="1:1">
      <c r="A549" s="24"/>
    </row>
    <row r="550" spans="1:1">
      <c r="A550" s="24"/>
    </row>
    <row r="551" spans="1:1">
      <c r="A551" s="24"/>
    </row>
    <row r="552" spans="1:1">
      <c r="A552" s="24"/>
    </row>
    <row r="553" spans="1:1">
      <c r="A553" s="24"/>
    </row>
    <row r="554" spans="1:1">
      <c r="A554" s="24"/>
    </row>
    <row r="555" spans="1:1">
      <c r="A555" s="24"/>
    </row>
    <row r="556" spans="1:1">
      <c r="A556" s="24"/>
    </row>
    <row r="557" spans="1:1">
      <c r="A557" s="24"/>
    </row>
    <row r="558" spans="1:1">
      <c r="A558" s="24"/>
    </row>
    <row r="559" spans="1:1">
      <c r="A559" s="24"/>
    </row>
    <row r="560" spans="1:1">
      <c r="A560" s="24"/>
    </row>
    <row r="561" spans="1:1">
      <c r="A561" s="24"/>
    </row>
    <row r="562" spans="1:1">
      <c r="A562" s="24"/>
    </row>
    <row r="563" spans="1:1">
      <c r="A563" s="24"/>
    </row>
    <row r="564" spans="1:1">
      <c r="A564" s="24"/>
    </row>
    <row r="565" spans="1:1">
      <c r="A565" s="24"/>
    </row>
    <row r="566" spans="1:1">
      <c r="A566" s="24"/>
    </row>
    <row r="567" spans="1:1">
      <c r="A567" s="24"/>
    </row>
    <row r="568" spans="1:1">
      <c r="A568" s="24"/>
    </row>
    <row r="569" spans="1:1">
      <c r="A569" s="24"/>
    </row>
    <row r="570" spans="1:1">
      <c r="A570" s="24"/>
    </row>
    <row r="571" spans="1:1">
      <c r="A571" s="24"/>
    </row>
    <row r="572" spans="1:1">
      <c r="A572" s="24"/>
    </row>
    <row r="573" spans="1:1">
      <c r="A573" s="24"/>
    </row>
    <row r="574" spans="1:1">
      <c r="A574" s="24"/>
    </row>
    <row r="575" spans="1:1">
      <c r="A575" s="24"/>
    </row>
    <row r="576" spans="1:1">
      <c r="A576" s="24"/>
    </row>
    <row r="577" spans="1:1">
      <c r="A577" s="24"/>
    </row>
    <row r="578" spans="1:1">
      <c r="A578" s="24"/>
    </row>
    <row r="579" spans="1:1">
      <c r="A579" s="24"/>
    </row>
    <row r="580" spans="1:1">
      <c r="A580" s="24"/>
    </row>
    <row r="581" spans="1:1">
      <c r="A581" s="24"/>
    </row>
    <row r="582" spans="1:1">
      <c r="A582" s="24"/>
    </row>
    <row r="583" spans="1:1">
      <c r="A583" s="24"/>
    </row>
    <row r="584" spans="1:1">
      <c r="A584" s="24"/>
    </row>
    <row r="585" spans="1:1">
      <c r="A585" s="24"/>
    </row>
    <row r="586" spans="1:1">
      <c r="A586" s="24"/>
    </row>
    <row r="587" spans="1:1">
      <c r="A587" s="24"/>
    </row>
    <row r="588" spans="1:1">
      <c r="A588" s="24"/>
    </row>
    <row r="589" spans="1:1">
      <c r="A589" s="24"/>
    </row>
    <row r="590" spans="1:1">
      <c r="A590" s="24"/>
    </row>
    <row r="591" spans="1:1">
      <c r="A591" s="24"/>
    </row>
    <row r="592" spans="1:1">
      <c r="A592" s="24"/>
    </row>
    <row r="593" spans="1:1">
      <c r="A593" s="24"/>
    </row>
    <row r="594" spans="1:1">
      <c r="A594" s="24"/>
    </row>
    <row r="595" spans="1:1">
      <c r="A595" s="24"/>
    </row>
    <row r="596" spans="1:1">
      <c r="A596" s="24"/>
    </row>
    <row r="597" spans="1:1">
      <c r="A597" s="24"/>
    </row>
    <row r="598" spans="1:1">
      <c r="A598" s="24"/>
    </row>
    <row r="599" spans="1:1">
      <c r="A599" s="24"/>
    </row>
    <row r="600" spans="1:1">
      <c r="A600" s="24"/>
    </row>
    <row r="601" spans="1:1">
      <c r="A601" s="24"/>
    </row>
    <row r="602" spans="1:1">
      <c r="A602" s="24"/>
    </row>
    <row r="603" spans="1:1">
      <c r="A603" s="24"/>
    </row>
    <row r="604" spans="1:1">
      <c r="A604" s="24"/>
    </row>
    <row r="605" spans="1:1">
      <c r="A605" s="24"/>
    </row>
    <row r="606" spans="1:1">
      <c r="A606" s="24"/>
    </row>
    <row r="607" spans="1:1">
      <c r="A607" s="24"/>
    </row>
    <row r="608" spans="1:1">
      <c r="A608" s="24"/>
    </row>
    <row r="609" spans="1:1">
      <c r="A609" s="24"/>
    </row>
    <row r="610" spans="1:1">
      <c r="A610" s="24"/>
    </row>
    <row r="611" spans="1:1">
      <c r="A611" s="24"/>
    </row>
    <row r="612" spans="1:1">
      <c r="A612" s="24"/>
    </row>
    <row r="613" spans="1:1">
      <c r="A613" s="24"/>
    </row>
    <row r="614" spans="1:1">
      <c r="A614" s="24"/>
    </row>
    <row r="615" spans="1:1">
      <c r="A615" s="24"/>
    </row>
    <row r="616" spans="1:1">
      <c r="A616" s="24"/>
    </row>
    <row r="617" spans="1:1">
      <c r="A617" s="24"/>
    </row>
    <row r="618" spans="1:1">
      <c r="A618" s="24"/>
    </row>
    <row r="619" spans="1:1">
      <c r="A619" s="24"/>
    </row>
    <row r="620" spans="1:1">
      <c r="A620" s="24"/>
    </row>
    <row r="621" spans="1:1">
      <c r="A621" s="24"/>
    </row>
    <row r="622" spans="1:1">
      <c r="A622" s="24"/>
    </row>
    <row r="623" spans="1:1">
      <c r="A623" s="24"/>
    </row>
    <row r="624" spans="1:1">
      <c r="A624" s="24"/>
    </row>
    <row r="625" spans="1:1">
      <c r="A625" s="24"/>
    </row>
    <row r="626" spans="1:1">
      <c r="A626" s="24"/>
    </row>
    <row r="627" spans="1:1">
      <c r="A627" s="24"/>
    </row>
    <row r="628" spans="1:1">
      <c r="A628" s="24"/>
    </row>
    <row r="629" spans="1:1">
      <c r="A629" s="24"/>
    </row>
    <row r="630" spans="1:1">
      <c r="A630" s="24"/>
    </row>
    <row r="631" spans="1:1">
      <c r="A631" s="24"/>
    </row>
    <row r="632" spans="1:1">
      <c r="A632" s="24"/>
    </row>
    <row r="633" spans="1:1">
      <c r="A633" s="24"/>
    </row>
    <row r="634" spans="1:1">
      <c r="A634" s="24"/>
    </row>
    <row r="635" spans="1:1">
      <c r="A635" s="24"/>
    </row>
    <row r="636" spans="1:1">
      <c r="A636" s="24"/>
    </row>
    <row r="637" spans="1:1">
      <c r="A637" s="24"/>
    </row>
    <row r="638" spans="1:1">
      <c r="A638" s="24"/>
    </row>
    <row r="639" spans="1:1">
      <c r="A639" s="24"/>
    </row>
    <row r="640" spans="1:1">
      <c r="A640" s="24"/>
    </row>
    <row r="641" spans="1:1">
      <c r="A641" s="24"/>
    </row>
    <row r="642" spans="1:1">
      <c r="A642" s="24"/>
    </row>
    <row r="643" spans="1:1">
      <c r="A643" s="24"/>
    </row>
    <row r="644" spans="1:1">
      <c r="A644" s="24"/>
    </row>
    <row r="645" spans="1:1">
      <c r="A645" s="24"/>
    </row>
    <row r="646" spans="1:1">
      <c r="A646" s="24"/>
    </row>
    <row r="647" spans="1:1">
      <c r="A647" s="24"/>
    </row>
    <row r="648" spans="1:1">
      <c r="A648" s="24"/>
    </row>
    <row r="649" spans="1:1">
      <c r="A649" s="24"/>
    </row>
    <row r="650" spans="1:1">
      <c r="A650" s="24"/>
    </row>
    <row r="651" spans="1:1">
      <c r="A651" s="24"/>
    </row>
    <row r="652" spans="1:1">
      <c r="A652" s="24"/>
    </row>
    <row r="653" spans="1:1">
      <c r="A653" s="24"/>
    </row>
    <row r="654" spans="1:1">
      <c r="A654" s="24"/>
    </row>
    <row r="655" spans="1:1">
      <c r="A655" s="24"/>
    </row>
    <row r="656" spans="1:1">
      <c r="A656" s="24"/>
    </row>
    <row r="657" spans="1:1">
      <c r="A657" s="24"/>
    </row>
    <row r="658" spans="1:1">
      <c r="A658" s="24"/>
    </row>
    <row r="659" spans="1:1">
      <c r="A659" s="24"/>
    </row>
    <row r="660" spans="1:1">
      <c r="A660" s="24"/>
    </row>
    <row r="661" spans="1:1">
      <c r="A661" s="24"/>
    </row>
    <row r="662" spans="1:1">
      <c r="A662" s="24"/>
    </row>
    <row r="663" spans="1:1">
      <c r="A663" s="24"/>
    </row>
    <row r="664" spans="1:1">
      <c r="A664" s="24"/>
    </row>
    <row r="665" spans="1:1">
      <c r="A665" s="24"/>
    </row>
    <row r="666" spans="1:1">
      <c r="A666" s="24"/>
    </row>
    <row r="667" spans="1:1">
      <c r="A667" s="24"/>
    </row>
    <row r="668" spans="1:1">
      <c r="A668" s="24"/>
    </row>
    <row r="669" spans="1:1">
      <c r="A669" s="24"/>
    </row>
    <row r="670" spans="1:1">
      <c r="A670" s="24"/>
    </row>
    <row r="671" spans="1:1">
      <c r="A671" s="24"/>
    </row>
    <row r="672" spans="1:1">
      <c r="A672" s="24"/>
    </row>
    <row r="673" spans="1:1">
      <c r="A673" s="24"/>
    </row>
    <row r="674" spans="1:1">
      <c r="A674" s="24"/>
    </row>
    <row r="675" spans="1:1">
      <c r="A675" s="24"/>
    </row>
    <row r="676" spans="1:1">
      <c r="A676" s="24"/>
    </row>
    <row r="677" spans="1:1">
      <c r="A677" s="24"/>
    </row>
    <row r="678" spans="1:1">
      <c r="A678" s="24"/>
    </row>
    <row r="679" spans="1:1">
      <c r="A679" s="24"/>
    </row>
    <row r="680" spans="1:1">
      <c r="A680" s="24"/>
    </row>
    <row r="681" spans="1:1">
      <c r="A681" s="24"/>
    </row>
    <row r="682" spans="1:1">
      <c r="A682" s="24"/>
    </row>
    <row r="683" spans="1:1">
      <c r="A683" s="24"/>
    </row>
    <row r="684" spans="1:1">
      <c r="A684" s="24"/>
    </row>
    <row r="685" spans="1:1">
      <c r="A685" s="24"/>
    </row>
    <row r="686" spans="1:1">
      <c r="A686" s="24"/>
    </row>
    <row r="687" spans="1:1">
      <c r="A687" s="24"/>
    </row>
    <row r="688" spans="1:1">
      <c r="A688" s="24"/>
    </row>
    <row r="689" spans="1:1">
      <c r="A689" s="24"/>
    </row>
    <row r="690" spans="1:1">
      <c r="A690" s="24"/>
    </row>
    <row r="691" spans="1:1">
      <c r="A691" s="24"/>
    </row>
    <row r="692" spans="1:1">
      <c r="A692" s="24"/>
    </row>
    <row r="693" spans="1:1">
      <c r="A693" s="24"/>
    </row>
    <row r="694" spans="1:1">
      <c r="A694" s="24"/>
    </row>
    <row r="695" spans="1:1">
      <c r="A695" s="24"/>
    </row>
    <row r="696" spans="1:1">
      <c r="A696" s="24"/>
    </row>
    <row r="697" spans="1:1">
      <c r="A697" s="24"/>
    </row>
    <row r="698" spans="1:1">
      <c r="A698" s="24"/>
    </row>
    <row r="699" spans="1:1">
      <c r="A699" s="24"/>
    </row>
    <row r="700" spans="1:1">
      <c r="A700" s="24"/>
    </row>
    <row r="701" spans="1:1">
      <c r="A701" s="24"/>
    </row>
    <row r="702" spans="1:1">
      <c r="A702" s="24"/>
    </row>
    <row r="703" spans="1:1">
      <c r="A703" s="24"/>
    </row>
    <row r="704" spans="1:1">
      <c r="A704" s="24"/>
    </row>
    <row r="705" spans="1:1">
      <c r="A705" s="24"/>
    </row>
    <row r="706" spans="1:1">
      <c r="A706" s="24"/>
    </row>
    <row r="707" spans="1:1">
      <c r="A707" s="24"/>
    </row>
    <row r="708" spans="1:1">
      <c r="A708" s="24"/>
    </row>
    <row r="709" spans="1:1">
      <c r="A709" s="24"/>
    </row>
    <row r="710" spans="1:1">
      <c r="A710" s="24"/>
    </row>
    <row r="711" spans="1:1">
      <c r="A711" s="24"/>
    </row>
    <row r="712" spans="1:1">
      <c r="A712" s="24"/>
    </row>
    <row r="713" spans="1:1">
      <c r="A713" s="24"/>
    </row>
    <row r="714" spans="1:1">
      <c r="A714" s="24"/>
    </row>
    <row r="715" spans="1:1">
      <c r="A715" s="24"/>
    </row>
    <row r="716" spans="1:1">
      <c r="A716" s="24"/>
    </row>
    <row r="717" spans="1:1">
      <c r="A717" s="24"/>
    </row>
    <row r="718" spans="1:1">
      <c r="A718" s="24"/>
    </row>
    <row r="719" spans="1:1">
      <c r="A719" s="24"/>
    </row>
    <row r="720" spans="1:1">
      <c r="A720" s="24"/>
    </row>
    <row r="721" spans="1:1">
      <c r="A721" s="24"/>
    </row>
    <row r="722" spans="1:1">
      <c r="A722" s="24"/>
    </row>
    <row r="723" spans="1:1">
      <c r="A723" s="24"/>
    </row>
    <row r="724" spans="1:1">
      <c r="A724" s="24"/>
    </row>
    <row r="725" spans="1:1">
      <c r="A725" s="24"/>
    </row>
    <row r="726" spans="1:1">
      <c r="A726" s="24"/>
    </row>
    <row r="727" spans="1:1">
      <c r="A727" s="24"/>
    </row>
    <row r="728" spans="1:1">
      <c r="A728" s="24"/>
    </row>
    <row r="729" spans="1:1">
      <c r="A729" s="24"/>
    </row>
    <row r="730" spans="1:1">
      <c r="A730" s="24"/>
    </row>
    <row r="731" spans="1:1">
      <c r="A731" s="24"/>
    </row>
    <row r="732" spans="1:1">
      <c r="A732" s="24"/>
    </row>
    <row r="733" spans="1:1">
      <c r="A733" s="24"/>
    </row>
    <row r="734" spans="1:1">
      <c r="A734" s="24"/>
    </row>
    <row r="735" spans="1:1">
      <c r="A735" s="24"/>
    </row>
    <row r="736" spans="1:1">
      <c r="A736" s="24"/>
    </row>
    <row r="737" spans="1:1">
      <c r="A737" s="24"/>
    </row>
    <row r="738" spans="1:1">
      <c r="A738" s="24"/>
    </row>
    <row r="739" spans="1:1">
      <c r="A739" s="24"/>
    </row>
    <row r="740" spans="1:1">
      <c r="A740" s="24"/>
    </row>
    <row r="741" spans="1:1">
      <c r="A741" s="24"/>
    </row>
    <row r="742" spans="1:1">
      <c r="A742" s="24"/>
    </row>
    <row r="743" spans="1:1">
      <c r="A743" s="24"/>
    </row>
    <row r="744" spans="1:1">
      <c r="A744" s="24"/>
    </row>
    <row r="745" spans="1:1">
      <c r="A745" s="24"/>
    </row>
    <row r="746" spans="1:1">
      <c r="A746" s="24"/>
    </row>
    <row r="747" spans="1:1">
      <c r="A747" s="24"/>
    </row>
    <row r="748" spans="1:1">
      <c r="A748" s="24"/>
    </row>
    <row r="749" spans="1:1">
      <c r="A749" s="24"/>
    </row>
    <row r="750" spans="1:1">
      <c r="A750" s="24"/>
    </row>
    <row r="751" spans="1:1">
      <c r="A751" s="24"/>
    </row>
    <row r="752" spans="1:1">
      <c r="A752" s="24"/>
    </row>
    <row r="753" spans="1:1">
      <c r="A753" s="24"/>
    </row>
    <row r="754" spans="1:1">
      <c r="A754" s="24"/>
    </row>
    <row r="755" spans="1:1">
      <c r="A755" s="24"/>
    </row>
    <row r="756" spans="1:1">
      <c r="A756" s="24"/>
    </row>
    <row r="757" spans="1:1">
      <c r="A757" s="24"/>
    </row>
    <row r="758" spans="1:1">
      <c r="A758" s="24"/>
    </row>
    <row r="759" spans="1:1">
      <c r="A759" s="24"/>
    </row>
    <row r="760" spans="1:1">
      <c r="A760" s="24"/>
    </row>
    <row r="761" spans="1:1">
      <c r="A761" s="24"/>
    </row>
    <row r="762" spans="1:1">
      <c r="A762" s="24"/>
    </row>
    <row r="763" spans="1:1">
      <c r="A763" s="24"/>
    </row>
    <row r="764" spans="1:1">
      <c r="A764" s="24"/>
    </row>
    <row r="765" spans="1:1">
      <c r="A765" s="24"/>
    </row>
    <row r="766" spans="1:1">
      <c r="A766" s="24"/>
    </row>
    <row r="767" spans="1:1">
      <c r="A767" s="24"/>
    </row>
    <row r="768" spans="1:1">
      <c r="A768" s="24"/>
    </row>
    <row r="769" spans="1:1">
      <c r="A769" s="24"/>
    </row>
    <row r="770" spans="1:1">
      <c r="A770" s="24"/>
    </row>
    <row r="771" spans="1:1">
      <c r="A771" s="24"/>
    </row>
    <row r="772" spans="1:1">
      <c r="A772" s="24"/>
    </row>
    <row r="773" spans="1:1">
      <c r="A773" s="24"/>
    </row>
    <row r="774" spans="1:1">
      <c r="A774" s="24"/>
    </row>
    <row r="775" spans="1:1">
      <c r="A775" s="24"/>
    </row>
    <row r="776" spans="1:1">
      <c r="A776" s="24"/>
    </row>
    <row r="777" spans="1:1">
      <c r="A777" s="24"/>
    </row>
    <row r="778" spans="1:1">
      <c r="A778" s="24"/>
    </row>
    <row r="779" spans="1:1">
      <c r="A779" s="24"/>
    </row>
    <row r="780" spans="1:1">
      <c r="A780" s="24"/>
    </row>
    <row r="781" spans="1:1">
      <c r="A781" s="24"/>
    </row>
    <row r="782" spans="1:1">
      <c r="A782" s="24"/>
    </row>
    <row r="783" spans="1:1">
      <c r="A783" s="24"/>
    </row>
    <row r="784" spans="1:1">
      <c r="A784" s="24"/>
    </row>
    <row r="785" spans="1:1">
      <c r="A785" s="24"/>
    </row>
    <row r="786" spans="1:1">
      <c r="A786" s="24"/>
    </row>
    <row r="787" spans="1:1">
      <c r="A787" s="24"/>
    </row>
    <row r="788" spans="1:1">
      <c r="A788" s="24"/>
    </row>
    <row r="789" spans="1:1">
      <c r="A789" s="24"/>
    </row>
    <row r="790" spans="1:1">
      <c r="A790" s="24"/>
    </row>
    <row r="791" spans="1:1">
      <c r="A791" s="24"/>
    </row>
    <row r="792" spans="1:1">
      <c r="A792" s="24"/>
    </row>
    <row r="793" spans="1:1">
      <c r="A793" s="24"/>
    </row>
    <row r="794" spans="1:1">
      <c r="A794" s="24"/>
    </row>
    <row r="795" spans="1:1">
      <c r="A795" s="24"/>
    </row>
    <row r="796" spans="1:1">
      <c r="A796" s="24"/>
    </row>
    <row r="797" spans="1:1">
      <c r="A797" s="24"/>
    </row>
    <row r="798" spans="1:1">
      <c r="A798" s="24"/>
    </row>
    <row r="799" spans="1:1">
      <c r="A799" s="24"/>
    </row>
    <row r="800" spans="1:1">
      <c r="A800" s="24"/>
    </row>
    <row r="801" spans="1:1">
      <c r="A801" s="24"/>
    </row>
    <row r="802" spans="1:1">
      <c r="A802" s="24"/>
    </row>
    <row r="803" spans="1:1">
      <c r="A803" s="24"/>
    </row>
    <row r="804" spans="1:1">
      <c r="A804" s="24"/>
    </row>
    <row r="805" spans="1:1">
      <c r="A805" s="24"/>
    </row>
    <row r="806" spans="1:1">
      <c r="A806" s="24"/>
    </row>
    <row r="807" spans="1:1">
      <c r="A807" s="24"/>
    </row>
    <row r="808" spans="1:1">
      <c r="A808" s="24"/>
    </row>
    <row r="809" spans="1:1">
      <c r="A809" s="24"/>
    </row>
    <row r="810" spans="1:1">
      <c r="A810" s="24"/>
    </row>
    <row r="811" spans="1:1">
      <c r="A811" s="24"/>
    </row>
    <row r="812" spans="1:1">
      <c r="A812" s="24"/>
    </row>
    <row r="813" spans="1:1">
      <c r="A813" s="24"/>
    </row>
    <row r="814" spans="1:1">
      <c r="A814" s="24"/>
    </row>
    <row r="815" spans="1:1">
      <c r="A815" s="24"/>
    </row>
    <row r="816" spans="1:1">
      <c r="A816" s="24"/>
    </row>
    <row r="817" spans="1:1">
      <c r="A817" s="24"/>
    </row>
    <row r="818" spans="1:1">
      <c r="A818" s="24"/>
    </row>
    <row r="819" spans="1:1">
      <c r="A819" s="24"/>
    </row>
    <row r="820" spans="1:1">
      <c r="A820" s="24"/>
    </row>
    <row r="821" spans="1:1">
      <c r="A821" s="24"/>
    </row>
    <row r="822" spans="1:1">
      <c r="A822" s="24"/>
    </row>
    <row r="823" spans="1:1">
      <c r="A823" s="24"/>
    </row>
    <row r="824" spans="1:1">
      <c r="A824" s="24"/>
    </row>
    <row r="825" spans="1:1">
      <c r="A825" s="24"/>
    </row>
    <row r="826" spans="1:1">
      <c r="A826" s="24"/>
    </row>
    <row r="827" spans="1:1">
      <c r="A827" s="24"/>
    </row>
    <row r="828" spans="1:1">
      <c r="A828" s="24"/>
    </row>
    <row r="829" spans="1:1">
      <c r="A829" s="24"/>
    </row>
    <row r="830" spans="1:1">
      <c r="A830" s="24"/>
    </row>
    <row r="831" spans="1:1">
      <c r="A831" s="24"/>
    </row>
    <row r="832" spans="1:1">
      <c r="A832" s="24"/>
    </row>
    <row r="833" spans="1:1">
      <c r="A833" s="24"/>
    </row>
    <row r="834" spans="1:1">
      <c r="A834" s="24"/>
    </row>
    <row r="835" spans="1:1">
      <c r="A835" s="24"/>
    </row>
    <row r="836" spans="1:1">
      <c r="A836" s="24"/>
    </row>
    <row r="837" spans="1:1">
      <c r="A837" s="24"/>
    </row>
    <row r="838" spans="1:1">
      <c r="A838" s="24"/>
    </row>
    <row r="839" spans="1:1">
      <c r="A839" s="24"/>
    </row>
    <row r="840" spans="1:1">
      <c r="A840" s="24"/>
    </row>
    <row r="841" spans="1:1">
      <c r="A841" s="24"/>
    </row>
    <row r="842" spans="1:1">
      <c r="A842" s="24"/>
    </row>
    <row r="843" spans="1:1">
      <c r="A843" s="24"/>
    </row>
    <row r="844" spans="1:1">
      <c r="A844" s="24"/>
    </row>
    <row r="845" spans="1:1">
      <c r="A845" s="24"/>
    </row>
    <row r="846" spans="1:1">
      <c r="A846" s="24"/>
    </row>
    <row r="847" spans="1:1">
      <c r="A847" s="24"/>
    </row>
    <row r="848" spans="1:1">
      <c r="A848" s="24"/>
    </row>
    <row r="849" spans="1:1">
      <c r="A849" s="24"/>
    </row>
    <row r="850" spans="1:1">
      <c r="A850" s="24"/>
    </row>
    <row r="851" spans="1:1">
      <c r="A851" s="24"/>
    </row>
    <row r="852" spans="1:1">
      <c r="A852" s="24"/>
    </row>
    <row r="853" spans="1:1">
      <c r="A853" s="24"/>
    </row>
    <row r="854" spans="1:1">
      <c r="A854" s="24"/>
    </row>
    <row r="855" spans="1:1">
      <c r="A855" s="24"/>
    </row>
    <row r="856" spans="1:1">
      <c r="A856" s="24"/>
    </row>
    <row r="857" spans="1:1">
      <c r="A857" s="24"/>
    </row>
    <row r="858" spans="1:1">
      <c r="A858" s="24"/>
    </row>
    <row r="859" spans="1:1">
      <c r="A859" s="24"/>
    </row>
    <row r="860" spans="1:1">
      <c r="A860" s="24"/>
    </row>
    <row r="861" spans="1:1">
      <c r="A861" s="24"/>
    </row>
    <row r="862" spans="1:1">
      <c r="A862" s="24"/>
    </row>
    <row r="863" spans="1:1">
      <c r="A863" s="24"/>
    </row>
    <row r="864" spans="1:1">
      <c r="A864" s="24"/>
    </row>
    <row r="865" spans="1:1">
      <c r="A865" s="24"/>
    </row>
    <row r="866" spans="1:1">
      <c r="A866" s="24"/>
    </row>
    <row r="867" spans="1:1">
      <c r="A867" s="24"/>
    </row>
    <row r="868" spans="1:1">
      <c r="A868" s="24"/>
    </row>
    <row r="869" spans="1:1">
      <c r="A869" s="24"/>
    </row>
    <row r="870" spans="1:1">
      <c r="A870" s="24"/>
    </row>
    <row r="871" spans="1:1">
      <c r="A871" s="24"/>
    </row>
    <row r="872" spans="1:1">
      <c r="A872" s="24"/>
    </row>
    <row r="873" spans="1:1">
      <c r="A873" s="24"/>
    </row>
    <row r="874" spans="1:1">
      <c r="A874" s="24"/>
    </row>
    <row r="875" spans="1:1">
      <c r="A875" s="24"/>
    </row>
    <row r="876" spans="1:1">
      <c r="A876" s="24"/>
    </row>
    <row r="877" spans="1:1">
      <c r="A877" s="24"/>
    </row>
    <row r="878" spans="1:1">
      <c r="A878" s="24"/>
    </row>
    <row r="879" spans="1:1">
      <c r="A879" s="24"/>
    </row>
    <row r="880" spans="1:1">
      <c r="A880" s="24"/>
    </row>
    <row r="881" spans="1:1">
      <c r="A881" s="24"/>
    </row>
    <row r="882" spans="1:1">
      <c r="A882" s="24"/>
    </row>
    <row r="883" spans="1:1">
      <c r="A883" s="24"/>
    </row>
    <row r="884" spans="1:1">
      <c r="A884" s="24"/>
    </row>
    <row r="885" spans="1:1">
      <c r="A885" s="24"/>
    </row>
    <row r="886" spans="1:1">
      <c r="A886" s="24"/>
    </row>
    <row r="887" spans="1:1">
      <c r="A887" s="24"/>
    </row>
    <row r="888" spans="1:1">
      <c r="A888" s="24"/>
    </row>
    <row r="889" spans="1:1">
      <c r="A889" s="24"/>
    </row>
    <row r="890" spans="1:1">
      <c r="A890" s="24"/>
    </row>
    <row r="891" spans="1:1">
      <c r="A891" s="24"/>
    </row>
    <row r="892" spans="1:1">
      <c r="A892" s="24"/>
    </row>
    <row r="893" spans="1:1">
      <c r="A893" s="24"/>
    </row>
    <row r="894" spans="1:1">
      <c r="A894" s="24"/>
    </row>
    <row r="895" spans="1:1">
      <c r="A895" s="24"/>
    </row>
    <row r="896" spans="1:1">
      <c r="A896" s="24"/>
    </row>
    <row r="897" spans="1:1">
      <c r="A897" s="24"/>
    </row>
    <row r="898" spans="1:1">
      <c r="A898" s="24"/>
    </row>
    <row r="899" spans="1:1">
      <c r="A899" s="24"/>
    </row>
    <row r="900" spans="1:1">
      <c r="A900" s="24"/>
    </row>
    <row r="901" spans="1:1">
      <c r="A901" s="24"/>
    </row>
    <row r="902" spans="1:1">
      <c r="A902" s="24"/>
    </row>
    <row r="903" spans="1:1">
      <c r="A903" s="24"/>
    </row>
    <row r="904" spans="1:1">
      <c r="A904" s="24"/>
    </row>
    <row r="905" spans="1:1">
      <c r="A905" s="24"/>
    </row>
    <row r="906" spans="1:1">
      <c r="A906" s="24"/>
    </row>
    <row r="907" spans="1:1">
      <c r="A907" s="24"/>
    </row>
    <row r="908" spans="1:1">
      <c r="A908" s="24"/>
    </row>
    <row r="909" spans="1:1">
      <c r="A909" s="24"/>
    </row>
    <row r="910" spans="1:1">
      <c r="A910" s="24"/>
    </row>
    <row r="911" spans="1:1">
      <c r="A911" s="24"/>
    </row>
    <row r="912" spans="1:1">
      <c r="A912" s="24"/>
    </row>
    <row r="913" spans="1:1">
      <c r="A913" s="24"/>
    </row>
    <row r="914" spans="1:1">
      <c r="A914" s="24"/>
    </row>
    <row r="915" spans="1:1">
      <c r="A915" s="24"/>
    </row>
    <row r="916" spans="1:1">
      <c r="A916" s="24"/>
    </row>
    <row r="917" spans="1:1">
      <c r="A917" s="24"/>
    </row>
    <row r="918" spans="1:1">
      <c r="A918" s="24"/>
    </row>
    <row r="919" spans="1:1">
      <c r="A919" s="24"/>
    </row>
    <row r="920" spans="1:1">
      <c r="A920" s="24"/>
    </row>
    <row r="921" spans="1:1">
      <c r="A921" s="24"/>
    </row>
    <row r="922" spans="1:1">
      <c r="A922" s="24"/>
    </row>
    <row r="923" spans="1:1">
      <c r="A923" s="24"/>
    </row>
    <row r="924" spans="1:1">
      <c r="A924" s="24"/>
    </row>
    <row r="925" spans="1:1">
      <c r="A925" s="24"/>
    </row>
    <row r="926" spans="1:1">
      <c r="A926" s="24"/>
    </row>
    <row r="927" spans="1:1">
      <c r="A927" s="24"/>
    </row>
    <row r="928" spans="1:1">
      <c r="A928" s="24"/>
    </row>
    <row r="929" spans="1:1">
      <c r="A929" s="24"/>
    </row>
    <row r="930" spans="1:1">
      <c r="A930" s="24"/>
    </row>
    <row r="931" spans="1:1">
      <c r="A931" s="24"/>
    </row>
    <row r="932" spans="1:1">
      <c r="A932" s="24"/>
    </row>
    <row r="933" spans="1:1">
      <c r="A933" s="24"/>
    </row>
    <row r="934" spans="1:1">
      <c r="A934" s="24"/>
    </row>
    <row r="935" spans="1:1">
      <c r="A935" s="24"/>
    </row>
    <row r="936" spans="1:1">
      <c r="A936" s="24"/>
    </row>
    <row r="937" spans="1:1">
      <c r="A937" s="24"/>
    </row>
    <row r="938" spans="1:1">
      <c r="A938" s="24"/>
    </row>
    <row r="939" spans="1:1">
      <c r="A939" s="24"/>
    </row>
    <row r="940" spans="1:1">
      <c r="A940" s="24"/>
    </row>
    <row r="941" spans="1:1">
      <c r="A941" s="24"/>
    </row>
    <row r="942" spans="1:1">
      <c r="A942" s="24"/>
    </row>
    <row r="943" spans="1:1">
      <c r="A943" s="24"/>
    </row>
    <row r="944" spans="1:1">
      <c r="A944" s="24"/>
    </row>
    <row r="945" spans="1:1">
      <c r="A945" s="24"/>
    </row>
    <row r="946" spans="1:1">
      <c r="A946" s="24"/>
    </row>
    <row r="947" spans="1:1">
      <c r="A947" s="24"/>
    </row>
    <row r="948" spans="1:1">
      <c r="A948" s="24"/>
    </row>
    <row r="949" spans="1:1">
      <c r="A949" s="24"/>
    </row>
    <row r="950" spans="1:1">
      <c r="A950" s="24"/>
    </row>
    <row r="951" spans="1:1">
      <c r="A951" s="24"/>
    </row>
    <row r="952" spans="1:1">
      <c r="A952" s="24"/>
    </row>
    <row r="953" spans="1:1">
      <c r="A953" s="24"/>
    </row>
    <row r="954" spans="1:1">
      <c r="A954" s="24"/>
    </row>
    <row r="955" spans="1:1">
      <c r="A955" s="24"/>
    </row>
    <row r="956" spans="1:1">
      <c r="A956" s="24"/>
    </row>
    <row r="957" spans="1:1">
      <c r="A957" s="24"/>
    </row>
    <row r="958" spans="1:1">
      <c r="A958" s="24"/>
    </row>
    <row r="959" spans="1:1">
      <c r="A959" s="24"/>
    </row>
    <row r="960" spans="1:1">
      <c r="A960" s="24"/>
    </row>
    <row r="961" spans="1:1">
      <c r="A961" s="24"/>
    </row>
    <row r="962" spans="1:1">
      <c r="A962" s="24"/>
    </row>
    <row r="963" spans="1:1">
      <c r="A963" s="24"/>
    </row>
    <row r="964" spans="1:1">
      <c r="A964" s="24"/>
    </row>
    <row r="965" spans="1:1">
      <c r="A965" s="24"/>
    </row>
    <row r="966" spans="1:1">
      <c r="A966" s="24"/>
    </row>
    <row r="967" spans="1:1">
      <c r="A967" s="24"/>
    </row>
    <row r="968" spans="1:1">
      <c r="A968" s="24"/>
    </row>
    <row r="969" spans="1:1">
      <c r="A969" s="24"/>
    </row>
    <row r="970" spans="1:1">
      <c r="A970" s="24"/>
    </row>
    <row r="971" spans="1:1">
      <c r="A971" s="24"/>
    </row>
    <row r="972" spans="1:1">
      <c r="A972" s="24"/>
    </row>
    <row r="973" spans="1:1">
      <c r="A973" s="24"/>
    </row>
    <row r="974" spans="1:1">
      <c r="A974" s="24"/>
    </row>
    <row r="975" spans="1:1">
      <c r="A975" s="24"/>
    </row>
    <row r="976" spans="1:1">
      <c r="A976" s="24"/>
    </row>
    <row r="977" spans="1:1">
      <c r="A977" s="24"/>
    </row>
    <row r="978" spans="1:1">
      <c r="A978" s="24"/>
    </row>
    <row r="979" spans="1:1">
      <c r="A979" s="24"/>
    </row>
    <row r="980" spans="1:1">
      <c r="A980" s="24"/>
    </row>
    <row r="981" spans="1:1">
      <c r="A981" s="24"/>
    </row>
    <row r="982" spans="1:1">
      <c r="A982" s="24"/>
    </row>
    <row r="983" spans="1:1">
      <c r="A983" s="24"/>
    </row>
    <row r="984" spans="1:1">
      <c r="A984" s="24"/>
    </row>
    <row r="985" spans="1:1">
      <c r="A985" s="24"/>
    </row>
    <row r="986" spans="1:1">
      <c r="A986" s="24"/>
    </row>
    <row r="987" spans="1:1">
      <c r="A987" s="24"/>
    </row>
    <row r="988" spans="1:1">
      <c r="A988" s="24"/>
    </row>
    <row r="989" spans="1:1">
      <c r="A989" s="24"/>
    </row>
    <row r="990" spans="1:1">
      <c r="A990" s="24"/>
    </row>
    <row r="991" spans="1:1">
      <c r="A991" s="24"/>
    </row>
    <row r="992" spans="1:1">
      <c r="A992" s="24"/>
    </row>
    <row r="993" spans="1:1">
      <c r="A993" s="24"/>
    </row>
    <row r="994" spans="1:1">
      <c r="A994" s="24"/>
    </row>
    <row r="995" spans="1:1">
      <c r="A995" s="24"/>
    </row>
    <row r="996" spans="1:1">
      <c r="A996" s="24"/>
    </row>
    <row r="997" spans="1:1">
      <c r="A997" s="24"/>
    </row>
    <row r="998" spans="1:1">
      <c r="A998" s="24"/>
    </row>
    <row r="999" spans="1:1">
      <c r="A999" s="24"/>
    </row>
    <row r="1000" spans="1:1">
      <c r="A1000" s="24"/>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H5"/>
  <sheetViews>
    <sheetView tabSelected="1" workbookViewId="0">
      <selection activeCell="E12" sqref="E12"/>
    </sheetView>
  </sheetViews>
  <sheetFormatPr defaultColWidth="12.625" defaultRowHeight="15" customHeight="1"/>
  <cols>
    <col min="3" max="3" width="30.375" customWidth="1"/>
    <col min="5" max="5" width="36.375" customWidth="1"/>
  </cols>
  <sheetData>
    <row r="1" spans="1:8" ht="21" customHeight="1">
      <c r="A1" s="24" t="s">
        <v>670</v>
      </c>
      <c r="B1" s="24" t="s">
        <v>671</v>
      </c>
      <c r="C1" s="15" t="s">
        <v>672</v>
      </c>
      <c r="D1" s="18" t="s">
        <v>673</v>
      </c>
      <c r="E1" s="15" t="s">
        <v>674</v>
      </c>
      <c r="F1" s="15"/>
      <c r="G1" s="15"/>
      <c r="H1" s="15"/>
    </row>
    <row r="2" spans="1:8" ht="14.25">
      <c r="B2" s="24">
        <v>2020</v>
      </c>
      <c r="C2" s="15" t="s">
        <v>675</v>
      </c>
      <c r="D2" s="18">
        <f>COUNTIF(C:C,"ผศ.สพ.ญ.ดร.กรรณิการ์ ศิริภัทรประวัติ")</f>
        <v>0</v>
      </c>
      <c r="E2" s="15" t="s">
        <v>510</v>
      </c>
      <c r="F2" s="15"/>
      <c r="G2" s="15"/>
      <c r="H2" s="15"/>
    </row>
    <row r="3" spans="1:8" ht="14.25">
      <c r="B3" s="24">
        <v>2020</v>
      </c>
      <c r="C3" s="15" t="s">
        <v>516</v>
      </c>
      <c r="D3" s="18">
        <f>COUNTIF(C:C,"ผศ.น.สพ.ดร.ชัยกร ฐิติญาณพร")</f>
        <v>0</v>
      </c>
      <c r="E3" s="15" t="s">
        <v>511</v>
      </c>
      <c r="F3" s="15"/>
      <c r="G3" s="15"/>
      <c r="H3" s="15"/>
    </row>
    <row r="4" spans="1:8" ht="14.25">
      <c r="B4" s="24">
        <v>2020</v>
      </c>
      <c r="C4" s="19" t="s">
        <v>517</v>
      </c>
      <c r="D4" s="18">
        <f>COUNTIF(C:C,"ผศ.น.สพ.ดร.ไชยยันต์ เกษรดอกบัว")</f>
        <v>0</v>
      </c>
      <c r="E4" s="19" t="s">
        <v>512</v>
      </c>
      <c r="F4" s="19"/>
      <c r="G4" s="15"/>
      <c r="H4" s="19"/>
    </row>
    <row r="5" spans="1:8" ht="14.25">
      <c r="B5" s="24">
        <v>2020</v>
      </c>
      <c r="C5" s="19" t="s">
        <v>517</v>
      </c>
      <c r="D5" s="18">
        <f>COUNTIF(C:C,"รศ.สพ.ญ.ดร.ทัศนีย์ เจริญทรง")</f>
        <v>0</v>
      </c>
      <c r="E5" s="19" t="s">
        <v>513</v>
      </c>
      <c r="F5" s="19"/>
      <c r="G5" s="15"/>
      <c r="H5" s="19"/>
    </row>
  </sheetData>
  <autoFilter ref="A1:Z5"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B35"/>
  <sheetViews>
    <sheetView showGridLines="0" workbookViewId="0"/>
  </sheetViews>
  <sheetFormatPr defaultColWidth="12.625" defaultRowHeight="15" customHeight="1"/>
  <cols>
    <col min="1" max="1" width="28.5" customWidth="1"/>
  </cols>
  <sheetData>
    <row r="1" spans="1:2">
      <c r="A1" s="80" t="s">
        <v>674</v>
      </c>
      <c r="B1" s="81" t="s">
        <v>678</v>
      </c>
    </row>
    <row r="2" spans="1:2">
      <c r="A2" s="82" t="s">
        <v>59</v>
      </c>
      <c r="B2" s="83">
        <v>1</v>
      </c>
    </row>
    <row r="3" spans="1:2">
      <c r="A3" s="84" t="s">
        <v>527</v>
      </c>
      <c r="B3" s="85">
        <v>1</v>
      </c>
    </row>
    <row r="4" spans="1:2">
      <c r="A4" s="84" t="s">
        <v>512</v>
      </c>
      <c r="B4" s="85">
        <v>1</v>
      </c>
    </row>
    <row r="5" spans="1:2">
      <c r="A5" s="84" t="s">
        <v>511</v>
      </c>
      <c r="B5" s="85">
        <v>1</v>
      </c>
    </row>
    <row r="6" spans="1:2">
      <c r="A6" s="84" t="s">
        <v>528</v>
      </c>
      <c r="B6" s="85">
        <v>1</v>
      </c>
    </row>
    <row r="7" spans="1:2">
      <c r="A7" s="84" t="s">
        <v>531</v>
      </c>
      <c r="B7" s="85">
        <v>1</v>
      </c>
    </row>
    <row r="8" spans="1:2">
      <c r="A8" s="84" t="s">
        <v>519</v>
      </c>
      <c r="B8" s="85">
        <v>1</v>
      </c>
    </row>
    <row r="9" spans="1:2">
      <c r="A9" s="84" t="s">
        <v>522</v>
      </c>
      <c r="B9" s="85">
        <v>1</v>
      </c>
    </row>
    <row r="10" spans="1:2">
      <c r="A10" s="84" t="s">
        <v>510</v>
      </c>
      <c r="B10" s="85">
        <v>1</v>
      </c>
    </row>
    <row r="11" spans="1:2">
      <c r="A11" s="84" t="s">
        <v>520</v>
      </c>
      <c r="B11" s="85">
        <v>1</v>
      </c>
    </row>
    <row r="12" spans="1:2">
      <c r="A12" s="84" t="s">
        <v>524</v>
      </c>
      <c r="B12" s="85">
        <v>1</v>
      </c>
    </row>
    <row r="13" spans="1:2">
      <c r="A13" s="84" t="s">
        <v>677</v>
      </c>
      <c r="B13" s="85">
        <v>1</v>
      </c>
    </row>
    <row r="14" spans="1:2">
      <c r="A14" s="84" t="s">
        <v>529</v>
      </c>
      <c r="B14" s="85">
        <v>1</v>
      </c>
    </row>
    <row r="15" spans="1:2">
      <c r="A15" s="84" t="s">
        <v>521</v>
      </c>
      <c r="B15" s="85">
        <v>1</v>
      </c>
    </row>
    <row r="16" spans="1:2">
      <c r="A16" s="84" t="s">
        <v>533</v>
      </c>
      <c r="B16" s="85">
        <v>1</v>
      </c>
    </row>
    <row r="17" spans="1:2">
      <c r="A17" s="84" t="s">
        <v>526</v>
      </c>
      <c r="B17" s="85">
        <v>1</v>
      </c>
    </row>
    <row r="18" spans="1:2">
      <c r="A18" s="84" t="s">
        <v>139</v>
      </c>
      <c r="B18" s="85">
        <v>1</v>
      </c>
    </row>
    <row r="19" spans="1:2">
      <c r="A19" s="84" t="s">
        <v>676</v>
      </c>
      <c r="B19" s="85">
        <v>1</v>
      </c>
    </row>
    <row r="20" spans="1:2">
      <c r="A20" s="84" t="s">
        <v>75</v>
      </c>
      <c r="B20" s="85">
        <v>1</v>
      </c>
    </row>
    <row r="21" spans="1:2">
      <c r="A21" s="84" t="s">
        <v>80</v>
      </c>
      <c r="B21" s="85">
        <v>1</v>
      </c>
    </row>
    <row r="22" spans="1:2">
      <c r="A22" s="84" t="s">
        <v>534</v>
      </c>
      <c r="B22" s="85">
        <v>1</v>
      </c>
    </row>
    <row r="23" spans="1:2">
      <c r="A23" s="84" t="s">
        <v>530</v>
      </c>
      <c r="B23" s="85">
        <v>1</v>
      </c>
    </row>
    <row r="24" spans="1:2">
      <c r="A24" s="84" t="s">
        <v>525</v>
      </c>
      <c r="B24" s="85">
        <v>1</v>
      </c>
    </row>
    <row r="25" spans="1:2">
      <c r="A25" s="84" t="s">
        <v>515</v>
      </c>
      <c r="B25" s="85">
        <v>1</v>
      </c>
    </row>
    <row r="26" spans="1:2">
      <c r="A26" s="84" t="s">
        <v>516</v>
      </c>
      <c r="B26" s="85">
        <v>1</v>
      </c>
    </row>
    <row r="27" spans="1:2">
      <c r="A27" s="84" t="s">
        <v>532</v>
      </c>
      <c r="B27" s="85">
        <v>1</v>
      </c>
    </row>
    <row r="28" spans="1:2">
      <c r="A28" s="84" t="s">
        <v>517</v>
      </c>
      <c r="B28" s="85">
        <v>1</v>
      </c>
    </row>
    <row r="29" spans="1:2">
      <c r="A29" s="84" t="s">
        <v>513</v>
      </c>
      <c r="B29" s="85">
        <v>1</v>
      </c>
    </row>
    <row r="30" spans="1:2">
      <c r="A30" s="84" t="s">
        <v>523</v>
      </c>
      <c r="B30" s="85">
        <v>1</v>
      </c>
    </row>
    <row r="31" spans="1:2">
      <c r="A31" s="84" t="s">
        <v>518</v>
      </c>
      <c r="B31" s="85">
        <v>1</v>
      </c>
    </row>
    <row r="32" spans="1:2">
      <c r="A32" s="84" t="s">
        <v>535</v>
      </c>
      <c r="B32" s="85">
        <v>1</v>
      </c>
    </row>
    <row r="33" spans="1:2">
      <c r="A33" s="84" t="s">
        <v>514</v>
      </c>
      <c r="B33" s="85">
        <v>1</v>
      </c>
    </row>
    <row r="34" spans="1:2">
      <c r="A34" s="84" t="s">
        <v>679</v>
      </c>
      <c r="B34" s="85"/>
    </row>
    <row r="35" spans="1:2">
      <c r="A35" s="86" t="s">
        <v>669</v>
      </c>
      <c r="B35" s="87">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ALL</vt:lpstr>
      <vt:lpstr>ALL2</vt:lpstr>
      <vt:lpstr>PubTeam</vt:lpstr>
      <vt:lpstr>PubFromDB</vt:lpstr>
      <vt:lpstr>KUVET_Researcher</vt:lpstr>
      <vt:lpstr>Fac_Section</vt:lpstr>
      <vt:lpstr>Cluster</vt:lpstr>
      <vt:lpstr>SJR_VET_Q_2022</vt:lpstr>
      <vt:lpstr>SNAreseachV1</vt:lpstr>
      <vt:lpstr>SJR 2023</vt:lpstr>
      <vt:lpstr>Publication</vt:lpstr>
      <vt:lpstr>Sheet6</vt:lpstr>
      <vt:lpstr>Pivot Table 1</vt:lpstr>
      <vt:lpstr>ผลงานวิจัยอาจารผู้รับผิดชอบหลัก</vt:lpstr>
      <vt:lpstr>Pivot 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Nipon WONGPRASERT</cp:lastModifiedBy>
  <dcterms:created xsi:type="dcterms:W3CDTF">2026-02-16T02:51:39Z</dcterms:created>
  <dcterms:modified xsi:type="dcterms:W3CDTF">2026-02-16T02:51:39Z</dcterms:modified>
</cp:coreProperties>
</file>